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uestarlimited-my.sharepoint.com/personal/sibonysaldanha_bluestarindia_com/Documents/"/>
    </mc:Choice>
  </mc:AlternateContent>
  <xr:revisionPtr revIDLastSave="2805" documentId="8_{AECF2691-6388-46EB-8DF0-5388AB171005}" xr6:coauthVersionLast="47" xr6:coauthVersionMax="47" xr10:uidLastSave="{06588891-0974-49C3-976C-635B057486AE}"/>
  <bookViews>
    <workbookView xWindow="-110" yWindow="-110" windowWidth="19420" windowHeight="10300" tabRatio="601" firstSheet="24" activeTab="27" xr2:uid="{51B956CE-E572-462F-8BA3-7D5090400635}"/>
  </bookViews>
  <sheets>
    <sheet name="Pivot" sheetId="27" r:id="rId1"/>
    <sheet name="Pivot Check" sheetId="30" r:id="rId2"/>
    <sheet name="Sheet16" sheetId="32" r:id="rId3"/>
    <sheet name="Sheet1" sheetId="33" r:id="rId4"/>
    <sheet name="Value Estimation" sheetId="1" r:id="rId5"/>
    <sheet name="Remaining Projects" sheetId="34" r:id="rId6"/>
    <sheet name="Pivot Final" sheetId="36" r:id="rId7"/>
    <sheet name="Final" sheetId="37" r:id="rId8"/>
    <sheet name="Final Final" sheetId="38" r:id="rId9"/>
    <sheet name="Value Estimation - ref" sheetId="35" r:id="rId10"/>
    <sheet name="G10-44040" sheetId="2" r:id="rId11"/>
    <sheet name="G10-44039" sheetId="3" r:id="rId12"/>
    <sheet name="G10-10030" sheetId="4" r:id="rId13"/>
    <sheet name="G10-42020" sheetId="5" r:id="rId14"/>
    <sheet name="G10-34010" sheetId="6" r:id="rId15"/>
    <sheet name="G10-46003" sheetId="7" r:id="rId16"/>
    <sheet name="G10-46009" sheetId="8" r:id="rId17"/>
    <sheet name="G10-46012" sheetId="10" r:id="rId18"/>
    <sheet name="G10-46010" sheetId="11" r:id="rId19"/>
    <sheet name="C10-46030" sheetId="12" r:id="rId20"/>
    <sheet name="G10-24005" sheetId="13" r:id="rId21"/>
    <sheet name="G10-44027" sheetId="14" r:id="rId22"/>
    <sheet name="G10-30013" sheetId="15" r:id="rId23"/>
    <sheet name="G28-44006" sheetId="17" r:id="rId24"/>
    <sheet name="G28-28003" sheetId="18" r:id="rId25"/>
    <sheet name="G28-44003" sheetId="19" r:id="rId26"/>
    <sheet name="G79-36001" sheetId="20" r:id="rId27"/>
    <sheet name="G79-36002" sheetId="21" r:id="rId28"/>
    <sheet name="G28-28001" sheetId="22" r:id="rId29"/>
    <sheet name="G28-42008" sheetId="23" r:id="rId30"/>
    <sheet name="G20-36003" sheetId="29" r:id="rId31"/>
  </sheets>
  <externalReferences>
    <externalReference r:id="rId32"/>
  </externalReferences>
  <definedNames>
    <definedName name="_xlnm._FilterDatabase" localSheetId="2" hidden="1">Sheet16!$A$1:$AE$23</definedName>
    <definedName name="_xlnm._FilterDatabase" localSheetId="4" hidden="1">'Value Estimation'!$A$1:$L$737</definedName>
  </definedNames>
  <calcPr calcId="191029"/>
  <pivotCaches>
    <pivotCache cacheId="19" r:id="rId33"/>
    <pivotCache cacheId="29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0" i="21" l="1"/>
  <c r="J44" i="3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J5" i="20"/>
  <c r="J4" i="20"/>
  <c r="J3" i="20"/>
  <c r="J2" i="20"/>
  <c r="K30" i="38"/>
  <c r="J30" i="38"/>
  <c r="I30" i="38"/>
  <c r="H30" i="38"/>
  <c r="G30" i="38"/>
  <c r="AE13" i="38"/>
  <c r="F30" i="38"/>
  <c r="AC24" i="38"/>
  <c r="AC22" i="37"/>
  <c r="AD21" i="37"/>
  <c r="AD20" i="37"/>
  <c r="AD19" i="37"/>
  <c r="AD18" i="37"/>
  <c r="AD17" i="37"/>
  <c r="AD16" i="37"/>
  <c r="AD15" i="37"/>
  <c r="AD14" i="37"/>
  <c r="AD13" i="37"/>
  <c r="AD12" i="37"/>
  <c r="AD11" i="37"/>
  <c r="AD10" i="37"/>
  <c r="AD9" i="37"/>
  <c r="AD8" i="37"/>
  <c r="AD7" i="37"/>
  <c r="AD6" i="37"/>
  <c r="AD5" i="37"/>
  <c r="AD4" i="37"/>
  <c r="AD3" i="37"/>
  <c r="AD2" i="37"/>
  <c r="K417" i="35"/>
  <c r="K621" i="35"/>
  <c r="K588" i="35"/>
  <c r="K620" i="35"/>
  <c r="K619" i="35"/>
  <c r="K618" i="35"/>
  <c r="K617" i="35"/>
  <c r="K616" i="35"/>
  <c r="K615" i="35"/>
  <c r="K614" i="35"/>
  <c r="K613" i="35"/>
  <c r="K612" i="35"/>
  <c r="K611" i="35"/>
  <c r="K610" i="35"/>
  <c r="K609" i="35"/>
  <c r="K608" i="35"/>
  <c r="K607" i="35"/>
  <c r="K606" i="35"/>
  <c r="K605" i="35"/>
  <c r="K604" i="35"/>
  <c r="K603" i="35"/>
  <c r="K602" i="35"/>
  <c r="K601" i="35"/>
  <c r="K600" i="35"/>
  <c r="K599" i="35"/>
  <c r="K598" i="35"/>
  <c r="K597" i="35"/>
  <c r="F596" i="35"/>
  <c r="K596" i="35" s="1"/>
  <c r="K595" i="35"/>
  <c r="K594" i="35"/>
  <c r="K593" i="35"/>
  <c r="K592" i="35"/>
  <c r="K591" i="35"/>
  <c r="K590" i="35"/>
  <c r="K589" i="35"/>
  <c r="K587" i="35"/>
  <c r="K586" i="35"/>
  <c r="K585" i="35"/>
  <c r="K584" i="35"/>
  <c r="K583" i="35"/>
  <c r="K582" i="35"/>
  <c r="K581" i="35"/>
  <c r="K580" i="35"/>
  <c r="K579" i="35"/>
  <c r="K578" i="35"/>
  <c r="K577" i="35"/>
  <c r="K576" i="35"/>
  <c r="K575" i="35"/>
  <c r="K574" i="35"/>
  <c r="K573" i="35"/>
  <c r="K572" i="35"/>
  <c r="K571" i="35"/>
  <c r="K570" i="35"/>
  <c r="K569" i="35"/>
  <c r="K568" i="35"/>
  <c r="K567" i="35"/>
  <c r="K566" i="35"/>
  <c r="K565" i="35"/>
  <c r="K564" i="35"/>
  <c r="K563" i="35"/>
  <c r="K562" i="35"/>
  <c r="K561" i="35"/>
  <c r="K560" i="35"/>
  <c r="K559" i="35"/>
  <c r="K558" i="35"/>
  <c r="K557" i="35"/>
  <c r="K556" i="35"/>
  <c r="K555" i="35"/>
  <c r="K554" i="35"/>
  <c r="K507" i="35"/>
  <c r="K506" i="35"/>
  <c r="K505" i="35"/>
  <c r="K504" i="35"/>
  <c r="K503" i="35"/>
  <c r="K502" i="35"/>
  <c r="K501" i="35"/>
  <c r="K500" i="35"/>
  <c r="K499" i="35"/>
  <c r="K498" i="35"/>
  <c r="K497" i="35"/>
  <c r="K496" i="35"/>
  <c r="K495" i="35"/>
  <c r="K494" i="35"/>
  <c r="K493" i="35"/>
  <c r="K492" i="35"/>
  <c r="K491" i="35"/>
  <c r="K490" i="35"/>
  <c r="K489" i="35"/>
  <c r="K488" i="35"/>
  <c r="K487" i="35"/>
  <c r="K486" i="35"/>
  <c r="K485" i="35"/>
  <c r="K484" i="35"/>
  <c r="K483" i="35"/>
  <c r="K482" i="35"/>
  <c r="K481" i="35"/>
  <c r="K480" i="35"/>
  <c r="K479" i="35"/>
  <c r="K478" i="35"/>
  <c r="K477" i="35"/>
  <c r="K476" i="35"/>
  <c r="K475" i="35"/>
  <c r="K474" i="35"/>
  <c r="K473" i="35"/>
  <c r="K472" i="35"/>
  <c r="K471" i="35"/>
  <c r="K470" i="35"/>
  <c r="K469" i="35"/>
  <c r="K468" i="35"/>
  <c r="K467" i="35"/>
  <c r="K466" i="35"/>
  <c r="K465" i="35"/>
  <c r="K464" i="35"/>
  <c r="K463" i="35"/>
  <c r="K462" i="35"/>
  <c r="K461" i="35"/>
  <c r="K460" i="35"/>
  <c r="K459" i="35"/>
  <c r="K458" i="35"/>
  <c r="K457" i="35"/>
  <c r="K456" i="35"/>
  <c r="K455" i="35"/>
  <c r="K454" i="35"/>
  <c r="K453" i="35"/>
  <c r="K452" i="35"/>
  <c r="K451" i="35"/>
  <c r="K450" i="35"/>
  <c r="K449" i="35"/>
  <c r="K448" i="35"/>
  <c r="K447" i="35"/>
  <c r="K446" i="35"/>
  <c r="K445" i="35"/>
  <c r="K444" i="35"/>
  <c r="K443" i="35"/>
  <c r="K442" i="35"/>
  <c r="K441" i="35"/>
  <c r="K440" i="35"/>
  <c r="K439" i="35"/>
  <c r="K438" i="35"/>
  <c r="K437" i="35"/>
  <c r="K436" i="35"/>
  <c r="K435" i="35"/>
  <c r="K434" i="35"/>
  <c r="K433" i="35"/>
  <c r="K432" i="35"/>
  <c r="K431" i="35"/>
  <c r="K430" i="35"/>
  <c r="K429" i="35"/>
  <c r="G428" i="35"/>
  <c r="K428" i="35" s="1"/>
  <c r="K427" i="35"/>
  <c r="K426" i="35"/>
  <c r="G425" i="35"/>
  <c r="K425" i="35" s="1"/>
  <c r="K424" i="35"/>
  <c r="K423" i="35"/>
  <c r="K422" i="35"/>
  <c r="K421" i="35"/>
  <c r="K420" i="35"/>
  <c r="K419" i="35"/>
  <c r="K418" i="35"/>
  <c r="K416" i="35"/>
  <c r="K415" i="35"/>
  <c r="K414" i="35"/>
  <c r="K413" i="35"/>
  <c r="K412" i="35"/>
  <c r="K411" i="35"/>
  <c r="K410" i="35"/>
  <c r="K409" i="35"/>
  <c r="K408" i="35"/>
  <c r="K407" i="35"/>
  <c r="K406" i="35"/>
  <c r="K405" i="35"/>
  <c r="K404" i="35"/>
  <c r="K403" i="35"/>
  <c r="K402" i="35"/>
  <c r="K401" i="35"/>
  <c r="K400" i="35"/>
  <c r="K399" i="35"/>
  <c r="K398" i="35"/>
  <c r="K397" i="35"/>
  <c r="K396" i="35"/>
  <c r="K395" i="35"/>
  <c r="K394" i="35"/>
  <c r="K393" i="35"/>
  <c r="K392" i="35"/>
  <c r="K391" i="35"/>
  <c r="K390" i="35"/>
  <c r="K389" i="35"/>
  <c r="K388" i="35"/>
  <c r="K387" i="35"/>
  <c r="K386" i="35"/>
  <c r="K385" i="35"/>
  <c r="K384" i="35"/>
  <c r="K383" i="35"/>
  <c r="K382" i="35"/>
  <c r="K381" i="35"/>
  <c r="K380" i="35"/>
  <c r="K379" i="35"/>
  <c r="K378" i="35"/>
  <c r="K377" i="35"/>
  <c r="K376" i="35"/>
  <c r="K375" i="35"/>
  <c r="K374" i="35"/>
  <c r="K373" i="35"/>
  <c r="K372" i="35"/>
  <c r="K371" i="35"/>
  <c r="K370" i="35"/>
  <c r="K369" i="35"/>
  <c r="K368" i="35"/>
  <c r="K367" i="35"/>
  <c r="K366" i="35"/>
  <c r="K365" i="35"/>
  <c r="K364" i="35"/>
  <c r="K363" i="35"/>
  <c r="K362" i="35"/>
  <c r="K361" i="35"/>
  <c r="K360" i="35"/>
  <c r="K359" i="35"/>
  <c r="K358" i="35"/>
  <c r="K357" i="35"/>
  <c r="K356" i="35"/>
  <c r="K355" i="35"/>
  <c r="K354" i="35"/>
  <c r="K353" i="35"/>
  <c r="K352" i="35"/>
  <c r="K351" i="35"/>
  <c r="K350" i="35"/>
  <c r="K349" i="35"/>
  <c r="K348" i="35"/>
  <c r="K347" i="35"/>
  <c r="K346" i="35"/>
  <c r="K345" i="35"/>
  <c r="K344" i="35"/>
  <c r="K343" i="35"/>
  <c r="K342" i="35"/>
  <c r="K341" i="35"/>
  <c r="K340" i="35"/>
  <c r="K339" i="35"/>
  <c r="K338" i="35"/>
  <c r="K337" i="35"/>
  <c r="K336" i="35"/>
  <c r="K335" i="35"/>
  <c r="K334" i="35"/>
  <c r="K333" i="35"/>
  <c r="K332" i="35"/>
  <c r="K331" i="35"/>
  <c r="K330" i="35"/>
  <c r="K329" i="35"/>
  <c r="K328" i="35"/>
  <c r="K327" i="35"/>
  <c r="K326" i="35"/>
  <c r="K325" i="35"/>
  <c r="K324" i="35"/>
  <c r="K323" i="35"/>
  <c r="K322" i="35"/>
  <c r="K321" i="35"/>
  <c r="K320" i="35"/>
  <c r="K319" i="35"/>
  <c r="K318" i="35"/>
  <c r="K317" i="35"/>
  <c r="K316" i="35"/>
  <c r="K315" i="35"/>
  <c r="K314" i="35"/>
  <c r="K313" i="35"/>
  <c r="K312" i="35"/>
  <c r="K311" i="35"/>
  <c r="K310" i="35"/>
  <c r="K309" i="35"/>
  <c r="K308" i="35"/>
  <c r="K307" i="35"/>
  <c r="K306" i="35"/>
  <c r="K305" i="35"/>
  <c r="K304" i="35"/>
  <c r="K303" i="35"/>
  <c r="K302" i="35"/>
  <c r="K301" i="35"/>
  <c r="K300" i="35"/>
  <c r="K299" i="35"/>
  <c r="K298" i="35"/>
  <c r="K297" i="35"/>
  <c r="K296" i="35"/>
  <c r="K295" i="35"/>
  <c r="K294" i="35"/>
  <c r="K293" i="35"/>
  <c r="K292" i="35"/>
  <c r="K291" i="35"/>
  <c r="K290" i="35"/>
  <c r="K289" i="35"/>
  <c r="K288" i="35"/>
  <c r="K287" i="35"/>
  <c r="K286" i="35"/>
  <c r="K285" i="35"/>
  <c r="K284" i="35"/>
  <c r="K283" i="35"/>
  <c r="K282" i="35"/>
  <c r="K281" i="35"/>
  <c r="K280" i="35"/>
  <c r="K279" i="35"/>
  <c r="K278" i="35"/>
  <c r="K277" i="35"/>
  <c r="K276" i="35"/>
  <c r="K275" i="35"/>
  <c r="K274" i="35"/>
  <c r="K273" i="35"/>
  <c r="K272" i="35"/>
  <c r="K271" i="35"/>
  <c r="K270" i="35"/>
  <c r="K269" i="35"/>
  <c r="K268" i="35"/>
  <c r="K267" i="35"/>
  <c r="K266" i="35"/>
  <c r="K265" i="35"/>
  <c r="K264" i="35"/>
  <c r="K263" i="35"/>
  <c r="K262" i="35"/>
  <c r="K261" i="35"/>
  <c r="K260" i="35"/>
  <c r="K259" i="35"/>
  <c r="K258" i="35"/>
  <c r="K257" i="35"/>
  <c r="K256" i="35"/>
  <c r="K255" i="35"/>
  <c r="K254" i="35"/>
  <c r="K253" i="35"/>
  <c r="K252" i="35"/>
  <c r="K251" i="35"/>
  <c r="K250" i="35"/>
  <c r="K249" i="35"/>
  <c r="K248" i="35"/>
  <c r="K247" i="35"/>
  <c r="K246" i="35"/>
  <c r="K245" i="35"/>
  <c r="K244" i="35"/>
  <c r="K243" i="35"/>
  <c r="K242" i="35"/>
  <c r="K241" i="35"/>
  <c r="K240" i="35"/>
  <c r="K239" i="35"/>
  <c r="K238" i="35"/>
  <c r="K237" i="35"/>
  <c r="K236" i="35"/>
  <c r="K235" i="35"/>
  <c r="K234" i="35"/>
  <c r="K233" i="35"/>
  <c r="K232" i="35"/>
  <c r="K231" i="35"/>
  <c r="K230" i="35"/>
  <c r="K229" i="35"/>
  <c r="K228" i="35"/>
  <c r="K227" i="35"/>
  <c r="K226" i="35"/>
  <c r="K225" i="35"/>
  <c r="K224" i="35"/>
  <c r="K223" i="35"/>
  <c r="K222" i="35"/>
  <c r="K221" i="35"/>
  <c r="K220" i="35"/>
  <c r="K219" i="35"/>
  <c r="K218" i="35"/>
  <c r="K217" i="35"/>
  <c r="K216" i="35"/>
  <c r="K215" i="35"/>
  <c r="K214" i="35"/>
  <c r="K213" i="35"/>
  <c r="K212" i="35"/>
  <c r="K211" i="35"/>
  <c r="K210" i="35"/>
  <c r="K209" i="35"/>
  <c r="K208" i="35"/>
  <c r="K207" i="35"/>
  <c r="K206" i="35"/>
  <c r="K205" i="35"/>
  <c r="K204" i="35"/>
  <c r="K203" i="35"/>
  <c r="K202" i="35"/>
  <c r="K201" i="35"/>
  <c r="K200" i="35"/>
  <c r="K199" i="35"/>
  <c r="K198" i="35"/>
  <c r="K197" i="35"/>
  <c r="K196" i="35"/>
  <c r="K195" i="35"/>
  <c r="K194" i="35"/>
  <c r="K193" i="35"/>
  <c r="K192" i="35"/>
  <c r="K191" i="35"/>
  <c r="K190" i="35"/>
  <c r="K189" i="35"/>
  <c r="K188" i="35"/>
  <c r="K187" i="35"/>
  <c r="K186" i="35"/>
  <c r="K185" i="35"/>
  <c r="K184" i="35"/>
  <c r="K183" i="35"/>
  <c r="K182" i="35"/>
  <c r="K175" i="35"/>
  <c r="K174" i="35"/>
  <c r="K173" i="35"/>
  <c r="K172" i="35"/>
  <c r="K171" i="35"/>
  <c r="K170" i="35"/>
  <c r="K169" i="35"/>
  <c r="K168" i="35"/>
  <c r="K167" i="35"/>
  <c r="K166" i="35"/>
  <c r="K165" i="35"/>
  <c r="K164" i="35"/>
  <c r="K163" i="35"/>
  <c r="K162" i="35"/>
  <c r="K161" i="35"/>
  <c r="K160" i="35"/>
  <c r="K159" i="35"/>
  <c r="K158" i="35"/>
  <c r="K157" i="35"/>
  <c r="K156" i="35"/>
  <c r="K155" i="35"/>
  <c r="K154" i="35"/>
  <c r="K153" i="35"/>
  <c r="K152" i="35"/>
  <c r="K151" i="35"/>
  <c r="K150" i="35"/>
  <c r="K149" i="35"/>
  <c r="K148" i="35"/>
  <c r="K147" i="35"/>
  <c r="K146" i="35"/>
  <c r="K145" i="35"/>
  <c r="K144" i="35"/>
  <c r="K143" i="35"/>
  <c r="K142" i="35"/>
  <c r="K141" i="35"/>
  <c r="K140" i="35"/>
  <c r="K139" i="35"/>
  <c r="K138" i="35"/>
  <c r="K137" i="35"/>
  <c r="K136" i="35"/>
  <c r="K135" i="35"/>
  <c r="K134" i="35"/>
  <c r="K133" i="35"/>
  <c r="K132" i="35"/>
  <c r="K131" i="35"/>
  <c r="K130" i="35"/>
  <c r="K129" i="35"/>
  <c r="K128" i="35"/>
  <c r="K127" i="35"/>
  <c r="K126" i="35"/>
  <c r="K125" i="35"/>
  <c r="K124" i="35"/>
  <c r="K123" i="35"/>
  <c r="K122" i="35"/>
  <c r="K121" i="35"/>
  <c r="K120" i="35"/>
  <c r="K119" i="35"/>
  <c r="K118" i="35"/>
  <c r="K117" i="35"/>
  <c r="K116" i="35"/>
  <c r="K115" i="35"/>
  <c r="K114" i="35"/>
  <c r="K113" i="35"/>
  <c r="K112" i="35"/>
  <c r="K111" i="35"/>
  <c r="K110" i="35"/>
  <c r="K109" i="35"/>
  <c r="K108" i="35"/>
  <c r="K107" i="35"/>
  <c r="K106" i="35"/>
  <c r="K105" i="35"/>
  <c r="K104" i="35"/>
  <c r="K103" i="35"/>
  <c r="K102" i="35"/>
  <c r="K101" i="35"/>
  <c r="K100" i="35"/>
  <c r="K99" i="35"/>
  <c r="K98" i="35"/>
  <c r="K97" i="35"/>
  <c r="K96" i="35"/>
  <c r="K95" i="35"/>
  <c r="K94" i="35"/>
  <c r="K93" i="35"/>
  <c r="K92" i="35"/>
  <c r="K91" i="35"/>
  <c r="K90" i="35"/>
  <c r="K89" i="35"/>
  <c r="K88" i="35"/>
  <c r="K87" i="35"/>
  <c r="K86" i="35"/>
  <c r="K85" i="35"/>
  <c r="K84" i="35"/>
  <c r="K83" i="35"/>
  <c r="K82" i="35"/>
  <c r="K81" i="35"/>
  <c r="K80" i="35"/>
  <c r="K79" i="35"/>
  <c r="K78" i="35"/>
  <c r="K77" i="35"/>
  <c r="K76" i="35"/>
  <c r="K75" i="35"/>
  <c r="K74" i="35"/>
  <c r="K73" i="35"/>
  <c r="K72" i="35"/>
  <c r="K71" i="35"/>
  <c r="K70" i="35"/>
  <c r="K69" i="35"/>
  <c r="K68" i="35"/>
  <c r="K67" i="35"/>
  <c r="K66" i="35"/>
  <c r="K65" i="35"/>
  <c r="K64" i="35"/>
  <c r="K63" i="35"/>
  <c r="K62" i="35"/>
  <c r="K61" i="35"/>
  <c r="K60" i="35"/>
  <c r="K59" i="35"/>
  <c r="K58" i="35"/>
  <c r="K57" i="35"/>
  <c r="K56" i="35"/>
  <c r="K55" i="35"/>
  <c r="K54" i="35"/>
  <c r="K53" i="35"/>
  <c r="K52" i="35"/>
  <c r="K51" i="35"/>
  <c r="K50" i="35"/>
  <c r="K49" i="35"/>
  <c r="K48" i="35"/>
  <c r="K47" i="35"/>
  <c r="K46" i="35"/>
  <c r="K45" i="35"/>
  <c r="K44" i="35"/>
  <c r="K43" i="35"/>
  <c r="K42" i="35"/>
  <c r="K41" i="35"/>
  <c r="K40" i="35"/>
  <c r="K39" i="35"/>
  <c r="K38" i="35"/>
  <c r="K37" i="35"/>
  <c r="K36" i="35"/>
  <c r="K35" i="35"/>
  <c r="K34" i="35"/>
  <c r="K33" i="35"/>
  <c r="K32" i="35"/>
  <c r="K31" i="35"/>
  <c r="K30" i="35"/>
  <c r="K29" i="35"/>
  <c r="K28" i="35"/>
  <c r="K27" i="35"/>
  <c r="K26" i="35"/>
  <c r="K25" i="35"/>
  <c r="K24" i="35"/>
  <c r="K23" i="35"/>
  <c r="K22" i="35"/>
  <c r="K21" i="35"/>
  <c r="K20" i="35"/>
  <c r="K19" i="35"/>
  <c r="K18" i="35"/>
  <c r="K17" i="35"/>
  <c r="K16" i="35"/>
  <c r="K15" i="35"/>
  <c r="K14" i="35"/>
  <c r="K4" i="35"/>
  <c r="K13" i="35"/>
  <c r="K12" i="35"/>
  <c r="K11" i="35"/>
  <c r="K10" i="35"/>
  <c r="K9" i="35"/>
  <c r="K8" i="35"/>
  <c r="K7" i="35"/>
  <c r="K6" i="35"/>
  <c r="K5" i="35"/>
  <c r="K3" i="35"/>
  <c r="K2" i="35"/>
  <c r="J2" i="3"/>
  <c r="J155" i="4"/>
  <c r="J103" i="4"/>
  <c r="J8" i="3"/>
  <c r="I14" i="20"/>
  <c r="I13" i="20"/>
  <c r="V36" i="30" l="1"/>
  <c r="S36" i="30"/>
  <c r="K35" i="30"/>
  <c r="G94" i="34" l="1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G3" i="34"/>
  <c r="G2" i="34"/>
  <c r="AE22" i="32" l="1"/>
  <c r="AE21" i="32"/>
  <c r="AE20" i="32"/>
  <c r="AE19" i="32"/>
  <c r="AE18" i="32"/>
  <c r="AE17" i="32"/>
  <c r="AE16" i="32"/>
  <c r="AE15" i="32"/>
  <c r="AE14" i="32"/>
  <c r="AE13" i="32"/>
  <c r="AE12" i="32"/>
  <c r="AE11" i="32"/>
  <c r="AE10" i="32"/>
  <c r="AE9" i="32"/>
  <c r="AE8" i="32"/>
  <c r="AE7" i="32"/>
  <c r="AE6" i="32"/>
  <c r="AE5" i="32"/>
  <c r="AE4" i="32"/>
  <c r="AE3" i="32"/>
  <c r="AE2" i="32"/>
  <c r="AD23" i="32"/>
  <c r="M6" i="30" l="1"/>
  <c r="J25" i="23"/>
  <c r="J24" i="23"/>
  <c r="J23" i="23"/>
  <c r="J22" i="23"/>
  <c r="J21" i="23"/>
  <c r="J20" i="23"/>
  <c r="J26" i="23" s="1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J4" i="23"/>
  <c r="J3" i="23"/>
  <c r="J2" i="23"/>
  <c r="J11" i="22"/>
  <c r="J10" i="22"/>
  <c r="J9" i="22"/>
  <c r="J8" i="22"/>
  <c r="J7" i="22"/>
  <c r="J6" i="22"/>
  <c r="J5" i="22"/>
  <c r="J4" i="22"/>
  <c r="J3" i="22"/>
  <c r="J2" i="22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J2" i="17"/>
  <c r="J29" i="20" l="1"/>
  <c r="J66" i="10"/>
  <c r="J36" i="30"/>
  <c r="M11" i="30"/>
  <c r="K727" i="1"/>
  <c r="K736" i="1"/>
  <c r="K735" i="1"/>
  <c r="K734" i="1"/>
  <c r="K733" i="1"/>
  <c r="K732" i="1"/>
  <c r="K731" i="1"/>
  <c r="K730" i="1"/>
  <c r="K729" i="1"/>
  <c r="K728" i="1"/>
  <c r="M30" i="30"/>
  <c r="M22" i="30"/>
  <c r="M21" i="30"/>
  <c r="M20" i="30"/>
  <c r="M19" i="30"/>
  <c r="M18" i="30"/>
  <c r="M17" i="30"/>
  <c r="M16" i="30"/>
  <c r="M15" i="30"/>
  <c r="M14" i="30"/>
  <c r="M13" i="30"/>
  <c r="M12" i="30"/>
  <c r="M10" i="30"/>
  <c r="M9" i="30"/>
  <c r="M8" i="30"/>
  <c r="M7" i="30"/>
  <c r="M5" i="30"/>
  <c r="M4" i="30"/>
  <c r="L31" i="30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G702" i="1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H4" i="29"/>
  <c r="H3" i="29"/>
  <c r="H2" i="29"/>
  <c r="E10" i="29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1" i="1"/>
  <c r="K550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737" i="1" s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57" i="1"/>
  <c r="K652" i="1"/>
  <c r="I651" i="1"/>
  <c r="K651" i="1" s="1"/>
  <c r="I660" i="1"/>
  <c r="K660" i="1" s="1"/>
  <c r="I659" i="1"/>
  <c r="K659" i="1" s="1"/>
  <c r="I658" i="1"/>
  <c r="K658" i="1" s="1"/>
  <c r="I657" i="1"/>
  <c r="I656" i="1"/>
  <c r="K656" i="1" s="1"/>
  <c r="I655" i="1"/>
  <c r="K655" i="1" s="1"/>
  <c r="I654" i="1"/>
  <c r="K654" i="1" s="1"/>
  <c r="I653" i="1"/>
  <c r="K653" i="1" s="1"/>
  <c r="I652" i="1"/>
  <c r="J12" i="22"/>
  <c r="L2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H11" i="21"/>
  <c r="H10" i="21"/>
  <c r="H9" i="21"/>
  <c r="H8" i="21"/>
  <c r="H7" i="21"/>
  <c r="H6" i="21"/>
  <c r="H5" i="21"/>
  <c r="H4" i="21"/>
  <c r="H3" i="21"/>
  <c r="H2" i="21"/>
  <c r="J636" i="1"/>
  <c r="K636" i="1" s="1"/>
  <c r="J635" i="1"/>
  <c r="K635" i="1" s="1"/>
  <c r="I9" i="19"/>
  <c r="I8" i="19"/>
  <c r="I7" i="19"/>
  <c r="I6" i="19"/>
  <c r="I5" i="19"/>
  <c r="I4" i="19"/>
  <c r="I3" i="19"/>
  <c r="I2" i="19"/>
  <c r="I10" i="19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140" i="18" s="1"/>
  <c r="J7" i="18"/>
  <c r="J6" i="18"/>
  <c r="J5" i="18"/>
  <c r="J4" i="18"/>
  <c r="J3" i="18"/>
  <c r="J2" i="18"/>
  <c r="F68" i="18"/>
  <c r="F65" i="18"/>
  <c r="G552" i="1"/>
  <c r="K552" i="1" s="1"/>
  <c r="G549" i="1"/>
  <c r="K549" i="1" s="1"/>
  <c r="J20" i="17"/>
  <c r="L21" i="21" l="1"/>
  <c r="M22" i="20"/>
  <c r="M10" i="20"/>
  <c r="M21" i="20"/>
  <c r="M9" i="20"/>
  <c r="M20" i="20"/>
  <c r="M8" i="20"/>
  <c r="M19" i="20"/>
  <c r="M7" i="20"/>
  <c r="M18" i="20"/>
  <c r="M6" i="20"/>
  <c r="M17" i="20"/>
  <c r="M5" i="20"/>
  <c r="M28" i="20"/>
  <c r="M16" i="20"/>
  <c r="M4" i="20"/>
  <c r="M27" i="20"/>
  <c r="M15" i="20"/>
  <c r="M3" i="20"/>
  <c r="M26" i="20"/>
  <c r="M14" i="20"/>
  <c r="M2" i="20"/>
  <c r="M25" i="20"/>
  <c r="M13" i="20"/>
  <c r="M24" i="20"/>
  <c r="M12" i="20"/>
  <c r="M23" i="20"/>
  <c r="M11" i="20"/>
  <c r="K36" i="30"/>
  <c r="H35" i="29"/>
  <c r="J13" i="15"/>
  <c r="J14" i="15" s="1"/>
  <c r="J12" i="15"/>
  <c r="J11" i="15"/>
  <c r="J10" i="15"/>
  <c r="J9" i="15"/>
  <c r="J8" i="15"/>
  <c r="J7" i="15"/>
  <c r="J6" i="15"/>
  <c r="J5" i="15"/>
  <c r="J4" i="15"/>
  <c r="J3" i="15"/>
  <c r="J2" i="15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2" i="14"/>
  <c r="J126" i="14" s="1"/>
  <c r="J9" i="13"/>
  <c r="J8" i="13"/>
  <c r="J7" i="13"/>
  <c r="J6" i="13"/>
  <c r="J5" i="13"/>
  <c r="J4" i="13"/>
  <c r="J10" i="13" s="1"/>
  <c r="J3" i="13"/>
  <c r="J2" i="13"/>
  <c r="J2" i="12"/>
  <c r="J3" i="12"/>
  <c r="J5" i="11"/>
  <c r="J4" i="11"/>
  <c r="J3" i="11"/>
  <c r="J2" i="11"/>
  <c r="J6" i="11" s="1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J11" i="8"/>
  <c r="J10" i="8"/>
  <c r="J9" i="8"/>
  <c r="J8" i="8"/>
  <c r="J7" i="8"/>
  <c r="J6" i="8"/>
  <c r="J5" i="8"/>
  <c r="J4" i="8"/>
  <c r="J3" i="8"/>
  <c r="J2" i="8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45" i="7" s="1"/>
  <c r="J8" i="7"/>
  <c r="J7" i="7"/>
  <c r="J6" i="7"/>
  <c r="J5" i="7"/>
  <c r="J4" i="7"/>
  <c r="J3" i="7"/>
  <c r="J2" i="7"/>
  <c r="J21" i="6"/>
  <c r="J20" i="6"/>
  <c r="J19" i="6"/>
  <c r="J18" i="6"/>
  <c r="J17" i="6"/>
  <c r="J16" i="6"/>
  <c r="J15" i="6"/>
  <c r="J14" i="6"/>
  <c r="J13" i="6"/>
  <c r="J12" i="6"/>
  <c r="J11" i="6"/>
  <c r="J10" i="6"/>
  <c r="J22" i="6" s="1"/>
  <c r="J9" i="6"/>
  <c r="J8" i="6"/>
  <c r="J7" i="6"/>
  <c r="J6" i="6"/>
  <c r="J5" i="6"/>
  <c r="J4" i="6"/>
  <c r="J3" i="6"/>
  <c r="J2" i="6"/>
  <c r="J7" i="5"/>
  <c r="J6" i="5"/>
  <c r="J5" i="5"/>
  <c r="J4" i="5"/>
  <c r="J3" i="5"/>
  <c r="J2" i="5"/>
  <c r="J8" i="5"/>
  <c r="J163" i="4"/>
  <c r="J162" i="4"/>
  <c r="J161" i="4"/>
  <c r="J160" i="4"/>
  <c r="J159" i="4"/>
  <c r="J158" i="4"/>
  <c r="J157" i="4"/>
  <c r="J156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12" i="3"/>
  <c r="J11" i="3"/>
  <c r="J10" i="3"/>
  <c r="J9" i="3"/>
  <c r="J7" i="3"/>
  <c r="J6" i="3"/>
  <c r="J5" i="3"/>
  <c r="J4" i="3"/>
  <c r="J3" i="3"/>
  <c r="J13" i="3" s="1"/>
  <c r="J2" i="2"/>
  <c r="J3" i="2" s="1"/>
  <c r="J12" i="8" l="1"/>
  <c r="J164" i="4"/>
</calcChain>
</file>

<file path=xl/sharedStrings.xml><?xml version="1.0" encoding="utf-8"?>
<sst xmlns="http://schemas.openxmlformats.org/spreadsheetml/2006/main" count="14481" uniqueCount="1365">
  <si>
    <t>Sr. No</t>
  </si>
  <si>
    <t>Project Code</t>
  </si>
  <si>
    <t>Project Name</t>
  </si>
  <si>
    <t>Material Description</t>
  </si>
  <si>
    <t>Spec</t>
  </si>
  <si>
    <t>Qty</t>
  </si>
  <si>
    <t>UoM</t>
  </si>
  <si>
    <t xml:space="preserve">Make </t>
  </si>
  <si>
    <t>U/R</t>
  </si>
  <si>
    <t>Amount</t>
  </si>
  <si>
    <t>G10-44040</t>
  </si>
  <si>
    <t>Sattva Image Tower-HVAC Works</t>
  </si>
  <si>
    <t>900 mm dia C class MS Pipe</t>
  </si>
  <si>
    <t>10mm Thick</t>
  </si>
  <si>
    <t>Rmt</t>
  </si>
  <si>
    <t>JCO</t>
  </si>
  <si>
    <t>Total</t>
  </si>
  <si>
    <t>G10-44039</t>
  </si>
  <si>
    <t>Apollo Hospitals - MEP Works - Hyd</t>
  </si>
  <si>
    <t>PIBCV Valve-25mm</t>
  </si>
  <si>
    <t>PIBCV Valve-40mm</t>
  </si>
  <si>
    <t>PIBCV Valve-50mm</t>
  </si>
  <si>
    <t>PIBCV Valve-65mm</t>
  </si>
  <si>
    <t>PIBCV Valve-80mm</t>
  </si>
  <si>
    <t>11KW Starter Panel</t>
  </si>
  <si>
    <t>5.5 Kw starter Panel</t>
  </si>
  <si>
    <t>3.7 kw starter panel</t>
  </si>
  <si>
    <t>2.2 kw starter panel</t>
  </si>
  <si>
    <t>1.5 kw starter panel</t>
  </si>
  <si>
    <t>0.75 kw starter panel</t>
  </si>
  <si>
    <t>PN16</t>
  </si>
  <si>
    <t>VFD Bye Pass</t>
  </si>
  <si>
    <t>DOL Starter Panel</t>
  </si>
  <si>
    <t>Nos</t>
  </si>
  <si>
    <t xml:space="preserve">Nos </t>
  </si>
  <si>
    <t>Danfoss</t>
  </si>
  <si>
    <t>VK Power master</t>
  </si>
  <si>
    <t>Declare Date</t>
  </si>
  <si>
    <t>G10-10030</t>
  </si>
  <si>
    <t>WMUD TOWER A RESIDENTIAL (NEW)</t>
  </si>
  <si>
    <t>SS 90 Deg. Elbow 300MM</t>
  </si>
  <si>
    <t>SS 90 Deg. Elbow 200MM</t>
  </si>
  <si>
    <t>SS 45 Deg. Elbow 65MM</t>
  </si>
  <si>
    <t>SS 90 Deg. Elbow 50MM</t>
  </si>
  <si>
    <t>SS 45 Deg. Elbow 50MM</t>
  </si>
  <si>
    <t>SS 90 Deg. Elbow 40MM</t>
  </si>
  <si>
    <t>SS 90 Deg. Elbow 32MM</t>
  </si>
  <si>
    <t>SS 45 Deg. Elbow 20MM</t>
  </si>
  <si>
    <t>SS 90 Deg. Elbow 20MM Threaded</t>
  </si>
  <si>
    <t>SS 45 Deg. Elbow 15MM</t>
  </si>
  <si>
    <t>SS 90 Deg. Elbow 15MM</t>
  </si>
  <si>
    <t>SS 90 Deg. Elbow 15MM Threaded</t>
  </si>
  <si>
    <t>SS Coupling 300MM</t>
  </si>
  <si>
    <t>SS Coupling 200MM</t>
  </si>
  <si>
    <t>SS Coupling 150MM</t>
  </si>
  <si>
    <t>SS Coupling 100MM</t>
  </si>
  <si>
    <t>SS Coupling 80MM</t>
  </si>
  <si>
    <t>SS Coupling 65MM</t>
  </si>
  <si>
    <t>SS Coupling 50MM</t>
  </si>
  <si>
    <t>SS Coupling 40MM</t>
  </si>
  <si>
    <t>SS Coupling 32MM</t>
  </si>
  <si>
    <t>SS Tee 200mm X 200mm</t>
  </si>
  <si>
    <t>SS Tee 200mm X 100mm</t>
  </si>
  <si>
    <t>SS Tee 200mm X 80mm</t>
  </si>
  <si>
    <t>SS Tee 150mm X 150mm</t>
  </si>
  <si>
    <t>SS Tee 100mm X 100mm</t>
  </si>
  <si>
    <t>SS Tee 100mm X 40mm</t>
  </si>
  <si>
    <t>SS Tee 80mm X 80mm</t>
  </si>
  <si>
    <t>SS Tee 80mm X 65mm</t>
  </si>
  <si>
    <t>SS Tee 80mm X 50mm</t>
  </si>
  <si>
    <t>SS Tee 80mm X 32mm</t>
  </si>
  <si>
    <t>SS Tee 80mm X 15mm</t>
  </si>
  <si>
    <t>SS Tee 65mm X 65mm</t>
  </si>
  <si>
    <t>SS Tee 65mm X 50mm</t>
  </si>
  <si>
    <t>SS Tee 65mm X 40mm</t>
  </si>
  <si>
    <t>SS Tee 65mm X 32mm</t>
  </si>
  <si>
    <t>SS Tee 50mm X 32mm</t>
  </si>
  <si>
    <t>SS Tee 50mm X 25mm</t>
  </si>
  <si>
    <t>SS Tee 50mm X 50mm</t>
  </si>
  <si>
    <t>SS Tee 50mm X 40mm</t>
  </si>
  <si>
    <t>SS Tee 40mm X 32mm</t>
  </si>
  <si>
    <t>SS Tee 40mm X 40mm</t>
  </si>
  <si>
    <t>SS Tee 40mm X 25mm</t>
  </si>
  <si>
    <t>SS Tee 32mm X 25mm</t>
  </si>
  <si>
    <t>SS Tee 32mm X 32mm</t>
  </si>
  <si>
    <t>SS Tee 32mm X 15mm</t>
  </si>
  <si>
    <t>SS Tee 20mm X 20mm</t>
  </si>
  <si>
    <t>SS Tee 20mm X 15mm</t>
  </si>
  <si>
    <t>SS Tee 20mm X 15mm Threaded</t>
  </si>
  <si>
    <t>SS Tee 15mm X 15mm</t>
  </si>
  <si>
    <t>SS Welded Tee 200mm X 80mm</t>
  </si>
  <si>
    <t>SS Welded Tee 80mm X 80mm</t>
  </si>
  <si>
    <t>SS Welded Tee 80mm X 25mm</t>
  </si>
  <si>
    <t>SS Welded Tee 65mm X 65mm</t>
  </si>
  <si>
    <t>SS Welded Tee 65mm X 32mm</t>
  </si>
  <si>
    <t>SS Welded Tee 50mm X 50mm</t>
  </si>
  <si>
    <t>SS Welded Tee 32mm X 25mm</t>
  </si>
  <si>
    <t>SS Welded Tee 32mm X 15mm</t>
  </si>
  <si>
    <t>SS Welded Tee 25mm X 20mm</t>
  </si>
  <si>
    <t>SS FTA 50mm</t>
  </si>
  <si>
    <t>SS FTA 40mm</t>
  </si>
  <si>
    <t>SS FTA 32mm</t>
  </si>
  <si>
    <t>SS Union 25MM</t>
  </si>
  <si>
    <t>SS Union 20MM</t>
  </si>
  <si>
    <t>SS Union 15MM</t>
  </si>
  <si>
    <t>SS Socket 15MM</t>
  </si>
  <si>
    <t>SS Socket 25MM</t>
  </si>
  <si>
    <t>SS Reducer Socket 20mm X 15mm</t>
  </si>
  <si>
    <t>SS Reducer Socket 25mm X 20mm</t>
  </si>
  <si>
    <t>SS Reducer Socket 25mm X 15mm</t>
  </si>
  <si>
    <t>SS Reducer Socket 40mm X 32mm</t>
  </si>
  <si>
    <t>SS Reducer Socket 65mm X 50mm</t>
  </si>
  <si>
    <t>SS Reducer Socket 80mm X 50mm</t>
  </si>
  <si>
    <t>SS Reducer Socket 50mm X 40mm</t>
  </si>
  <si>
    <t>SS Reducer Socket 50mm X 25mm</t>
  </si>
  <si>
    <t>SS Reducer Socket 100mm X 80mm</t>
  </si>
  <si>
    <t>SS Reducer Socket 300mm X 100mm</t>
  </si>
  <si>
    <t>SS Reducer Socket 150mm X 80mm</t>
  </si>
  <si>
    <t>SS Reducer Socket 150mm X 100mm</t>
  </si>
  <si>
    <t>SS Reducer Socket 150mm X 65mm</t>
  </si>
  <si>
    <t>SS S/W Socket 20MM</t>
  </si>
  <si>
    <t>SS S/W Socket 25MM</t>
  </si>
  <si>
    <t>SS S/W Socket 15MM</t>
  </si>
  <si>
    <t>SS S/W Reducer Socket 32mm X 15mm</t>
  </si>
  <si>
    <t>SS S/W Reducer Socket 32mm X 20mm</t>
  </si>
  <si>
    <t>SS Dummy Flange 300MM</t>
  </si>
  <si>
    <t>SS Grooved tail piece flange 300MM</t>
  </si>
  <si>
    <t>SS Grooved tail piece flange 65MM</t>
  </si>
  <si>
    <t>SS Welded Flange 65MM</t>
  </si>
  <si>
    <t>SS Welded Flange 200MM</t>
  </si>
  <si>
    <t>SS Welded Flange 100MM</t>
  </si>
  <si>
    <t>SS Dummy Flange 100MM</t>
  </si>
  <si>
    <t>SS Welded Flange 80MM</t>
  </si>
  <si>
    <t>SS Grooved Flange 100MM</t>
  </si>
  <si>
    <t>SS Grooved Flange 80MM</t>
  </si>
  <si>
    <t>SS Grooved Flange 65MM</t>
  </si>
  <si>
    <t>GI B/W Reducer 200mm x 150mm</t>
  </si>
  <si>
    <t xml:space="preserve">GI 90 Deg Elbow 200MM  </t>
  </si>
  <si>
    <t xml:space="preserve">GI Pipe 200MM  </t>
  </si>
  <si>
    <t xml:space="preserve">GI Pipe 250MM  </t>
  </si>
  <si>
    <t xml:space="preserve">GI Pipe 300MM  </t>
  </si>
  <si>
    <t>UPVC Pipe 65MM</t>
  </si>
  <si>
    <t>PVC Elbow 90 Deg. 50MM</t>
  </si>
  <si>
    <t>PVC Elbow 45 Deg. 100MM</t>
  </si>
  <si>
    <t>PVC Reducer 100MM x 75MM</t>
  </si>
  <si>
    <t>PVC Tee 150MM x 100MM</t>
  </si>
  <si>
    <t>PVC Double Y 160MM x 160MM</t>
  </si>
  <si>
    <t xml:space="preserve">PVC Single Y 110MM </t>
  </si>
  <si>
    <t>Brass 90 Deg. Elbow 15MM</t>
  </si>
  <si>
    <t>Brass Tee 32MM</t>
  </si>
  <si>
    <t>Copper 45 Deg. Elbow 15MM</t>
  </si>
  <si>
    <t>Copper 45 Deg. Elbow 20MM</t>
  </si>
  <si>
    <t>Copper 90 Deg. Elbow 15MM</t>
  </si>
  <si>
    <t>Copper 90 Deg. Elbow 20MM</t>
  </si>
  <si>
    <t>Copper Reducer 20MM X 15MM</t>
  </si>
  <si>
    <t>Copper Reducer 25MM X 15MM</t>
  </si>
  <si>
    <t>Copper Reducer 32MM X 20MM</t>
  </si>
  <si>
    <t>Copper Socket 15MM</t>
  </si>
  <si>
    <t>Copper Socket 20MM</t>
  </si>
  <si>
    <t>Copper Tee 15MM</t>
  </si>
  <si>
    <t>Copper Tee 20MM</t>
  </si>
  <si>
    <t>Copper Tee 20MM X 15MM</t>
  </si>
  <si>
    <t>Copper Tee 25MM X 20MM</t>
  </si>
  <si>
    <t>Flux (Pest for copper joint)</t>
  </si>
  <si>
    <t>FTA Brass 15MM</t>
  </si>
  <si>
    <t>MTA Brass 15MM</t>
  </si>
  <si>
    <t>MTA Brass 20MM</t>
  </si>
  <si>
    <t>MTA Brass 20MM X 15MM</t>
  </si>
  <si>
    <t>MTA Brass 25MM</t>
  </si>
  <si>
    <t>MTA Brass 32MM</t>
  </si>
  <si>
    <t>Low Noise Reducer 110MM x 50MM</t>
  </si>
  <si>
    <t>Low Noise 90 Deg Elbow 75MM</t>
  </si>
  <si>
    <t>Low Noise 45 Deg Elbow 75MM</t>
  </si>
  <si>
    <t>Low Noise Y 110MM x 75MM</t>
  </si>
  <si>
    <t>Low Noise socket 50MM</t>
  </si>
  <si>
    <t>Low Noise socket 70MM</t>
  </si>
  <si>
    <t>Low Noise Multi Trap 110x75x50</t>
  </si>
  <si>
    <t>Low Noise 90 Deg Elbow 50MM</t>
  </si>
  <si>
    <t>Low Noise Tee 50MM</t>
  </si>
  <si>
    <t>SS Fittings</t>
  </si>
  <si>
    <t xml:space="preserve">GI Fittings </t>
  </si>
  <si>
    <t>GI Pipes</t>
  </si>
  <si>
    <t>Mtr</t>
  </si>
  <si>
    <t>UPVC Piipe</t>
  </si>
  <si>
    <t>Mtrs</t>
  </si>
  <si>
    <t>PVC Fittings</t>
  </si>
  <si>
    <t>Copper Fittings</t>
  </si>
  <si>
    <t>Low Noise Fittings</t>
  </si>
  <si>
    <t>-</t>
  </si>
  <si>
    <t>Shurjoint</t>
  </si>
  <si>
    <t>Fitwel</t>
  </si>
  <si>
    <t>Grinnell</t>
  </si>
  <si>
    <t>Metal Lloyd</t>
  </si>
  <si>
    <t>Jindal Hissar</t>
  </si>
  <si>
    <t>Astral</t>
  </si>
  <si>
    <t>Finolex</t>
  </si>
  <si>
    <t>Wavin</t>
  </si>
  <si>
    <t>Viega</t>
  </si>
  <si>
    <t>Supreme</t>
  </si>
  <si>
    <t>Manual Balance valves Gear Type 250 mm DIA</t>
  </si>
  <si>
    <t>Manual Balance valves Gear Type 200 mm DIA</t>
  </si>
  <si>
    <t>RUBBER BELLOW Type 250 mm DIA</t>
  </si>
  <si>
    <t>RUBBER BELLOW Type 200 mm DIA</t>
  </si>
  <si>
    <t>Y-STRAINER 250 MM DIA</t>
  </si>
  <si>
    <t>Y-STRAINER 200 MM DIA</t>
  </si>
  <si>
    <t>*Globe Type Flanged End Construction PN-16</t>
  </si>
  <si>
    <t>ADVANCE</t>
  </si>
  <si>
    <t xml:space="preserve">PN 16 </t>
  </si>
  <si>
    <t>RESISTOFLEX</t>
  </si>
  <si>
    <t>D S ENGINEERING</t>
  </si>
  <si>
    <t>G10-42020</t>
  </si>
  <si>
    <t>ETV Parcel 8-A,B,C-HVAC Works</t>
  </si>
  <si>
    <t>Pr. Indpendent Balancing+2Way Valve 40mm</t>
  </si>
  <si>
    <t>Balancing Valve CI 25mm dia   PN16 FE</t>
  </si>
  <si>
    <t>B/F VALVE CI LUG TYPE 125MM DIA  PN 16</t>
  </si>
  <si>
    <t>B/F VALVE CI LUG TYPE 100MM DIA  PN 16</t>
  </si>
  <si>
    <t>B/F VALVE CI LUG TYPE 50MM DIA  PN 16</t>
  </si>
  <si>
    <t>B/F VALVE CI LUG TYPE 250MM DIA  PN 16</t>
  </si>
  <si>
    <t>B/F VALVE CI LUG TYPE 200MM DIA  PN 16</t>
  </si>
  <si>
    <t>Balancing Valve CI 65mm dia   PN16 FE</t>
  </si>
  <si>
    <t>Balancing Valve CI 100mm dia   PN16 FE</t>
  </si>
  <si>
    <t>Balancing Valve CI 80mm dia   PN16 FE</t>
  </si>
  <si>
    <t>Balancing Valve CI 50 mm dia   PN16 FE</t>
  </si>
  <si>
    <t>Balancing Valve CI 32 mm dia   PN16 FE</t>
  </si>
  <si>
    <t>STRAINER Y FEPN16 MS SS SC 80 MM</t>
  </si>
  <si>
    <t>STRAINER Y FEPN16 MS SS SC 65 MM</t>
  </si>
  <si>
    <t>Pipe ERW MS 8MM Thk 300 mm Dia</t>
  </si>
  <si>
    <t>Pipe ERW MS 8MM Thk 200 mm Dia</t>
  </si>
  <si>
    <t>Pipe ERW MS 8MM Thk 250 mm Dia</t>
  </si>
  <si>
    <t>Pipe ERW MS Class C 50 mm Dia</t>
  </si>
  <si>
    <t>Pipe ERW MS Class C 65 mm Dia</t>
  </si>
  <si>
    <t>FIRE RATED INSULATION</t>
  </si>
  <si>
    <t>40mm</t>
  </si>
  <si>
    <t>25mm</t>
  </si>
  <si>
    <t>125mm</t>
  </si>
  <si>
    <t>100mm</t>
  </si>
  <si>
    <t>50mm</t>
  </si>
  <si>
    <t>250mm</t>
  </si>
  <si>
    <t>200mm</t>
  </si>
  <si>
    <t>65mm</t>
  </si>
  <si>
    <t>80mm</t>
  </si>
  <si>
    <t>32mm</t>
  </si>
  <si>
    <t>300mm</t>
  </si>
  <si>
    <t>1200X600</t>
  </si>
  <si>
    <t>SEIMENS</t>
  </si>
  <si>
    <t>CASTLE VALVES PVT LTD</t>
  </si>
  <si>
    <t>Advance</t>
  </si>
  <si>
    <t>Emerland</t>
  </si>
  <si>
    <t>Jindal Hisar class,c</t>
  </si>
  <si>
    <t>ENERGY SAVING &amp; ALLIED PRODUCST</t>
  </si>
  <si>
    <t>NOS</t>
  </si>
  <si>
    <t>RMT</t>
  </si>
  <si>
    <t xml:space="preserve">SQMT </t>
  </si>
  <si>
    <t>G10-34010</t>
  </si>
  <si>
    <t>HVAC Works for Medanta Hospital Noida</t>
  </si>
  <si>
    <t>Hose Box</t>
  </si>
  <si>
    <t>600 x 600 mm</t>
  </si>
  <si>
    <t>NewAge</t>
  </si>
  <si>
    <t>Wall Mounted Fan</t>
  </si>
  <si>
    <t>450mm 1 P</t>
  </si>
  <si>
    <t>Bajaj</t>
  </si>
  <si>
    <t>Wall Mounted Fan - Exhaust</t>
  </si>
  <si>
    <t>250 mm</t>
  </si>
  <si>
    <t>almonard</t>
  </si>
  <si>
    <t>DX 250</t>
  </si>
  <si>
    <t>Back Box</t>
  </si>
  <si>
    <t>3M</t>
  </si>
  <si>
    <t>MK</t>
  </si>
  <si>
    <t>8M</t>
  </si>
  <si>
    <t>Honeywell</t>
  </si>
  <si>
    <t>12M</t>
  </si>
  <si>
    <t>1/2 M</t>
  </si>
  <si>
    <t>front plate</t>
  </si>
  <si>
    <t>1m</t>
  </si>
  <si>
    <t>2m</t>
  </si>
  <si>
    <t>4M</t>
  </si>
  <si>
    <t>6M</t>
  </si>
  <si>
    <t>12m</t>
  </si>
  <si>
    <t>3 pin socket</t>
  </si>
  <si>
    <t>6/16 A</t>
  </si>
  <si>
    <t>Termination Box</t>
  </si>
  <si>
    <t>TPN 6WAY</t>
  </si>
  <si>
    <t>L &amp; T</t>
  </si>
  <si>
    <t>TPN 4WAY</t>
  </si>
  <si>
    <t>TPN 8WAY</t>
  </si>
  <si>
    <t>SPN 8WAY</t>
  </si>
  <si>
    <t>VDB</t>
  </si>
  <si>
    <t>VTPN 8WAY 250A MCCB DD</t>
  </si>
  <si>
    <t>MCB</t>
  </si>
  <si>
    <t>10A SP</t>
  </si>
  <si>
    <t>16A SP</t>
  </si>
  <si>
    <t>25A SP</t>
  </si>
  <si>
    <t>40A SP</t>
  </si>
  <si>
    <t>25A 3P</t>
  </si>
  <si>
    <t>32A 3P</t>
  </si>
  <si>
    <t>40A 3P</t>
  </si>
  <si>
    <t>63A 3P</t>
  </si>
  <si>
    <t>MCCB</t>
  </si>
  <si>
    <t>63A 4P</t>
  </si>
  <si>
    <t>80A 4P</t>
  </si>
  <si>
    <t>100A 4P</t>
  </si>
  <si>
    <t>125A 4P</t>
  </si>
  <si>
    <t>200A 4P</t>
  </si>
  <si>
    <t>RCCB</t>
  </si>
  <si>
    <t>100 mA 4P</t>
  </si>
  <si>
    <t>LED Light</t>
  </si>
  <si>
    <t>18W</t>
  </si>
  <si>
    <t>Mollisi SMI</t>
  </si>
  <si>
    <t>Back Box - PVC</t>
  </si>
  <si>
    <t>2 M</t>
  </si>
  <si>
    <t>Water Flow Switch</t>
  </si>
  <si>
    <t>100 mm Dia</t>
  </si>
  <si>
    <t>System Sensor</t>
  </si>
  <si>
    <t>Thermostat</t>
  </si>
  <si>
    <t>Blue Star</t>
  </si>
  <si>
    <t>Hooter</t>
  </si>
  <si>
    <t>Siemens</t>
  </si>
  <si>
    <t>G I Pipe</t>
  </si>
  <si>
    <t>200 mm Dia, 5.1 mm Wall thick.</t>
  </si>
  <si>
    <t>Jindal Star</t>
  </si>
  <si>
    <t>Ceiling Fan</t>
  </si>
  <si>
    <t>1200 mm 1 Star</t>
  </si>
  <si>
    <t>G10-46003</t>
  </si>
  <si>
    <t>P&amp;C  Projects Pvt Ltd ( DHK)</t>
  </si>
  <si>
    <t>G10-46009</t>
  </si>
  <si>
    <t xml:space="preserve">600 x 600 x 3 mm Cu. plate </t>
  </si>
  <si>
    <t>OBO</t>
  </si>
  <si>
    <t>Cabinet type exhaust fan(1500 CFM)</t>
  </si>
  <si>
    <t>Kruger</t>
  </si>
  <si>
    <t>Y strainer 200 mm dia</t>
  </si>
  <si>
    <t>SANT</t>
  </si>
  <si>
    <t>Y strainer 100 mm dia</t>
  </si>
  <si>
    <t>Butter fly valve 300 mm dia</t>
  </si>
  <si>
    <t xml:space="preserve">Advance </t>
  </si>
  <si>
    <t>Butter fly valve 250 mm dia</t>
  </si>
  <si>
    <t>Butter fly valve 125 mm dia</t>
  </si>
  <si>
    <t>Butter fly valve 100 mm dia</t>
  </si>
  <si>
    <t>AUDCO</t>
  </si>
  <si>
    <t>Water meter (Brass type) 25mm dia</t>
  </si>
  <si>
    <t>Kranti</t>
  </si>
  <si>
    <t>Lulu Mall-Kottayam</t>
  </si>
  <si>
    <t>6 ''   FLOW SWITCH</t>
  </si>
  <si>
    <t>ORIFACE  PLATE</t>
  </si>
  <si>
    <t>FLEXIBLE SPRINCKLER CONNECTION 1000 MM</t>
  </si>
  <si>
    <t>NEWAGE</t>
  </si>
  <si>
    <t>UPRIGHT SPRINCKLER</t>
  </si>
  <si>
    <t>PENDANT SPRINCKLER</t>
  </si>
  <si>
    <t>SIDE WALL SPRINCKLER</t>
  </si>
  <si>
    <t>DUAL PLATE CHECK VALVE  65 MM</t>
  </si>
  <si>
    <t>LEHRY</t>
  </si>
  <si>
    <t>DUAL PLATE CHECK VALVE  50 MM</t>
  </si>
  <si>
    <t>CI  COUPLING 100 MM</t>
  </si>
  <si>
    <t>Neco</t>
  </si>
  <si>
    <t>CI  COUPLING   75 MM</t>
  </si>
  <si>
    <t>CPVC PIPE  3''  SCH40  80   MM</t>
  </si>
  <si>
    <t>MTR</t>
  </si>
  <si>
    <t>TRUFLO</t>
  </si>
  <si>
    <t>CPVC PIPE  2''  11SDR  50   MM</t>
  </si>
  <si>
    <t>1''  FTA</t>
  </si>
  <si>
    <t xml:space="preserve">CPVC  4 ''  ELBOW </t>
  </si>
  <si>
    <t>CPVC  4''  FLANGE</t>
  </si>
  <si>
    <t>80 MM  BUTTERFLY VALVE</t>
  </si>
  <si>
    <t>L&amp;T</t>
  </si>
  <si>
    <t>6W    TPN DB</t>
  </si>
  <si>
    <t>VGUARD</t>
  </si>
  <si>
    <t>8W    TPN DB</t>
  </si>
  <si>
    <t>25A  DP MCB</t>
  </si>
  <si>
    <t>40A  30MA  2P  RCCB</t>
  </si>
  <si>
    <t>63A  100MA  4P  RCCB</t>
  </si>
  <si>
    <t>external weather proof box     300 x 300</t>
  </si>
  <si>
    <t>external weather proof box     150 x 300</t>
  </si>
  <si>
    <t>8M   COVER PLATE</t>
  </si>
  <si>
    <t>6M   COVER PLATE</t>
  </si>
  <si>
    <t>2M   COVER PLATE</t>
  </si>
  <si>
    <t>1M   COVER PLATE</t>
  </si>
  <si>
    <t>6/16A  SHUTTER TYPE SOCKET</t>
  </si>
  <si>
    <t>6A  3 PIN SOCKET</t>
  </si>
  <si>
    <t>10A  1 WAY  SWITCH</t>
  </si>
  <si>
    <t>8M   METAL   BOX</t>
  </si>
  <si>
    <t>6M   METAL   BOX</t>
  </si>
  <si>
    <t>4M   METAL   BOX</t>
  </si>
  <si>
    <t>3M   METAL BOX</t>
  </si>
  <si>
    <t>SCHNEIDER</t>
  </si>
  <si>
    <t>A9HKS316 -  16A  3P  ACT  9  P&amp;S  PROVISION</t>
  </si>
  <si>
    <t>PKF16F423 - PANEL SOCKET 16/2</t>
  </si>
  <si>
    <t>A9HKS332 -  32A  3P  ACT  9  P&amp;S  PROVISION</t>
  </si>
  <si>
    <t>A9KF71232 - MCB 2P 32A</t>
  </si>
  <si>
    <t>PKF32F434  PANEL SOCKET  ANGLED</t>
  </si>
  <si>
    <t>25A  2P  MCB</t>
  </si>
  <si>
    <t xml:space="preserve">     - 32A 4P  MCB</t>
  </si>
  <si>
    <t>A9KF71440   MCB  4P  40 A</t>
  </si>
  <si>
    <t>81283 - SOCLE  PRISE  ENC. INC  63A  3 PNT</t>
  </si>
  <si>
    <t>A9HKS563  - 5P  63A  Acti  9 Provision</t>
  </si>
  <si>
    <t>A9HK71263  63 A  2P  MCB</t>
  </si>
  <si>
    <t>81278  SOCLE  PRISE ENC 63A  2PT</t>
  </si>
  <si>
    <t>81283  SOCLE PRISE  ENC 63A 3 PNT</t>
  </si>
  <si>
    <t xml:space="preserve">13442  -  6 M   MINI  KAEDRA  </t>
  </si>
  <si>
    <t>A9N18374  -  4P  100 A   415V   MCB</t>
  </si>
  <si>
    <t>125A  INDUSTRIAL SOCKET</t>
  </si>
  <si>
    <t>3.5C  X  70 SQ.MM  AL  AR. CABLE</t>
  </si>
  <si>
    <t>POLYCAB</t>
  </si>
  <si>
    <t>3.5C  X  50 SQ.MM  AL  AR. CABLE</t>
  </si>
  <si>
    <t>3C  X  16 SQ. MM CU AR. CABLE</t>
  </si>
  <si>
    <t>3C  X 10 SQ. MM  CU  AR. CABLE</t>
  </si>
  <si>
    <t>3.5C  X  185 SQ.MM  AL  AR. CABLE ( FRESH)</t>
  </si>
  <si>
    <t>50X6 CU strip</t>
  </si>
  <si>
    <t>50X10 Cu strip</t>
  </si>
  <si>
    <t>G10-46012</t>
  </si>
  <si>
    <t>V Guard Innovation Campus-Kochi</t>
  </si>
  <si>
    <t>FOAMCORE 160 mm dia</t>
  </si>
  <si>
    <t>SN-04</t>
  </si>
  <si>
    <t>FOAMCORE 200 mm dia</t>
  </si>
  <si>
    <t>110 mm UPVC Pipe</t>
  </si>
  <si>
    <t>Type B</t>
  </si>
  <si>
    <t>200 mm UPVC Pipe</t>
  </si>
  <si>
    <t>6 KG/CM2</t>
  </si>
  <si>
    <t>G10-46010</t>
  </si>
  <si>
    <t>TCS-TVM Misc.Civil and External Services</t>
  </si>
  <si>
    <t>C10-46030</t>
  </si>
  <si>
    <t>PIBCV WITH ACTUATOR, DIA 125</t>
  </si>
  <si>
    <t>DANFOSS</t>
  </si>
  <si>
    <t>Sands Infin IT Park</t>
  </si>
  <si>
    <t>G10-24005</t>
  </si>
  <si>
    <t>MS ERW PIPE IS:3589 - 200NB X HEAVY-Class C</t>
  </si>
  <si>
    <t>MS Pipe</t>
  </si>
  <si>
    <t>Jindal</t>
  </si>
  <si>
    <t>MS ERW PIPE IS:1239 - 25NB X HEAVY-Class C</t>
  </si>
  <si>
    <t>GI Sloted channel 41 mm x 21mm x 2.5 mm</t>
  </si>
  <si>
    <t>GI</t>
  </si>
  <si>
    <t xml:space="preserve">Fluid Valve Co </t>
  </si>
  <si>
    <t>Motorized Fire Damper with out actuator &amp; control panel(1000mm x 1300 mm)</t>
  </si>
  <si>
    <t>Sqmtr</t>
  </si>
  <si>
    <t>Tristar</t>
  </si>
  <si>
    <t xml:space="preserve">3.5C X 300 Sqmm XLPE LT Cable </t>
  </si>
  <si>
    <t>Al</t>
  </si>
  <si>
    <t>Polycab</t>
  </si>
  <si>
    <t>3.5C X 240 Sqmm FS LT cable</t>
  </si>
  <si>
    <t>KEI</t>
  </si>
  <si>
    <t>3.5C X 400 Sqmm FS LT cable</t>
  </si>
  <si>
    <t>LTIMINDTREE KOLKATA</t>
  </si>
  <si>
    <t>Temperature Gauge</t>
  </si>
  <si>
    <t>6" (150mm dial)</t>
  </si>
  <si>
    <t>No.s</t>
  </si>
  <si>
    <t>H guru</t>
  </si>
  <si>
    <t>Butterfly Valve</t>
  </si>
  <si>
    <t>50mm dia</t>
  </si>
  <si>
    <t>Lehry</t>
  </si>
  <si>
    <t>100mm dia</t>
  </si>
  <si>
    <t>Sendhamarai Engineering</t>
  </si>
  <si>
    <t>200mm dia</t>
  </si>
  <si>
    <t>Brass Ball Valve</t>
  </si>
  <si>
    <t>20mm dia</t>
  </si>
  <si>
    <t>15mm dia</t>
  </si>
  <si>
    <t>Sant</t>
  </si>
  <si>
    <t xml:space="preserve">MS PIPE </t>
  </si>
  <si>
    <t>400mm dia</t>
  </si>
  <si>
    <t>Pioneer tubes</t>
  </si>
  <si>
    <t>300mm dia</t>
  </si>
  <si>
    <t>250mm dia</t>
  </si>
  <si>
    <t>150mm dia</t>
  </si>
  <si>
    <t>80mm dia</t>
  </si>
  <si>
    <t>65mm dia</t>
  </si>
  <si>
    <t xml:space="preserve">50mm dia </t>
  </si>
  <si>
    <t>Ventilation Fan Model-VFL-C</t>
  </si>
  <si>
    <t>Inline fan (rectangular)</t>
  </si>
  <si>
    <t>Caryaire</t>
  </si>
  <si>
    <t>ASPEN pump</t>
  </si>
  <si>
    <t>HI flow</t>
  </si>
  <si>
    <t>Max- HI flow</t>
  </si>
  <si>
    <t>EPS Insulation</t>
  </si>
  <si>
    <t>Beardsell</t>
  </si>
  <si>
    <t>500mm dia</t>
  </si>
  <si>
    <t>125mm dia</t>
  </si>
  <si>
    <t>25mm dia</t>
  </si>
  <si>
    <t>Acoustic insulation for duct</t>
  </si>
  <si>
    <t xml:space="preserve">10mm thick x 1mtr x 1mtr </t>
  </si>
  <si>
    <t>Sqmt</t>
  </si>
  <si>
    <t>K-flex</t>
  </si>
  <si>
    <t>Fusible link fire damper</t>
  </si>
  <si>
    <t>1400 x 450</t>
  </si>
  <si>
    <t>Air master</t>
  </si>
  <si>
    <t>1050 x 300</t>
  </si>
  <si>
    <t>600 x 250</t>
  </si>
  <si>
    <t>350 x 250</t>
  </si>
  <si>
    <t>550 x 250</t>
  </si>
  <si>
    <t>500 x 300</t>
  </si>
  <si>
    <t>300 x 300</t>
  </si>
  <si>
    <t>400 x 400</t>
  </si>
  <si>
    <t>150 x 150</t>
  </si>
  <si>
    <t>450 x 200</t>
  </si>
  <si>
    <t>500 x 350</t>
  </si>
  <si>
    <t>800 x 400</t>
  </si>
  <si>
    <t>300 x 150</t>
  </si>
  <si>
    <t>400 x 300</t>
  </si>
  <si>
    <t>400 x 250</t>
  </si>
  <si>
    <t>450 x 250</t>
  </si>
  <si>
    <t>1450 x 450</t>
  </si>
  <si>
    <t>200 x 200</t>
  </si>
  <si>
    <t>2400 x 450</t>
  </si>
  <si>
    <t>350 x 300</t>
  </si>
  <si>
    <t>400 x 200</t>
  </si>
  <si>
    <t>Volume Control Damper</t>
  </si>
  <si>
    <t>1050 X 350</t>
  </si>
  <si>
    <t>1050 X 400</t>
  </si>
  <si>
    <t>300 X 150</t>
  </si>
  <si>
    <t>500 X 150</t>
  </si>
  <si>
    <t>550 X 250</t>
  </si>
  <si>
    <t>450 X 250</t>
  </si>
  <si>
    <t>450 X 150</t>
  </si>
  <si>
    <t>100 X 100</t>
  </si>
  <si>
    <t>350 X 300</t>
  </si>
  <si>
    <t>850 x 400</t>
  </si>
  <si>
    <t>850 x 600</t>
  </si>
  <si>
    <t>1200 x 500</t>
  </si>
  <si>
    <t>1200 x 300</t>
  </si>
  <si>
    <t>1000 x 500</t>
  </si>
  <si>
    <t>800 x 300</t>
  </si>
  <si>
    <t>500 x 150</t>
  </si>
  <si>
    <t>550 x 200</t>
  </si>
  <si>
    <t>650 x 150</t>
  </si>
  <si>
    <t>300 x 200</t>
  </si>
  <si>
    <t>650 x 250</t>
  </si>
  <si>
    <t>150 x 100</t>
  </si>
  <si>
    <t>500 x 400</t>
  </si>
  <si>
    <t>100 x 100</t>
  </si>
  <si>
    <t>600 x 500</t>
  </si>
  <si>
    <t>500 x 500</t>
  </si>
  <si>
    <t>Continuous grill</t>
  </si>
  <si>
    <t>2440 x 100</t>
  </si>
  <si>
    <t>850 x 100</t>
  </si>
  <si>
    <t>1550 x 100</t>
  </si>
  <si>
    <t>950 x 100</t>
  </si>
  <si>
    <t>750 x 100</t>
  </si>
  <si>
    <t>800 x 100</t>
  </si>
  <si>
    <t>850 x 150</t>
  </si>
  <si>
    <t>1250 x 150</t>
  </si>
  <si>
    <t>2440 x 150</t>
  </si>
  <si>
    <t>1250 x 290</t>
  </si>
  <si>
    <t>Linear spot grills</t>
  </si>
  <si>
    <t>1800 X 150</t>
  </si>
  <si>
    <t>850 x 300</t>
  </si>
  <si>
    <t>1250 x 450</t>
  </si>
  <si>
    <t>1400 x 150</t>
  </si>
  <si>
    <t>1450 x 150</t>
  </si>
  <si>
    <t>1000 x 150</t>
  </si>
  <si>
    <t>900 x 150</t>
  </si>
  <si>
    <t>1800 x 150</t>
  </si>
  <si>
    <t>1200 x 150</t>
  </si>
  <si>
    <t>1800 x 350</t>
  </si>
  <si>
    <t>1400 x 350</t>
  </si>
  <si>
    <t>1200 x 350</t>
  </si>
  <si>
    <t>Collar dampers</t>
  </si>
  <si>
    <t>450 x 150</t>
  </si>
  <si>
    <t>600 x 150</t>
  </si>
  <si>
    <t>900 x 450</t>
  </si>
  <si>
    <t>Al Armoured cable</t>
  </si>
  <si>
    <t>3cx35 Sqmm</t>
  </si>
  <si>
    <t>Al Armoured cable-FRLS</t>
  </si>
  <si>
    <t>3.5C X 300sqmm</t>
  </si>
  <si>
    <t>3.5C X 240sqmm</t>
  </si>
  <si>
    <t>3.5C X 150sqmm</t>
  </si>
  <si>
    <t>3.5C X 70sqmm</t>
  </si>
  <si>
    <t>3.5C X 50sqmm</t>
  </si>
  <si>
    <t>G10-44027</t>
  </si>
  <si>
    <t>Kukatpally Developers Private Limited</t>
  </si>
  <si>
    <t>150 mm dia MS pipe</t>
  </si>
  <si>
    <t>150mm</t>
  </si>
  <si>
    <t>M</t>
  </si>
  <si>
    <t>40 mm GI pipe</t>
  </si>
  <si>
    <t>32 mm GI pipe</t>
  </si>
  <si>
    <t>25mm uPVC pipe</t>
  </si>
  <si>
    <t>Prince</t>
  </si>
  <si>
    <t>Duct Acostic 10mm</t>
  </si>
  <si>
    <t>10mm</t>
  </si>
  <si>
    <t>ALP</t>
  </si>
  <si>
    <t>3.5CX120 Sqmm  Al Arm.</t>
  </si>
  <si>
    <t>3.5CX120sqmm</t>
  </si>
  <si>
    <t>KEI Cables</t>
  </si>
  <si>
    <t>3.5CX70 Sqmm FS Al Arm.</t>
  </si>
  <si>
    <t>3.5CX70sqmm</t>
  </si>
  <si>
    <t>3.5CX50 Sqmm FS Al. Arm</t>
  </si>
  <si>
    <t>3.5CX50sqmm</t>
  </si>
  <si>
    <t>3.5CX240 Sqmm  Al Arm.</t>
  </si>
  <si>
    <t>3.5CX240sqmm</t>
  </si>
  <si>
    <t>3.5CX240 Sqmm FS Al Arm.</t>
  </si>
  <si>
    <t>Y Strainer 100mm</t>
  </si>
  <si>
    <t>EA</t>
  </si>
  <si>
    <t>Zoloto</t>
  </si>
  <si>
    <t>Y Strainer 200mm</t>
  </si>
  <si>
    <t>G10-30013</t>
  </si>
  <si>
    <t>MEP works of Apollo Healthcity, Gurugram</t>
  </si>
  <si>
    <t>1C X 300 Sqmm Cu YY</t>
  </si>
  <si>
    <t xml:space="preserve">Cu. Flexyble </t>
  </si>
  <si>
    <t>1C X 240 Sqmm Cu YY Black</t>
  </si>
  <si>
    <t>4C X 4 Sqmm Cu Armd</t>
  </si>
  <si>
    <t>Cu.Armoured</t>
  </si>
  <si>
    <t>5C X 6 Sqmm Cu Flexible</t>
  </si>
  <si>
    <t>3C X 6 Sqmm Cu Flexible</t>
  </si>
  <si>
    <t>1C X 240 Sqmm Al Un- Armd</t>
  </si>
  <si>
    <t>Al. Un-Armd</t>
  </si>
  <si>
    <t>3.5C X 95 Sqmm Al Armd</t>
  </si>
  <si>
    <t>Al-Armd</t>
  </si>
  <si>
    <t>3.5C X 120 Sqmm Al Armd</t>
  </si>
  <si>
    <t>4C X 25 Sqmm Al Armd</t>
  </si>
  <si>
    <t>3.5C X 240 Sqmm Al Armd</t>
  </si>
  <si>
    <t xml:space="preserve">3C X 300 Sqmm Al UE HT Cable </t>
  </si>
  <si>
    <t>11KV, Al.UE cable</t>
  </si>
  <si>
    <t>1C X 4 Sqmm Cu Black</t>
  </si>
  <si>
    <t>1C X 185 Sqmm Al.un-Armd</t>
  </si>
  <si>
    <t>Al.un-Armd</t>
  </si>
  <si>
    <t xml:space="preserve">1C X 630 Sqmm Al E HT Cable </t>
  </si>
  <si>
    <t>11KV, Al.E cable</t>
  </si>
  <si>
    <t>3.5C X 35 Sqmm Cu Armd</t>
  </si>
  <si>
    <t>1000*100 GI Lader Type</t>
  </si>
  <si>
    <t>2mm, GI Ladder Tray</t>
  </si>
  <si>
    <t>Niedax</t>
  </si>
  <si>
    <t>900*100mm GI Perf Tray</t>
  </si>
  <si>
    <t>2mm, GI Perforated Tray</t>
  </si>
  <si>
    <t>Electrofab</t>
  </si>
  <si>
    <t>600*100mm GI Perf Tray</t>
  </si>
  <si>
    <t>G28-44006</t>
  </si>
  <si>
    <t>VITP Pvt Ltd - CapitaLand Hyd Pearl DC</t>
  </si>
  <si>
    <t>MS ERW PIPE IS:1239 - 25NB X HEAVY (6.35MM)</t>
  </si>
  <si>
    <t>MS ERW PIPE IS:1239 - 32NB X HEAVY (6.35MM)</t>
  </si>
  <si>
    <t>MS ERW PIPE IS:1239 - 40NB X HEAVY (6.35MM)</t>
  </si>
  <si>
    <t>MS ERW PIPE IS:3589 - 250NB X HEAVY (8MM)</t>
  </si>
  <si>
    <t>MS ERW PIPE IS:3589 - 300NB X HEAVY (8MM)</t>
  </si>
  <si>
    <t>MS ERW PIPE IS:3589 - 350NB X HEAVY (8MM)</t>
  </si>
  <si>
    <t>MS ERW PIPE IS:3589 - 400NB X HEAVY (8MM)</t>
  </si>
  <si>
    <t>150 x 75mm (EPS PIPE SECTION )</t>
  </si>
  <si>
    <t>200 x 75mm (EPS PIPE SECTION )</t>
  </si>
  <si>
    <t>PIR Duct 30 mm (Uncut Sheet)</t>
  </si>
  <si>
    <t>PIR Duct 20 mm  (Uncut Sheet)</t>
  </si>
  <si>
    <t>25 mm Nitrile Rubber sheet</t>
  </si>
  <si>
    <t>15 mm Acoustic Insulation(Nitrile Rubber)</t>
  </si>
  <si>
    <t xml:space="preserve">MITZVAH AIR CURTAIN ( ASP 2120 AP)  </t>
  </si>
  <si>
    <t xml:space="preserve">MITZVAH AIR CURTAIN ( ASP 3180 AP) </t>
  </si>
  <si>
    <t>MITZVAH AIR CURTAIN ( ASP 3150 AP)</t>
  </si>
  <si>
    <t>MITZVAH AIR CURTAIN ( ASP 2090 AP)</t>
  </si>
  <si>
    <t>Grill(600 X600)</t>
  </si>
  <si>
    <t>Grill(600 X150)</t>
  </si>
  <si>
    <t>Grill(300 X150)</t>
  </si>
  <si>
    <t>Louver(700 X200)</t>
  </si>
  <si>
    <t>Louver(350 X150)</t>
  </si>
  <si>
    <t>Louver(350 X200)</t>
  </si>
  <si>
    <t>Louver(300 X300)</t>
  </si>
  <si>
    <t>Louver(250 X250)</t>
  </si>
  <si>
    <t>Louver(500 X250)</t>
  </si>
  <si>
    <t>Louver(750 X 600)</t>
  </si>
  <si>
    <t>Louver(750 x 500)</t>
  </si>
  <si>
    <t>Louver(800 x 200)</t>
  </si>
  <si>
    <t>Louver(500 x 250)</t>
  </si>
  <si>
    <t>Louver(450 x 200)</t>
  </si>
  <si>
    <t>VCD(200 X150)</t>
  </si>
  <si>
    <t>VCD(350 X350)</t>
  </si>
  <si>
    <t>VCD(400 X200)</t>
  </si>
  <si>
    <t>VCD(1250 X400)</t>
  </si>
  <si>
    <t>VCD(1300 X400)</t>
  </si>
  <si>
    <t>VCD(700 X400)</t>
  </si>
  <si>
    <t>VCD(1400 X400)</t>
  </si>
  <si>
    <t>Diffuser (300 x 300/600 x 600)</t>
  </si>
  <si>
    <t>Diffuser (375 x 375/600 x 600)</t>
  </si>
  <si>
    <t>300 MM MOTORISED BUTTERFLY VALVE</t>
  </si>
  <si>
    <t>200MM BUTTERFLY VALVE (MOTORISED)</t>
  </si>
  <si>
    <t>32MM BALL VALVE BRASS</t>
  </si>
  <si>
    <t>AIR VENT 32MM</t>
  </si>
  <si>
    <t>450 MM P. TRAY HDG</t>
  </si>
  <si>
    <t>300 MM P.TRAY HDG</t>
  </si>
  <si>
    <t>100 MM P.TRAY HDG</t>
  </si>
  <si>
    <t>150 MM TRAY COVER</t>
  </si>
  <si>
    <t>50MM TRAY COVER</t>
  </si>
  <si>
    <t>150 MM P.TRAY GP</t>
  </si>
  <si>
    <t>150 MM P.TRAY HDG</t>
  </si>
  <si>
    <t>200 MM P.TRAY HDG</t>
  </si>
  <si>
    <t>750MM LADDER TRAY</t>
  </si>
  <si>
    <t>1000 MM LADDER TRAY</t>
  </si>
  <si>
    <t>450 MM  TRAY COVER</t>
  </si>
  <si>
    <t>1000X1000X750 MM TEE</t>
  </si>
  <si>
    <t>1000X1000X1000 MM TEE</t>
  </si>
  <si>
    <t>1000X1000X150 MM TEE</t>
  </si>
  <si>
    <t>1000X1000X600 MM TEE</t>
  </si>
  <si>
    <t>1000X1000X450 MM TEE</t>
  </si>
  <si>
    <t>600x600x300 MM TEE</t>
  </si>
  <si>
    <t>1000X300X300 MM TEE</t>
  </si>
  <si>
    <t>150 TEE</t>
  </si>
  <si>
    <t>300X300X150 MM TEE</t>
  </si>
  <si>
    <t>450X450 MM TEE</t>
  </si>
  <si>
    <t>50 X150 TEE</t>
  </si>
  <si>
    <t>50 X 300 TEE</t>
  </si>
  <si>
    <t>450 X150 TEE</t>
  </si>
  <si>
    <t>100X100X50 MM TEE</t>
  </si>
  <si>
    <t>50 TEE</t>
  </si>
  <si>
    <t>300X150 CROSS TEE</t>
  </si>
  <si>
    <t>50 CROSS TEE</t>
  </si>
  <si>
    <t>50X150 CROSS TEE</t>
  </si>
  <si>
    <t xml:space="preserve">1000 BEND </t>
  </si>
  <si>
    <t>50 BEND</t>
  </si>
  <si>
    <t>450 BEND</t>
  </si>
  <si>
    <t>150 BEND</t>
  </si>
  <si>
    <t>3C×4 sqmm cu</t>
  </si>
  <si>
    <t>3C×6 sqmm cu</t>
  </si>
  <si>
    <t>4C×2.5 sqmm cu</t>
  </si>
  <si>
    <t>4C×4 sqmm cu</t>
  </si>
  <si>
    <t>3.5C×70 sqmm Al</t>
  </si>
  <si>
    <t>3.5C×95 sqmm Al</t>
  </si>
  <si>
    <t>3.5C×150 sqmm Al</t>
  </si>
  <si>
    <t>3.5C×240 sqmm Al</t>
  </si>
  <si>
    <t>4C×6 sqmm cu</t>
  </si>
  <si>
    <t>SURGE ARRESTER</t>
  </si>
  <si>
    <t>4TIER 40  DB</t>
  </si>
  <si>
    <t>18 WAY SPN</t>
  </si>
  <si>
    <t>12 WAY SPN</t>
  </si>
  <si>
    <t xml:space="preserve">Chemical earth pit </t>
  </si>
  <si>
    <t>25 X 6 CU</t>
  </si>
  <si>
    <t>32 X6 CU</t>
  </si>
  <si>
    <t>POLYCARBONATE BOX THREE WAY</t>
  </si>
  <si>
    <t>Tee</t>
  </si>
  <si>
    <t>Reducer</t>
  </si>
  <si>
    <t>Reducing Elbow</t>
  </si>
  <si>
    <t>Reducing Tee</t>
  </si>
  <si>
    <t>Cross Tee</t>
  </si>
  <si>
    <t>Elbow</t>
  </si>
  <si>
    <t>Equal Tee</t>
  </si>
  <si>
    <t>MS ERW</t>
  </si>
  <si>
    <t>9.6 SQM/Roll</t>
  </si>
  <si>
    <t>4.88 Sqm</t>
  </si>
  <si>
    <t>2.535 Sqm</t>
  </si>
  <si>
    <t>9.74 Sqm</t>
  </si>
  <si>
    <t>2.16 Sqm</t>
  </si>
  <si>
    <t>LADDER TYPE</t>
  </si>
  <si>
    <t>XLPE</t>
  </si>
  <si>
    <t>FS</t>
  </si>
  <si>
    <t>2P C 32A</t>
  </si>
  <si>
    <t>4P C 63A</t>
  </si>
  <si>
    <t>4P C 40A</t>
  </si>
  <si>
    <t>2P C 40A</t>
  </si>
  <si>
    <t>2P 25A</t>
  </si>
  <si>
    <t>2P 63A</t>
  </si>
  <si>
    <t>4P B 32A</t>
  </si>
  <si>
    <t>4P I MAX</t>
  </si>
  <si>
    <t>1P B 10A</t>
  </si>
  <si>
    <t>1P C 16A</t>
  </si>
  <si>
    <t>1P C 25A</t>
  </si>
  <si>
    <t>out door type</t>
  </si>
  <si>
    <t>SQM</t>
  </si>
  <si>
    <t>Roll</t>
  </si>
  <si>
    <t>JINDAL</t>
  </si>
  <si>
    <t>STYRENE PACKINGS</t>
  </si>
  <si>
    <t>ASAWA INSULATION</t>
  </si>
  <si>
    <t>ARMACELL</t>
  </si>
  <si>
    <t>MITZVAH</t>
  </si>
  <si>
    <t>CASTLE</t>
  </si>
  <si>
    <t>NEHA ELECTRICAL 
AND MECHANICAL WORKS ( ANANT POWER)</t>
  </si>
  <si>
    <t>Grandly</t>
  </si>
  <si>
    <t>FUSION POLYMAR  INDUSTRIES</t>
  </si>
  <si>
    <t>JMV</t>
  </si>
  <si>
    <t xml:space="preserve">NEPTUNE </t>
  </si>
  <si>
    <t>G28-28003</t>
  </si>
  <si>
    <t>MEP works for Trimetro Factory Odisha</t>
  </si>
  <si>
    <t xml:space="preserve">40NB M S Handrail pipe </t>
  </si>
  <si>
    <t>97 No x 6.0M</t>
  </si>
  <si>
    <t xml:space="preserve">50NB M S square tube </t>
  </si>
  <si>
    <t>( 3.0M-50 No, 4.0M- 06 No, 4.5M- 25 No, 6.0M- 03M</t>
  </si>
  <si>
    <t>G I Sheet</t>
  </si>
  <si>
    <t xml:space="preserve">1.1M x 1.5M </t>
  </si>
  <si>
    <t>No</t>
  </si>
  <si>
    <t xml:space="preserve">1.1M x 3.0M </t>
  </si>
  <si>
    <t xml:space="preserve">1.1M x 3.4M </t>
  </si>
  <si>
    <t>1.1M x 3.7M</t>
  </si>
  <si>
    <t xml:space="preserve">1.1M x 4.0M </t>
  </si>
  <si>
    <t>1.1M x 5.8M</t>
  </si>
  <si>
    <t>G28-44003</t>
  </si>
  <si>
    <t>Amazon DC HYD121 - Site Infra</t>
  </si>
  <si>
    <t>B-175 MAST</t>
  </si>
  <si>
    <t>GI MAST</t>
  </si>
  <si>
    <t>RUKMANI/MARUTI NANDAN</t>
  </si>
  <si>
    <t>OCT POLE</t>
  </si>
  <si>
    <t>GI LIGHT POLE</t>
  </si>
  <si>
    <t>UNEEFY</t>
  </si>
  <si>
    <t>DWARF MAST 4.75 MTR</t>
  </si>
  <si>
    <t>RI NO 361 MAST FOR CT</t>
  </si>
  <si>
    <t>RI NO 381  MAST FOR SP ISOLATOR</t>
  </si>
  <si>
    <t>RI NO 371-2 MAST FOR SUPPORT INSULATOR</t>
  </si>
  <si>
    <t>RI NO S-100 MAST FOR AT</t>
  </si>
  <si>
    <t>RI NO 331 MAST FOR 132 KV CT</t>
  </si>
  <si>
    <t>RI NO 341 MAST  FOR LA</t>
  </si>
  <si>
    <t>RI NO 441 MAST FOR 100 KVA , 25 KV AT</t>
  </si>
  <si>
    <t>11 KV DISC INSULATORS 280MM 70KN</t>
  </si>
  <si>
    <t>HIGH VOLTAGE INSULATOR</t>
  </si>
  <si>
    <t>ADITYA BIRLA GRASIM</t>
  </si>
  <si>
    <t>28.62 MM ACSR ZEBRA CONDUCTOR</t>
  </si>
  <si>
    <t>HIGH VOLTAGE INSULATOR OVERHEAD TRANSMISSION CABLE</t>
  </si>
  <si>
    <t>AJANMA INDUSTRIES LLP</t>
  </si>
  <si>
    <t>38.25 MM DIA AAC BULL CONDUCTOR</t>
  </si>
  <si>
    <t>OVERHEAD POWER LINE CONDUCTOR</t>
  </si>
  <si>
    <t>19/2.5 MM GS STRANDED EARTH WIRE</t>
  </si>
  <si>
    <t>HIGH TENSILE OVERHEAD EARTHING WIRE</t>
  </si>
  <si>
    <t>19/4 MM BEC GALVANIZED STEEL WIRE</t>
  </si>
  <si>
    <t>BURIED EARTH CONDUCTOR</t>
  </si>
  <si>
    <t>150 SQ MM COPPER CROSS FEEDER WIRE</t>
  </si>
  <si>
    <t>COPPER CROSS FEEDER WIRE</t>
  </si>
  <si>
    <t>JK CABLE LTD &amp; KMG WIRE LTD</t>
  </si>
  <si>
    <t>160 SQ MM COPPER JUMPER WIRE</t>
  </si>
  <si>
    <t>COPPER JUMPER WIRE</t>
  </si>
  <si>
    <t>GI M 16X50 BOLT</t>
  </si>
  <si>
    <t>16 DIAMETER  AND 50 MM LENGTH</t>
  </si>
  <si>
    <t>ROYAL BALAJI ENGINEERING LIMITED</t>
  </si>
  <si>
    <t>2 C X 25 SQ MM PVC ALUMINIUM CABLE</t>
  </si>
  <si>
    <t>LOW TENSION POWER CABLE</t>
  </si>
  <si>
    <t>AJANMA INDUSTRIES LLP AND CHANDRESH CABLE LTD</t>
  </si>
  <si>
    <t>7 C X 2.5 SQ MM COPPER CABLE</t>
  </si>
  <si>
    <t>LOW VOLTAGE UPTO 1100 V CONTROL CABLE</t>
  </si>
  <si>
    <t>2 C X 4 SQ MM COPPER CABLE</t>
  </si>
  <si>
    <t>LOW VOLTAGE UPTO 1100 V COOPER CABLE</t>
  </si>
  <si>
    <t>4 C X 16 SQ MM AL ARM CABLE</t>
  </si>
  <si>
    <t>1100 V GRADE POWER CABLE</t>
  </si>
  <si>
    <t>2 C X 70 SQ MM PVC ALUMINIUM CABLE</t>
  </si>
  <si>
    <t>1100 V LT POWER CABLE</t>
  </si>
  <si>
    <t>MEC CONTROL CABLE 3CX4 COPPER</t>
  </si>
  <si>
    <t>CONTROL AND POWER CABLE</t>
  </si>
  <si>
    <t>VIZTECH INDUSTRIAL SYSYTEMS</t>
  </si>
  <si>
    <t>10 C X 2.5 SQ MM COPPER CABLE</t>
  </si>
  <si>
    <t>1100 V GRADE COPPER CABLE</t>
  </si>
  <si>
    <t xml:space="preserve">MCB DISTRIBUTION BOARD 100A </t>
  </si>
  <si>
    <t>SPN CONTROLS</t>
  </si>
  <si>
    <t xml:space="preserve">MCB DISTRIBUTION BOARD 63A </t>
  </si>
  <si>
    <t>Weight</t>
  </si>
  <si>
    <t>Make</t>
  </si>
  <si>
    <t>G79-36001</t>
  </si>
  <si>
    <t>WCR EPC-01R-RJ:Nagda-Kota</t>
  </si>
  <si>
    <t>B-150 MAST</t>
  </si>
  <si>
    <t>S8 MAST</t>
  </si>
  <si>
    <t>S7 MAST</t>
  </si>
  <si>
    <t>RI NO 381  MAST FOR SP ISOLATOR</t>
  </si>
  <si>
    <t>RI NO 371-3 MAST FOR SUPPORT INSULATOR</t>
  </si>
  <si>
    <t>RI NO S-113</t>
  </si>
  <si>
    <t>RI NO 341 S MAST  FOR LA</t>
  </si>
  <si>
    <t>Aditya birla insulators</t>
  </si>
  <si>
    <t>4C X 16 Sqmm pvc AL cable</t>
  </si>
  <si>
    <t>Chandresh cables limited</t>
  </si>
  <si>
    <t>2C X 4 Sqmm pvc AL cable</t>
  </si>
  <si>
    <t>Gi Bolt M 20x65 mm,N.F/W,S/W</t>
  </si>
  <si>
    <t>Royal balaji engg pvt ltd</t>
  </si>
  <si>
    <t>SOIL COMPACTOR</t>
  </si>
  <si>
    <t>INOMATIC</t>
  </si>
  <si>
    <t>M16X130 GI U BOLT</t>
  </si>
  <si>
    <t>Shree krishna ltd</t>
  </si>
  <si>
    <t>PVC 4CX10 Sqmm al cable</t>
  </si>
  <si>
    <t>SPN CONTROL</t>
  </si>
  <si>
    <t>32A Distribution box</t>
  </si>
  <si>
    <t>63A distribution box</t>
  </si>
  <si>
    <t>Total Weight</t>
  </si>
  <si>
    <t>WCR EPC-3R : Gangapurcity - Ramganjmandi</t>
  </si>
  <si>
    <t>G79-36002</t>
  </si>
  <si>
    <t>Upright Sprinkler(K-115)</t>
  </si>
  <si>
    <t>Sprinkler</t>
  </si>
  <si>
    <t>Nos.</t>
  </si>
  <si>
    <t>TYCO</t>
  </si>
  <si>
    <t>Pendent Sprinkler(K-80)</t>
  </si>
  <si>
    <t>SS Braided Flexible Hose Pipe(1500mm long)</t>
  </si>
  <si>
    <t>HD FIRE</t>
  </si>
  <si>
    <t>Sluice Valve - 250NB</t>
  </si>
  <si>
    <t>Valve</t>
  </si>
  <si>
    <t>Y strainer - 200 NB</t>
  </si>
  <si>
    <t>Dual Plate Check Valve - 150 NB</t>
  </si>
  <si>
    <t>Dual Plate Check Valve - 50 NB</t>
  </si>
  <si>
    <t>Gear Operated Butterfly Valve - 200 NB</t>
  </si>
  <si>
    <t>Butterfly Valve - 200 NB</t>
  </si>
  <si>
    <t>Butterfly Valve - 150 NB</t>
  </si>
  <si>
    <t>Sr.No.</t>
  </si>
  <si>
    <t>G28-28001</t>
  </si>
  <si>
    <t>JOCKEY FACTORY CUTTACK</t>
  </si>
  <si>
    <t>MS PIPE</t>
  </si>
  <si>
    <t>150MM</t>
  </si>
  <si>
    <t>200MM</t>
  </si>
  <si>
    <t>250MM</t>
  </si>
  <si>
    <t>300MM</t>
  </si>
  <si>
    <t>400MM</t>
  </si>
  <si>
    <t>MS BUTTERFLY VALVE</t>
  </si>
  <si>
    <t>100MM</t>
  </si>
  <si>
    <t>NA</t>
  </si>
  <si>
    <t>450MM</t>
  </si>
  <si>
    <t>PIPE SECTION</t>
  </si>
  <si>
    <t>600MM</t>
  </si>
  <si>
    <t>MS SLIP ON FLANGE</t>
  </si>
  <si>
    <t>MS ELBOW 90*</t>
  </si>
  <si>
    <t>MS Y STRAINER</t>
  </si>
  <si>
    <t>ADVANCE / PN16</t>
  </si>
  <si>
    <t xml:space="preserve">ADVANCE / PN16 </t>
  </si>
  <si>
    <t>Q-CONTROL</t>
  </si>
  <si>
    <t>MONTEX</t>
  </si>
  <si>
    <t>DS Engg / PN16</t>
  </si>
  <si>
    <t>G28-42008</t>
  </si>
  <si>
    <t>Exide Energy - Mechanical Works</t>
  </si>
  <si>
    <t xml:space="preserve">Material Group </t>
  </si>
  <si>
    <t>Pipe</t>
  </si>
  <si>
    <t>Panel</t>
  </si>
  <si>
    <t>Misc</t>
  </si>
  <si>
    <t>MIsc</t>
  </si>
  <si>
    <t>Cable</t>
  </si>
  <si>
    <t>Cable Tray</t>
  </si>
  <si>
    <t>(blank)</t>
  </si>
  <si>
    <t>Grand Total</t>
  </si>
  <si>
    <t>Sum of Amount</t>
  </si>
  <si>
    <t>Vertical</t>
  </si>
  <si>
    <t>POC %</t>
  </si>
  <si>
    <t>Surplus Status (Yes/ No)</t>
  </si>
  <si>
    <t>AAC Bull Conductor</t>
  </si>
  <si>
    <t>Drum</t>
  </si>
  <si>
    <t>ASCR Bersimis Conductor</t>
  </si>
  <si>
    <t>Clamp and connectors</t>
  </si>
  <si>
    <t>LOT</t>
  </si>
  <si>
    <t>HDPE Pipe</t>
  </si>
  <si>
    <t>KM</t>
  </si>
  <si>
    <t>33kV Insulator</t>
  </si>
  <si>
    <t>Reinforcement Steel "16mm" dia</t>
  </si>
  <si>
    <t>TON</t>
  </si>
  <si>
    <t>Reinforcement Steel "20mm" dia</t>
  </si>
  <si>
    <t>Reinforcement Steel "25mm" dia</t>
  </si>
  <si>
    <t>Rail pole 52kg/m</t>
  </si>
  <si>
    <t>Old rRail pole 52kg/m</t>
  </si>
  <si>
    <t>Cube Mold</t>
  </si>
  <si>
    <t>Set</t>
  </si>
  <si>
    <t>WELDING MACHINE ARC 400A</t>
  </si>
  <si>
    <t>ROPE 20 MM DIA(220 MTR BDL).</t>
  </si>
  <si>
    <t>ROPE 22 MM</t>
  </si>
  <si>
    <t>FALL ARRESTOR 30 Mtr</t>
  </si>
  <si>
    <t>SAFETY BELT</t>
  </si>
  <si>
    <t>D Shackle Cap.5 Ton</t>
  </si>
  <si>
    <t>SINGLE SHEAVE PULLEY OPEN TYPE CAP 5 ΤΟΝ</t>
  </si>
  <si>
    <t>SINGLE SHEAVE PULLEY CLOSE TYPE CAP 5TON</t>
  </si>
  <si>
    <t>DOUBLE SHEAVE PULLEY CAP 5 TON.</t>
  </si>
  <si>
    <t>MS ROD BENDING MACHINE CAP. 40 MM</t>
  </si>
  <si>
    <t>DIGITAL MULTIMETER (FLUKE MAKE - 101)</t>
  </si>
  <si>
    <t>CRIMPING TOOL</t>
  </si>
  <si>
    <t>MAGNETIC DRILL MACHINE (RALLI WOLF)</t>
  </si>
  <si>
    <t>Power Winch Machine Cap. 5 Ton</t>
  </si>
  <si>
    <t>Canon MK300 Ferrule Printer</t>
  </si>
  <si>
    <t xml:space="preserve">REBAR CUTTING MACHINE </t>
  </si>
  <si>
    <t>BOSCH IMPACT WRENCH GDS 18V-1050 H</t>
  </si>
  <si>
    <t xml:space="preserve"> MILWAUKEE IMPACT WRENCH M18 </t>
  </si>
  <si>
    <t>RO Plant</t>
  </si>
  <si>
    <t>Air Cooler 120L</t>
  </si>
  <si>
    <t>BDL</t>
  </si>
  <si>
    <t>Washing Machine</t>
  </si>
  <si>
    <t>Refridgerator</t>
  </si>
  <si>
    <t>G20-36003</t>
  </si>
  <si>
    <t>PGCIL-SS86 FATEHGARH</t>
  </si>
  <si>
    <t>Job Value</t>
  </si>
  <si>
    <t>Yes</t>
  </si>
  <si>
    <t>Buildings</t>
  </si>
  <si>
    <t>Factoies</t>
  </si>
  <si>
    <t>Factories</t>
  </si>
  <si>
    <t>Data Center</t>
  </si>
  <si>
    <t>Railway</t>
  </si>
  <si>
    <t>Substation</t>
  </si>
  <si>
    <t>Damani Hospital Mumbai MEP Works</t>
  </si>
  <si>
    <t>Welspun</t>
  </si>
  <si>
    <t>MEP Works for LULU HYPER CBE</t>
  </si>
  <si>
    <t>MEP works for Embassy Block 10</t>
  </si>
  <si>
    <t>MEP WORKS FOR L&amp;T INNOVATION T4,CHENNAI</t>
  </si>
  <si>
    <t>MEP WORKS FOR L&amp;T INNOVATION T3,CHENNAI</t>
  </si>
  <si>
    <t>Material Group</t>
  </si>
  <si>
    <t>Project Details</t>
  </si>
  <si>
    <t>Project Wise Surplus Quantity Analysis</t>
  </si>
  <si>
    <t>Bhumi World Mall MEP Works</t>
  </si>
  <si>
    <t>Value (In Rs. Cr.)</t>
  </si>
  <si>
    <t>Data Centre</t>
  </si>
  <si>
    <t>Railways</t>
  </si>
  <si>
    <t>Total (In Rs. Cr)</t>
  </si>
  <si>
    <t>Total (In Rs. Cr.)</t>
  </si>
  <si>
    <t>Total (IN Rs. Cr.)</t>
  </si>
  <si>
    <t>Surplus Consumption</t>
  </si>
  <si>
    <t>Feb'26</t>
  </si>
  <si>
    <t>May'26</t>
  </si>
  <si>
    <t>Consumption Value (In Rs. Cr.)</t>
  </si>
  <si>
    <t>% Surplus on Job Value</t>
  </si>
  <si>
    <t>Coupling</t>
  </si>
  <si>
    <t>Socket</t>
  </si>
  <si>
    <t>Flange</t>
  </si>
  <si>
    <t>Cu Strip</t>
  </si>
  <si>
    <t>Insulation</t>
  </si>
  <si>
    <t>Damper</t>
  </si>
  <si>
    <t>Grille</t>
  </si>
  <si>
    <t>Louver</t>
  </si>
  <si>
    <t>Mast</t>
  </si>
  <si>
    <t>Conductor</t>
  </si>
  <si>
    <t>Wire</t>
  </si>
  <si>
    <t>Fastener</t>
  </si>
  <si>
    <t>Insulators</t>
  </si>
  <si>
    <t xml:space="preserve">DB </t>
  </si>
  <si>
    <t>Reinforcement Steel</t>
  </si>
  <si>
    <t xml:space="preserve">Tools &amp; Machines </t>
  </si>
  <si>
    <t>Row Labels</t>
  </si>
  <si>
    <t>Column Labels</t>
  </si>
  <si>
    <t>Surplus Status (Yes/No)</t>
  </si>
  <si>
    <t>HYD 121</t>
  </si>
  <si>
    <t xml:space="preserve">Project Name </t>
  </si>
  <si>
    <t xml:space="preserve">Job Value </t>
  </si>
  <si>
    <t>Deloitte, Pune - 3rd Floor Fitout Works</t>
  </si>
  <si>
    <t>K Raheja at Baner 94-97 FF Works</t>
  </si>
  <si>
    <t>TCS SP2 Pune Phase 1A - HVAC Works</t>
  </si>
  <si>
    <t>National Cancer Institute Nagpur HVAC</t>
  </si>
  <si>
    <t>BGR MARWA LABOUR AC</t>
  </si>
  <si>
    <t>BGR MARWA LABOUR VENTILATION</t>
  </si>
  <si>
    <t>GIFT City District Cooling Plant</t>
  </si>
  <si>
    <t>GIFT City DCS CHW Piping and Valves</t>
  </si>
  <si>
    <t>Oberoi Sky City Mall - Fire Fighting</t>
  </si>
  <si>
    <t>Oberoi Sky City Mall - Plumbing</t>
  </si>
  <si>
    <t>Oberoi Sky City Mall - Electrical Works</t>
  </si>
  <si>
    <t>Oberoi Sky City Mall, Mumbai - HVAC Work</t>
  </si>
  <si>
    <t>MUD TOWER-A HOTEL</t>
  </si>
  <si>
    <t>WMUD TOWER A RESIDENTIAL</t>
  </si>
  <si>
    <t>Oberoi Tower A Hotel HVAC Works</t>
  </si>
  <si>
    <t>Oberoi Tower A Hotel Plumbing Works</t>
  </si>
  <si>
    <t>Oberoi Tower A Hotel Fire Fighting Works</t>
  </si>
  <si>
    <t>WMUP - TA - HOTEL - ELECTRICAL WORKS</t>
  </si>
  <si>
    <t>ORL-WORLI MIX USE PROJECT</t>
  </si>
  <si>
    <t>STT NMDC02 MEP works PH-3A,Terrace</t>
  </si>
  <si>
    <t>STT DC-05 2nd and 3rd floor MEP Works</t>
  </si>
  <si>
    <t>Chalet Taj Airport Hotel, New Delhi</t>
  </si>
  <si>
    <t>Citra properties ltd-INDIABULLS</t>
  </si>
  <si>
    <t>DLF Camellias- Gurgaon</t>
  </si>
  <si>
    <t>Larsen &amp; Toubro Limited</t>
  </si>
  <si>
    <t>Megnum Global Park at Sec 58 Gurugram</t>
  </si>
  <si>
    <t>PHE&amp;FF WORKS-DLF SUMMIT PLAZA GURGAON</t>
  </si>
  <si>
    <t>HVAC WORKS AT DLF SUMMIT PLAZA GURUGRAM</t>
  </si>
  <si>
    <t>HVAC Works DLF Downtown 4 High-Low Side</t>
  </si>
  <si>
    <t>Ventilation Works for DLF The Arbour</t>
  </si>
  <si>
    <t>Ventilation for Annupur (Supply)</t>
  </si>
  <si>
    <t>Shapoorji Pallonji &amp; Co. Pvt Ltd ( Cance</t>
  </si>
  <si>
    <t>Seaview (Candor Techspace) Sector 135 No</t>
  </si>
  <si>
    <t>HVAC WORKS AT MAX SQUARE NOIDA</t>
  </si>
  <si>
    <t>HVAC WORKS AT SNU Hostel 4 and 5 DADRI</t>
  </si>
  <si>
    <t>NMIMS CAMPUS CHANDIGARH</t>
  </si>
  <si>
    <t>CAPFIMS - DELHI</t>
  </si>
  <si>
    <t>IICC DWARKA New Delhi</t>
  </si>
  <si>
    <t>HVAC Works Populus Bharti Aerocity Delhi</t>
  </si>
  <si>
    <t>HVAC Works For KNMA Delhi</t>
  </si>
  <si>
    <t>AHU Works Populus Tenant Area Aerocity</t>
  </si>
  <si>
    <t>SUBSTATION WORKS AT HPSEB Solan</t>
  </si>
  <si>
    <t>VR METROPOLITAN MALL DELHI</t>
  </si>
  <si>
    <t>ATRIUM PLACE GURUGRAM (HINES-SHAPOORJI)</t>
  </si>
  <si>
    <t>AMRITA HOSPITAL FARIDABAD</t>
  </si>
  <si>
    <t>Lulu Mall Lucknow</t>
  </si>
  <si>
    <t>Hyper Market ( Lullu Mall)</t>
  </si>
  <si>
    <t>MEP Works Triune Lumina IT Park Noida</t>
  </si>
  <si>
    <t>HVAC WORKS PLOT LP-1B-02 AEROCITY DELHI</t>
  </si>
  <si>
    <t>DCS WORKS PLOT LP-1B-02 AEROCITY DELHI</t>
  </si>
  <si>
    <t>DIA WO - HVAC Works</t>
  </si>
  <si>
    <t>DIAL PO - HVAC Works</t>
  </si>
  <si>
    <t>HVAC Works Jewar International Airport</t>
  </si>
  <si>
    <t>NPCIL KALPAKAM</t>
  </si>
  <si>
    <t>A/C  SYSTEM FOR BHEL TUTICORI</t>
  </si>
  <si>
    <t>Prozone Mall- HVAC Works</t>
  </si>
  <si>
    <t>TRIL Service Apartment</t>
  </si>
  <si>
    <t>RMZ ONE PARAMOUNT-L&amp;W HVAC &amp; ELEC WORKS</t>
  </si>
  <si>
    <t>PROZONE MALL - ELECTRICAL WORKS</t>
  </si>
  <si>
    <t>New Moffusil Bus Terminus</t>
  </si>
  <si>
    <t>Chennai New Moffusil Bus Stand-PHE Works</t>
  </si>
  <si>
    <t>PHE FPS Works for DLF Down Town</t>
  </si>
  <si>
    <t>Wells Fargo-HVAC Fitout works Block9 CHN</t>
  </si>
  <si>
    <t>MEP Works for Sunmed Healthcare Pvt Ltd</t>
  </si>
  <si>
    <t>HVAC Fitout Works at Deloitte Chennai</t>
  </si>
  <si>
    <t>HVAC PHE &amp;FPS works for DLF Downtown DT3</t>
  </si>
  <si>
    <t>MEP works for Indus Ind bank</t>
  </si>
  <si>
    <t>Deloitte Fitout works phase 2, chennai</t>
  </si>
  <si>
    <t>MEPworks for Phoenix Commercial Building</t>
  </si>
  <si>
    <t>PHE works for TCS Siruseri Chennai</t>
  </si>
  <si>
    <t>HVAC FPS Works for TCS Siruseri</t>
  </si>
  <si>
    <t>MEP Works for LULU Shenoy nagar Metro</t>
  </si>
  <si>
    <t>Phoenix Comm Bld Fitout works, Chennai</t>
  </si>
  <si>
    <t>MEP Works for LULU Central Metro</t>
  </si>
  <si>
    <t>Deloitte HVAC Fitout works-GF,7th Floor</t>
  </si>
  <si>
    <t>MEP WORKS FOR KRC BLOCK 01 CHENNAI</t>
  </si>
  <si>
    <t>MEP WORKS FOR MGM Hospital,Chennai</t>
  </si>
  <si>
    <t>Deloitte Chennai - 9F HVAC Fitout works</t>
  </si>
  <si>
    <t>BHAVINI NPCL KALPAKAM</t>
  </si>
  <si>
    <t>AIRCONDITIONING SYSTEM FOR BHEL TUTICORI</t>
  </si>
  <si>
    <t>HVAC WORKS - L &amp; T - AIIMS GUNTUR</t>
  </si>
  <si>
    <t>Modinization of Chennai Airport</t>
  </si>
  <si>
    <t>GAR Corporation Pvt Ltd - SEZ</t>
  </si>
  <si>
    <t>Laxmi Infobahn STP  - Non SEZ</t>
  </si>
  <si>
    <t>DLF Assets Private Limited</t>
  </si>
  <si>
    <t>Apurupa DT Infra LLP</t>
  </si>
  <si>
    <t>Vamsiram Builders - Jyothi Techpark</t>
  </si>
  <si>
    <t>L&amp;W (RMZ Nexity) Electrical Works</t>
  </si>
  <si>
    <t>Yashoda Hospital - HVAC Works</t>
  </si>
  <si>
    <t>L &amp; T ( KRC -Raheja) - Electrical Works</t>
  </si>
  <si>
    <t>L&amp;W  (RMZ Nexity) Basement Ventilation</t>
  </si>
  <si>
    <t>L&amp;W  (RMZ Nexity) HVAC Works</t>
  </si>
  <si>
    <t>L&amp;W  (RMZ Spire) HVAC Works</t>
  </si>
  <si>
    <t>BSR Builders LLP - Block II</t>
  </si>
  <si>
    <t>Moonlike Construction Pvt Ltd -FPS Wrks</t>
  </si>
  <si>
    <t>TCS - Adibatla SEZ Block 3 HVAC Works</t>
  </si>
  <si>
    <t>Meenakshi Infrastructure Pvt Ltd - HVAC</t>
  </si>
  <si>
    <t>Hyma Developers Pvt Ltd- HVAC Works -1</t>
  </si>
  <si>
    <t>Ushodaya News Agencies - HVAC Works</t>
  </si>
  <si>
    <t>Yashoda Hospital-Mechanical works-6F&amp;11F</t>
  </si>
  <si>
    <t>Hyma Developers Pvt Ltd- HVAC &amp; PHE Wrks</t>
  </si>
  <si>
    <t>Trion Properties Pvt Ltd (Inorbit Mall)</t>
  </si>
  <si>
    <t>Phoenix - 285 FD</t>
  </si>
  <si>
    <t>Phoenix Centaurus</t>
  </si>
  <si>
    <t>Phoenix (Aquila)</t>
  </si>
  <si>
    <t>L &amp; T ( Phoenix-H10) MEP Works</t>
  </si>
  <si>
    <t xml:space="preserve"> L &amp; T ( Phoenix-H10) Tower 01- Add Wrks</t>
  </si>
  <si>
    <t>Phoenix Centaurus 2B Additional Works</t>
  </si>
  <si>
    <t>L &amp; T (Phoenix H10) -Tower 3 MEP works</t>
  </si>
  <si>
    <t>Phoenix Centaurus-2C-HVAC &amp; Electrical</t>
  </si>
  <si>
    <t>Mantri Blossom</t>
  </si>
  <si>
    <t>Embassy One Dev. Pvt. Ltd. P-I</t>
  </si>
  <si>
    <t>Urbanac Projects-HVAC Works</t>
  </si>
  <si>
    <t>Chalet Hotels MEP Works</t>
  </si>
  <si>
    <t>MFAR Keystone MEP Works</t>
  </si>
  <si>
    <t>Gardencity Verde MEP Works</t>
  </si>
  <si>
    <t>ETV Parcel 8 - Tower D</t>
  </si>
  <si>
    <t>HVAC Works For RMZ EW20-21</t>
  </si>
  <si>
    <t>MEP works at VR Mall</t>
  </si>
  <si>
    <t>Texas Instruments @ Bagmane Aerial</t>
  </si>
  <si>
    <t>MEP Work for Block D1&amp;D2</t>
  </si>
  <si>
    <t>RMZ 30 &amp; 33 - HVAC Works</t>
  </si>
  <si>
    <t>HVAC Works for Bagmane Taurus -4</t>
  </si>
  <si>
    <t>HVAC &amp; Electrical Works - Bagmane Helium</t>
  </si>
  <si>
    <t>DNR Altitude MEP Works</t>
  </si>
  <si>
    <t>KEMPEGOWDA INTERNATION AIRPORT BIAL</t>
  </si>
  <si>
    <t>BIAL CN35</t>
  </si>
  <si>
    <t>BIAL PO - HVAC Works</t>
  </si>
  <si>
    <t>Gokulam Mall cum Hotel</t>
  </si>
  <si>
    <t>Cochin International Airport Hotel (MEP)</t>
  </si>
  <si>
    <t>Cherian Varkey Const Co-MCC Thlsry</t>
  </si>
  <si>
    <t>LISIE HOSPITAL-HVAC WORKS-Ernakulam</t>
  </si>
  <si>
    <t>Embassy Taurus Tech Zone Downtown TVM</t>
  </si>
  <si>
    <t>Lulu Mall Calicut</t>
  </si>
  <si>
    <t>Lulu Hypermarket at Maradu,Cochin</t>
  </si>
  <si>
    <t>Lulu Hypermarket Tirur</t>
  </si>
  <si>
    <t>Aster Capital TVM-FPS &amp; PHE Works</t>
  </si>
  <si>
    <t>Lulu Mall,F&amp;C-Tirur Phase 2</t>
  </si>
  <si>
    <t>Wipro-Kochi-FPS,PHE &amp; HVAC Ext Piping</t>
  </si>
  <si>
    <t>NTPC MUZZAFARPUR- AC- Supply</t>
  </si>
  <si>
    <t>NTPC MUZZAFARPUR VENTILATION-Supply</t>
  </si>
  <si>
    <t>Executive Engineer (E) ISMU</t>
  </si>
  <si>
    <t>REPROSCAN TECH PARK LLP</t>
  </si>
  <si>
    <t>PEERLESS HOSPITAL KOLKATA</t>
  </si>
  <si>
    <t>DELOITTE KOLKATA 12TH FLOOR</t>
  </si>
  <si>
    <t>Baytown Kolkata</t>
  </si>
  <si>
    <t>Maruti CODO Howrah-MEP Works</t>
  </si>
  <si>
    <t>POWER PLANT ENGINEERS LIMITED</t>
  </si>
  <si>
    <t>OHIO CARDIOLOGY ASSOCIATES INDIA PVT LTD</t>
  </si>
  <si>
    <t>BHEL 1X500 MW BOKARO TPS JHARKHAND - AC</t>
  </si>
  <si>
    <t>NTPC Barh</t>
  </si>
  <si>
    <t>NTPC NABHINAGAR LABOUR</t>
  </si>
  <si>
    <t>NTPC MUZZAFARPUR- AC- Labour</t>
  </si>
  <si>
    <t>NTPC MUZZAFARPUR VENTILATION-Labour</t>
  </si>
  <si>
    <t>POWER PLANT ENGINEERS LIMITED.</t>
  </si>
  <si>
    <t>POWER PLANT ENGINEERS LIMITED AC</t>
  </si>
  <si>
    <t>BHEL 1X500 MW BOKARO TPS JHARKHAND-VENT</t>
  </si>
  <si>
    <t>NTPC NABHINAGAR SUPPLY</t>
  </si>
  <si>
    <t>Merlin Acropolis Projects Pvt Ltd</t>
  </si>
  <si>
    <t>AIIMS GUWAHATI</t>
  </si>
  <si>
    <t>TATA CANCER CARE HOSPITAL-SILCHAR</t>
  </si>
  <si>
    <t>TATA CANCER CARE HOSPITAL-JORHAT</t>
  </si>
  <si>
    <t>TATA CANCER CARE HOSPITAL-DARRANG</t>
  </si>
  <si>
    <t>TATA CANCER CARE HOSPITAL - DIBRUGARH</t>
  </si>
  <si>
    <t>AIIMS GUWAHATI IPD BLOCK</t>
  </si>
  <si>
    <t>IMS &amp; SUM Hospital-II</t>
  </si>
  <si>
    <t>TCS Kalinga Park - Electrical</t>
  </si>
  <si>
    <t>NEIGRIHMS SHILLONG</t>
  </si>
  <si>
    <t>Princeton Waltz Data Center Phase 2 HVAC</t>
  </si>
  <si>
    <t>Netmagic NAV1A Terrace , Navi Mumbai</t>
  </si>
  <si>
    <t>Nxtra DC Mahape MEP works</t>
  </si>
  <si>
    <t>PDG Waltz DC- MU1 - Phase III</t>
  </si>
  <si>
    <t>Yotta NM1 10 F Data Center</t>
  </si>
  <si>
    <t>Yotta NM1 14 F Data Center</t>
  </si>
  <si>
    <t>NAV2 DC 03 HVAC works</t>
  </si>
  <si>
    <t>Webwerks Data Center Mum 02 , Rabale</t>
  </si>
  <si>
    <t>STT NMDC02 Substructure Work</t>
  </si>
  <si>
    <t>STT NMDC03 Superstructure works</t>
  </si>
  <si>
    <t>Veritas Capitaland Data Center Ph1 NM</t>
  </si>
  <si>
    <t>MEP GC works for Phase 2 and 3 Tower 1</t>
  </si>
  <si>
    <t>CDU SFN works for Veritas DC</t>
  </si>
  <si>
    <t>STT PUNE DC04 CSA &amp; MEP works</t>
  </si>
  <si>
    <t>STT DC04 CSA &amp; MEP works Phase II</t>
  </si>
  <si>
    <t>CSA WORKS FOR STT DC05 PUNE DIGHI PROJEC</t>
  </si>
  <si>
    <t>STT DC-05 MEP Works Phase-1</t>
  </si>
  <si>
    <t>STT DC5 4th Floor MEP Works</t>
  </si>
  <si>
    <t xml:space="preserve"> Cube - ISRO PFTF HVAC Works</t>
  </si>
  <si>
    <t>JCB Halol Greenfield Manufacturing facil</t>
  </si>
  <si>
    <t>Micron - TPL HVAC Package 1</t>
  </si>
  <si>
    <t>Wada 4A</t>
  </si>
  <si>
    <t>Wada Plant 4 (Electrical System)</t>
  </si>
  <si>
    <t>Industrial</t>
  </si>
  <si>
    <t>NMDC- CCAS</t>
  </si>
  <si>
    <t>KCL-Compressed Air System &amp; LDO</t>
  </si>
  <si>
    <t>Micron - TPL Utility Package 2</t>
  </si>
  <si>
    <t>YOTTA DATA CENTER 4TH FLOOR WORK NOIDA</t>
  </si>
  <si>
    <t>STT DATA CENTER NOIDA</t>
  </si>
  <si>
    <t>STT DATA CENTRE NOIDA PHASE II</t>
  </si>
  <si>
    <t>STT Noida DC-02 MEP Works Phase-1</t>
  </si>
  <si>
    <t>EMBASSY INDUSTRIAL PARK FARUKHNAGAR GGN</t>
  </si>
  <si>
    <t>MSIL SPD Warehouse at Kharkhoda - FF</t>
  </si>
  <si>
    <t>HVAC WORKS LENSKART FACTORY BHIWADI</t>
  </si>
  <si>
    <t>MEP Works Wipro Hydraulic Jaipur</t>
  </si>
  <si>
    <t>MEP Works Kerakoll India Jaipur</t>
  </si>
  <si>
    <t>Mechanical Works AB Mauri India Pvt.Ltd</t>
  </si>
  <si>
    <t>AB Mauri Process Area-HVAC &amp; Electrical</t>
  </si>
  <si>
    <t>HVAC Works-Dixon Factory-Noida</t>
  </si>
  <si>
    <t>FREUDENBERG FRCCI FACTORY MORINDA PUNJAB</t>
  </si>
  <si>
    <t>FREUDENBERG VCI FACTORY MORINDA PUNJAB</t>
  </si>
  <si>
    <t>FREUDENBERG FNI FACTORY MORINDA PUNJAB</t>
  </si>
  <si>
    <t>TATA STEEL PRS-LUDHIANA</t>
  </si>
  <si>
    <t>Maruti Suzuki India Limited</t>
  </si>
  <si>
    <t>TPL - First Solar - HVAC Works</t>
  </si>
  <si>
    <t>MRF - TBR &amp; PCR EXPANSION - AC WORKS</t>
  </si>
  <si>
    <t>MRF - TBR &amp; PCR EXP - VENTILATION PKG</t>
  </si>
  <si>
    <t>TEPL MARIGOLD BM3 - HVAC WORKS</t>
  </si>
  <si>
    <t>TEPL MARIGOLD BM3 - Electrical Works</t>
  </si>
  <si>
    <t>TELCOM-NPI BLOCK-HVAC WORKS</t>
  </si>
  <si>
    <t>TELCOM-NPI BLOCK-Electrical works</t>
  </si>
  <si>
    <t>TPL-FIRST SOLAR-HVAC Additional Work</t>
  </si>
  <si>
    <t>Additional Works in TEPL Marigold</t>
  </si>
  <si>
    <t>BIG TECHNOLOGIES PROJECT - M &amp; E WORKS</t>
  </si>
  <si>
    <t>CCTEB - TCL INDIAN - HVAC &amp; CDA WORKS</t>
  </si>
  <si>
    <t>BSCL Factory - MEP Works</t>
  </si>
  <si>
    <t>Electrical Works for Mondelez Expansion</t>
  </si>
  <si>
    <t>HM6T Srcity - HVAC Lowside works</t>
  </si>
  <si>
    <t>MEP Works for BSCL PH 2 Expansion</t>
  </si>
  <si>
    <t>CSA MEP PROJECT FOR MICHELIN UCH TIGER</t>
  </si>
  <si>
    <t>CSA&amp;MEP WORKS FOR MICHELIN UCH GST</t>
  </si>
  <si>
    <t>FIRST SOLAR PROJECT - TATA PROJECTS LTD</t>
  </si>
  <si>
    <t>APOLLO TYRES LTD ATL AP PHASE II</t>
  </si>
  <si>
    <t>Tata Projects - Infinity 121 DC</t>
  </si>
  <si>
    <t>Tata Projects Ltd - ROMP 02 &amp; 03</t>
  </si>
  <si>
    <t>Amazon DC HYD121 - Shell &amp; Core</t>
  </si>
  <si>
    <t>Amazon DC HYD121 - ROMP07</t>
  </si>
  <si>
    <t>MRF Limited - Medak Plant</t>
  </si>
  <si>
    <t>Anthea Pharma Pvt Ltd</t>
  </si>
  <si>
    <t>Premier Energies Global Env Pvt Ltd</t>
  </si>
  <si>
    <t>Premier - CELL Plant - HVAC Work</t>
  </si>
  <si>
    <t>NTT DC3X B HVAC Additional works</t>
  </si>
  <si>
    <t>P&amp;C HAL Tumkur M&amp;E works</t>
  </si>
  <si>
    <t>FPS Works for Exide Battery</t>
  </si>
  <si>
    <t>Maruti SPD Warehouse - E&amp;M works</t>
  </si>
  <si>
    <t>Wistron BLR Hi Tech Park- MEP works</t>
  </si>
  <si>
    <t>E &amp; M Works for Bagur Logistics Park</t>
  </si>
  <si>
    <t>ZEISS BLUE BIRD-ELECTRICAL WORKS</t>
  </si>
  <si>
    <t>Zeiss Blue Bird - HVAC Works</t>
  </si>
  <si>
    <t>HINDALCO INDUSTRIES LTD. (MAHAN Al.) AC</t>
  </si>
  <si>
    <t>JOCKEY FACTORY CUTTACK - ELECTRICAL</t>
  </si>
  <si>
    <t>TATA STEEL KALINGANAGAR</t>
  </si>
  <si>
    <t>TSL KPO NF PO(Supply)</t>
  </si>
  <si>
    <t>RSP O2 PLANT UNIT-I COMPRESSOR PCKG</t>
  </si>
  <si>
    <t>TSK CETP AUGMENTATION</t>
  </si>
  <si>
    <t>TSK BF ENRICHMENT PRS</t>
  </si>
  <si>
    <t>TSK Addl. PRS Streams</t>
  </si>
  <si>
    <t>RSP NF FITTINGS FOR O2 PRS</t>
  </si>
  <si>
    <t>RSP CU SPOOL REPLACEMENT</t>
  </si>
  <si>
    <t>TSK Supply CSRL Pipe &amp; Fittings</t>
  </si>
  <si>
    <t>TSM PRS FOR SMS-BF-1&amp;2-Meramandli</t>
  </si>
  <si>
    <t>Mechanical Piping &amp; Erection-TSAT, Assam</t>
  </si>
  <si>
    <t>HVAC Works-Tata Semiconductor TSAT Assam</t>
  </si>
  <si>
    <t>Infrastructure</t>
  </si>
  <si>
    <t>ECS &amp; TVS Works for Dharavi Station</t>
  </si>
  <si>
    <t>ECS &amp; TVS Works for Shitladevi Station</t>
  </si>
  <si>
    <t>ECS &amp; TVS Works for Dadar Station</t>
  </si>
  <si>
    <t>ECS &amp; TVS Works for Siddhivinayak Stn</t>
  </si>
  <si>
    <t>ECS &amp; TVS Works for Worli Station</t>
  </si>
  <si>
    <t>ECS &amp; TVS Works for Acharya Atre Stn</t>
  </si>
  <si>
    <t>ECS &amp; TVS Works for Science Museum Stn</t>
  </si>
  <si>
    <t>ECS &amp; TVS Works for Mahalaxmi Station</t>
  </si>
  <si>
    <t>ECS &amp; TVS Works for Mumbai Central Stn</t>
  </si>
  <si>
    <t>E&amp;M Works for MMRCL Aarey Depot</t>
  </si>
  <si>
    <t>MEP Works - DOGUS-SOMA JV UGC03</t>
  </si>
  <si>
    <t>OPTCL Package - 43</t>
  </si>
  <si>
    <t>MVAC - DHAULA KUAN STATION</t>
  </si>
  <si>
    <t>MVAC - IGI STATION</t>
  </si>
  <si>
    <t>MVAC - NEW DELHI STATION</t>
  </si>
  <si>
    <t>MVAC - NH - 8 STATION</t>
  </si>
  <si>
    <t>MVAC - SHIVAJI STATION</t>
  </si>
  <si>
    <t>MVAC - TVB BUILDING</t>
  </si>
  <si>
    <t>MVAC - DWARKA DEPOT</t>
  </si>
  <si>
    <t>Electrical - Dhaula Kuan Station</t>
  </si>
  <si>
    <t>Electrical - IGA Station</t>
  </si>
  <si>
    <t>Electrical - New Delhi Station</t>
  </si>
  <si>
    <t>Electrical - NH 8 Station</t>
  </si>
  <si>
    <t>Electrical - Shivaji Stadium</t>
  </si>
  <si>
    <t>Electrical - TVB Building</t>
  </si>
  <si>
    <t>Electrical - Dwaraka Depot</t>
  </si>
  <si>
    <t>Electrical - Dwaraka Sector 21</t>
  </si>
  <si>
    <t>Plumbing - Dhula Kuan Station</t>
  </si>
  <si>
    <t>Plumbing - IGI Station</t>
  </si>
  <si>
    <t>Plumbing - New Delhi Station</t>
  </si>
  <si>
    <t>Plumbing - NH 8 Station</t>
  </si>
  <si>
    <t>Plumbing - Shivaji Stadium Station</t>
  </si>
  <si>
    <t>Plumbing - TVB Building Station</t>
  </si>
  <si>
    <t>Fire Fighting - Dhaula Kuan Station</t>
  </si>
  <si>
    <t>Fire Fighting - IGI AIRPORT STATION</t>
  </si>
  <si>
    <t>Fire Fighting - NEW DELHI STATION</t>
  </si>
  <si>
    <t>Fire Fighting - NH-8 STATION</t>
  </si>
  <si>
    <t>Fire Fighting - SHIVAJI STADIUM STATION</t>
  </si>
  <si>
    <t>Fire Fighting - TVB BUILDING</t>
  </si>
  <si>
    <t>Fire Fighting - Dwarka Depot</t>
  </si>
  <si>
    <t>SMS - Dhaula Kuan Station</t>
  </si>
  <si>
    <t>SMS - IGI Station</t>
  </si>
  <si>
    <t>SMS - New Delhi Station</t>
  </si>
  <si>
    <t>SMS - NH 8 Station</t>
  </si>
  <si>
    <t>SMS - Shivaji Stadium Station</t>
  </si>
  <si>
    <t>SMS - TVB Building</t>
  </si>
  <si>
    <t>SMS - Dwarka Sector 21 Station</t>
  </si>
  <si>
    <t>SMS - Operational Control Centre (OCC)</t>
  </si>
  <si>
    <t>SMS - Depot</t>
  </si>
  <si>
    <t>SMS - Receiving Sub Station (2Nos)</t>
  </si>
  <si>
    <t>ACS - Dhaula Kuan Station</t>
  </si>
  <si>
    <t>ACS - IGI Station</t>
  </si>
  <si>
    <t>ACS - New Delhi Station</t>
  </si>
  <si>
    <t>ACS - NH 8 Station</t>
  </si>
  <si>
    <t>ACS - Shivaji Stadium Station</t>
  </si>
  <si>
    <t>ACS - TVB Building</t>
  </si>
  <si>
    <t>ACS - Dwarka Sector 21 Station</t>
  </si>
  <si>
    <t>ACS - Operational Control Centre (OCC)</t>
  </si>
  <si>
    <t>ACS - Depot</t>
  </si>
  <si>
    <t>Track Side Electrical</t>
  </si>
  <si>
    <t>Track Side Fire Fighting</t>
  </si>
  <si>
    <t>E&amp;M for 3 Elevated Stations in Haryana</t>
  </si>
  <si>
    <t>E&amp;M for NCB Colony &amp; Ballabhgarh</t>
  </si>
  <si>
    <t>E&amp;M for 6 Elevated Stations in Delhi</t>
  </si>
  <si>
    <t>Najafgarh Underground Station Phase-3</t>
  </si>
  <si>
    <t>E&amp;M for Elevated Metro Corridor-NE03</t>
  </si>
  <si>
    <t>DMRC UG STATIONS PH-III LOT-4</t>
  </si>
  <si>
    <t>PGCIL PACKAGE - SS77</t>
  </si>
  <si>
    <t>PGCIL SS50T 765 KV BAY EXTN - PROJECT</t>
  </si>
  <si>
    <t>PGCIL - SS50T 765 KV BAY EXTN MAN SPARES</t>
  </si>
  <si>
    <t>PGCIL 220KV AIS SUBSTATION PKG-SS117</t>
  </si>
  <si>
    <t>AEGCL - Transformer Augmentation Pkg I</t>
  </si>
  <si>
    <t>BMRCL E&amp;M-5/UG/Ph-II</t>
  </si>
  <si>
    <t>BMRCL EM 4 UG ELEV PH II</t>
  </si>
  <si>
    <t>BMRCL ECTVS 01</t>
  </si>
  <si>
    <t>Water Projects</t>
  </si>
  <si>
    <t>MPJNM Khategaon Kannod Dewas</t>
  </si>
  <si>
    <t>Baranga Block (Banki) of Cuttack Dist.</t>
  </si>
  <si>
    <t>Baliapal block of Balasore</t>
  </si>
  <si>
    <t>Nishintakoili block of Cuttack district</t>
  </si>
  <si>
    <t>EMPG Railways</t>
  </si>
  <si>
    <t>WCR EPC-01R-MP:Nagda-Kota</t>
  </si>
  <si>
    <t>CORE PSI ECR 01 : Bihar</t>
  </si>
  <si>
    <t>CORE PSI ECR 01 : Jharkhand</t>
  </si>
  <si>
    <t>MRK-02 : Dum Dum &amp; Belgachiya</t>
  </si>
  <si>
    <t>MRK: GEETANJALI, ESPLANADE &amp; NOAPARA TSS</t>
  </si>
  <si>
    <t>CORE PSI ECR 01 : Uttar Pradesh</t>
  </si>
  <si>
    <t>NWR Dausa-Gangapurcity - OHE PSI</t>
  </si>
  <si>
    <t>Value of Surplus Feb'26 (In Rs. Cr.)</t>
  </si>
  <si>
    <t>Value of Surplus May'26 (In Rs. Cr.)</t>
  </si>
  <si>
    <t>`</t>
  </si>
  <si>
    <t>Sr No.</t>
  </si>
  <si>
    <t xml:space="preserve">Valve </t>
  </si>
  <si>
    <t xml:space="preserve">Flange </t>
  </si>
  <si>
    <t xml:space="preserve">Cable Tray </t>
  </si>
  <si>
    <t>Grilles</t>
  </si>
  <si>
    <t>VCD</t>
  </si>
  <si>
    <t xml:space="preserve">Sheet </t>
  </si>
  <si>
    <t>Insulator</t>
  </si>
  <si>
    <t>Project</t>
  </si>
  <si>
    <t xml:space="preserve">Amazon DC HYD121 </t>
  </si>
  <si>
    <t>Grand Total (In Rs. Cr.)</t>
  </si>
  <si>
    <t>Project wise Surplus Quantity Analysis</t>
  </si>
  <si>
    <t xml:space="preserve">Vertical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</si>
</sst>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_ "/>
    <numFmt numFmtId="165" formatCode="0.000"/>
    <numFmt numFmtId="166" formatCode="0.00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12121"/>
      <name val="Calibri"/>
      <family val="2"/>
    </font>
    <font>
      <sz val="12"/>
      <color rgb="FF000000"/>
      <name val="Calibri"/>
      <family val="2"/>
    </font>
    <font>
      <sz val="10"/>
      <color theme="1"/>
      <name val="Times New Roman"/>
      <family val="1"/>
    </font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2121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</cellStyleXfs>
  <cellXfs count="133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right" vertical="center"/>
    </xf>
    <xf numFmtId="0" fontId="8" fillId="0" borderId="5" xfId="0" applyFont="1" applyBorder="1"/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top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4" fontId="1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2" applyFont="1" applyBorder="1" applyAlignment="1">
      <alignment horizontal="center" vertical="center"/>
    </xf>
    <xf numFmtId="0" fontId="0" fillId="0" borderId="0" xfId="0" pivotButton="1"/>
    <xf numFmtId="0" fontId="1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9" fontId="0" fillId="0" borderId="1" xfId="1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5" borderId="1" xfId="0" applyFill="1" applyBorder="1"/>
    <xf numFmtId="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165" fontId="0" fillId="0" borderId="1" xfId="0" applyNumberFormat="1" applyBorder="1"/>
    <xf numFmtId="165" fontId="1" fillId="0" borderId="1" xfId="0" applyNumberFormat="1" applyFont="1" applyBorder="1"/>
    <xf numFmtId="2" fontId="1" fillId="0" borderId="1" xfId="0" applyNumberFormat="1" applyFont="1" applyBorder="1"/>
    <xf numFmtId="0" fontId="0" fillId="2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9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9" fontId="1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9" fontId="5" fillId="0" borderId="7" xfId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9" fontId="5" fillId="0" borderId="8" xfId="1" applyFont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43" fontId="0" fillId="0" borderId="1" xfId="4" applyFont="1" applyBorder="1" applyAlignment="1">
      <alignment horizontal="center" vertical="center"/>
    </xf>
    <xf numFmtId="9" fontId="0" fillId="0" borderId="0" xfId="1" applyFont="1"/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4" fontId="0" fillId="0" borderId="1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0" xfId="0" applyNumberFormat="1"/>
    <xf numFmtId="2" fontId="0" fillId="0" borderId="0" xfId="0" applyNumberFormat="1"/>
    <xf numFmtId="10" fontId="0" fillId="0" borderId="1" xfId="1" applyNumberFormat="1" applyFont="1" applyBorder="1"/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" fontId="0" fillId="0" borderId="0" xfId="0" applyNumberFormat="1"/>
    <xf numFmtId="1" fontId="3" fillId="0" borderId="1" xfId="0" applyNumberFormat="1" applyFont="1" applyBorder="1" applyAlignment="1">
      <alignment horizontal="center" vertical="center"/>
    </xf>
  </cellXfs>
  <cellStyles count="5">
    <cellStyle name="Comma" xfId="4" builtinId="3"/>
    <cellStyle name="Comma 2" xfId="3" xr:uid="{A4544BC6-E5FA-44F8-948F-988518355007}"/>
    <cellStyle name="Normal" xfId="0" builtinId="0"/>
    <cellStyle name="Normal 2" xfId="2" xr:uid="{6202AF15-BA7C-4E4A-A750-B1A431DBC4B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Surplus</a:t>
            </a:r>
            <a:r>
              <a:rPr lang="en-IN" baseline="0"/>
              <a:t> Consumption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Check'!$H$44</c:f>
              <c:strCache>
                <c:ptCount val="1"/>
                <c:pt idx="0">
                  <c:v>Value (In Rs. Cr.)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Check'!$I$43:$J$43</c:f>
              <c:strCache>
                <c:ptCount val="2"/>
                <c:pt idx="0">
                  <c:v>Feb'26</c:v>
                </c:pt>
                <c:pt idx="1">
                  <c:v>May'26</c:v>
                </c:pt>
              </c:strCache>
            </c:strRef>
          </c:cat>
          <c:val>
            <c:numRef>
              <c:f>'Pivot Check'!$I$44:$J$44</c:f>
              <c:numCache>
                <c:formatCode>0.00</c:formatCode>
                <c:ptCount val="2"/>
                <c:pt idx="0" formatCode="General">
                  <c:v>2.1</c:v>
                </c:pt>
                <c:pt idx="1">
                  <c:v>5.0264860669999996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2-4DDF-BA34-C4C8F6E0CF9D}"/>
            </c:ext>
          </c:extLst>
        </c:ser>
        <c:ser>
          <c:idx val="1"/>
          <c:order val="1"/>
          <c:tx>
            <c:strRef>
              <c:f>'Pivot Check'!$H$45</c:f>
              <c:strCache>
                <c:ptCount val="1"/>
                <c:pt idx="0">
                  <c:v>Consumption Value (In Rs. Cr.)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Check'!$I$43:$J$43</c:f>
              <c:strCache>
                <c:ptCount val="2"/>
                <c:pt idx="0">
                  <c:v>Feb'26</c:v>
                </c:pt>
                <c:pt idx="1">
                  <c:v>May'26</c:v>
                </c:pt>
              </c:strCache>
            </c:strRef>
          </c:cat>
          <c:val>
            <c:numRef>
              <c:f>'Pivot Check'!$I$45:$J$45</c:f>
              <c:numCache>
                <c:formatCode>General</c:formatCode>
                <c:ptCount val="2"/>
                <c:pt idx="0">
                  <c:v>0.27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02-4DDF-BA34-C4C8F6E0CF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3299679"/>
        <c:axId val="1023301599"/>
      </c:barChart>
      <c:catAx>
        <c:axId val="1023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01599"/>
        <c:crosses val="autoZero"/>
        <c:auto val="1"/>
        <c:lblAlgn val="ctr"/>
        <c:lblOffset val="100"/>
        <c:noMultiLvlLbl val="0"/>
      </c:catAx>
      <c:valAx>
        <c:axId val="102330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29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Vertical</a:t>
            </a:r>
            <a:r>
              <a:rPr lang="en-IN" baseline="0"/>
              <a:t> wise Surplus Value</a:t>
            </a:r>
            <a:endParaRPr lang="en-IN"/>
          </a:p>
        </c:rich>
      </c:tx>
      <c:layout>
        <c:manualLayout>
          <c:xMode val="edge"/>
          <c:yMode val="edge"/>
          <c:x val="0.3064444444444444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Check'!$E$35</c:f>
              <c:strCache>
                <c:ptCount val="1"/>
                <c:pt idx="0">
                  <c:v>Value of Surplus Feb'26 (In Rs. Cr.)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Check'!$F$34:$K$34</c:f>
              <c:strCache>
                <c:ptCount val="6"/>
                <c:pt idx="0">
                  <c:v>Buildings</c:v>
                </c:pt>
                <c:pt idx="1">
                  <c:v>Factories</c:v>
                </c:pt>
                <c:pt idx="2">
                  <c:v>Data Centre</c:v>
                </c:pt>
                <c:pt idx="3">
                  <c:v>Railways</c:v>
                </c:pt>
                <c:pt idx="4">
                  <c:v>Substation</c:v>
                </c:pt>
                <c:pt idx="5">
                  <c:v>Total</c:v>
                </c:pt>
              </c:strCache>
            </c:strRef>
          </c:cat>
          <c:val>
            <c:numRef>
              <c:f>'Pivot Check'!$F$35:$K$35</c:f>
              <c:numCache>
                <c:formatCode>0.00</c:formatCode>
                <c:ptCount val="6"/>
                <c:pt idx="0">
                  <c:v>1.506</c:v>
                </c:pt>
                <c:pt idx="1">
                  <c:v>0</c:v>
                </c:pt>
                <c:pt idx="2">
                  <c:v>0.59799999999999998</c:v>
                </c:pt>
                <c:pt idx="3">
                  <c:v>0</c:v>
                </c:pt>
                <c:pt idx="4">
                  <c:v>0</c:v>
                </c:pt>
                <c:pt idx="5">
                  <c:v>2.1040000000000001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B-45E8-8740-A7E4CCCA9439}"/>
            </c:ext>
          </c:extLst>
        </c:ser>
        <c:ser>
          <c:idx val="1"/>
          <c:order val="1"/>
          <c:tx>
            <c:strRef>
              <c:f>'Pivot Check'!$E$36</c:f>
              <c:strCache>
                <c:ptCount val="1"/>
                <c:pt idx="0">
                  <c:v>Value of Surplus May'26 (In Rs. Cr.)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2.77777777777777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AE-4A36-A29F-0F106C1B31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Check'!$F$34:$K$34</c:f>
              <c:strCache>
                <c:ptCount val="6"/>
                <c:pt idx="0">
                  <c:v>Buildings</c:v>
                </c:pt>
                <c:pt idx="1">
                  <c:v>Factories</c:v>
                </c:pt>
                <c:pt idx="2">
                  <c:v>Data Centre</c:v>
                </c:pt>
                <c:pt idx="3">
                  <c:v>Railways</c:v>
                </c:pt>
                <c:pt idx="4">
                  <c:v>Substation</c:v>
                </c:pt>
                <c:pt idx="5">
                  <c:v>Total</c:v>
                </c:pt>
              </c:strCache>
            </c:strRef>
          </c:cat>
          <c:val>
            <c:numRef>
              <c:f>'Pivot Check'!$F$36:$K$36</c:f>
              <c:numCache>
                <c:formatCode>0.00</c:formatCode>
                <c:ptCount val="6"/>
                <c:pt idx="0">
                  <c:v>3.01</c:v>
                </c:pt>
                <c:pt idx="1">
                  <c:v>0.81</c:v>
                </c:pt>
                <c:pt idx="2">
                  <c:v>0.67</c:v>
                </c:pt>
                <c:pt idx="3">
                  <c:v>0.52</c:v>
                </c:pt>
                <c:pt idx="4">
                  <c:v>1.6486066999999997E-2</c:v>
                </c:pt>
                <c:pt idx="5">
                  <c:v>5.0264860669999996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B-45E8-8740-A7E4CCCA94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0812751"/>
        <c:axId val="900813231"/>
      </c:barChart>
      <c:catAx>
        <c:axId val="90081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13231"/>
        <c:crosses val="autoZero"/>
        <c:auto val="1"/>
        <c:lblAlgn val="ctr"/>
        <c:lblOffset val="100"/>
        <c:noMultiLvlLbl val="0"/>
      </c:catAx>
      <c:valAx>
        <c:axId val="90081323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1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688975</xdr:colOff>
      <xdr:row>37</xdr:row>
      <xdr:rowOff>133350</xdr:rowOff>
    </xdr:from>
    <xdr:to>
      <xdr:col>4</xdr:col>
      <xdr:colOff>1571625</xdr:colOff>
      <xdr:row>52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3F8148-B93F-B9CA-621A-59D3DB702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727075</xdr:colOff>
      <xdr:row>40</xdr:row>
      <xdr:rowOff>25400</xdr:rowOff>
    </xdr:from>
    <xdr:to>
      <xdr:col>15</xdr:col>
      <xdr:colOff>1622425</xdr:colOff>
      <xdr:row>55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680C3-2C37-0BD2-CFFD-768478395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bonysaldanha\AppData\Local\Microsoft\Windows\INetCache\Content.Outlook\KKSIOHS9\EMPG%20Concise%20JMR%20Payable%20Dec-25.xlsx" TargetMode="External"/><Relationship Id="rId1" Type="http://schemas.openxmlformats.org/officeDocument/2006/relationships/externalLinkPath" Target="file:///C:\Users\Sibonysaldanha\AppData\Local\Microsoft\Windows\INetCache\Content.Outlook\KKSIOHS9\EMPG%20Concise%20JMR%20Payable%20Dec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EMPG"/>
      <sheetName val="Sheet2"/>
      <sheetName val="Sheet1"/>
      <sheetName val="WR"/>
      <sheetName val="NR"/>
      <sheetName val="Chennai"/>
      <sheetName val="Sec'bad"/>
      <sheetName val="B'lore"/>
      <sheetName val="Cochin"/>
      <sheetName val="ER"/>
      <sheetName val="Infra"/>
    </sheetNames>
    <sheetDataSet>
      <sheetData sheetId="0"/>
      <sheetData sheetId="1">
        <row r="2">
          <cell r="M2" t="str">
            <v>05-01-2026 17:39:58</v>
          </cell>
        </row>
        <row r="6">
          <cell r="M6" t="str">
            <v>User Status</v>
          </cell>
          <cell r="N6" t="str">
            <v>System Status</v>
          </cell>
        </row>
        <row r="7">
          <cell r="M7" t="str">
            <v>ACT2</v>
          </cell>
          <cell r="N7" t="str">
            <v>REL</v>
          </cell>
        </row>
        <row r="8">
          <cell r="M8" t="str">
            <v>CLSD</v>
          </cell>
          <cell r="N8" t="str">
            <v>TECO</v>
          </cell>
        </row>
        <row r="9">
          <cell r="M9" t="str">
            <v>CLS2</v>
          </cell>
          <cell r="N9" t="str">
            <v>TECO</v>
          </cell>
        </row>
        <row r="10">
          <cell r="M10" t="str">
            <v>CLS2</v>
          </cell>
          <cell r="N10" t="str">
            <v>TECO</v>
          </cell>
        </row>
        <row r="11">
          <cell r="M11" t="str">
            <v>CLS2</v>
          </cell>
          <cell r="N11" t="str">
            <v>TECO</v>
          </cell>
        </row>
        <row r="12">
          <cell r="M12" t="str">
            <v>ACT2</v>
          </cell>
          <cell r="N12" t="str">
            <v>REL</v>
          </cell>
        </row>
        <row r="13">
          <cell r="M13" t="str">
            <v>ACT2</v>
          </cell>
          <cell r="N13" t="str">
            <v>REL</v>
          </cell>
        </row>
        <row r="14">
          <cell r="M14" t="str">
            <v>ACT2</v>
          </cell>
          <cell r="N14" t="str">
            <v>TECO</v>
          </cell>
        </row>
        <row r="15">
          <cell r="M15" t="str">
            <v>ACT2</v>
          </cell>
          <cell r="N15" t="str">
            <v>REL</v>
          </cell>
        </row>
        <row r="16">
          <cell r="M16" t="str">
            <v>ACT2</v>
          </cell>
          <cell r="N16" t="str">
            <v>REL</v>
          </cell>
        </row>
        <row r="17">
          <cell r="M17" t="str">
            <v>ACT2</v>
          </cell>
          <cell r="N17" t="str">
            <v>REL</v>
          </cell>
        </row>
        <row r="18">
          <cell r="M18" t="str">
            <v>ACT2</v>
          </cell>
          <cell r="N18" t="str">
            <v>REL</v>
          </cell>
        </row>
        <row r="19">
          <cell r="M19" t="str">
            <v>ACT2</v>
          </cell>
          <cell r="N19" t="str">
            <v>REL</v>
          </cell>
        </row>
        <row r="20">
          <cell r="M20" t="str">
            <v>ACT2</v>
          </cell>
          <cell r="N20" t="str">
            <v>REL</v>
          </cell>
        </row>
        <row r="21">
          <cell r="M21" t="str">
            <v>ACT2</v>
          </cell>
          <cell r="N21" t="str">
            <v>REL</v>
          </cell>
        </row>
        <row r="22">
          <cell r="M22" t="str">
            <v>CRTD</v>
          </cell>
          <cell r="N22" t="str">
            <v>PREL</v>
          </cell>
        </row>
        <row r="23">
          <cell r="M23" t="str">
            <v>CRTD</v>
          </cell>
          <cell r="N23" t="str">
            <v>PREL</v>
          </cell>
        </row>
        <row r="24">
          <cell r="M24" t="str">
            <v>CLS2</v>
          </cell>
          <cell r="N24" t="str">
            <v>TECO</v>
          </cell>
        </row>
        <row r="25">
          <cell r="M25" t="str">
            <v>ACT2</v>
          </cell>
          <cell r="N25" t="str">
            <v>REL</v>
          </cell>
        </row>
        <row r="26">
          <cell r="M26" t="str">
            <v>ACT2</v>
          </cell>
          <cell r="N26" t="str">
            <v>REL</v>
          </cell>
        </row>
        <row r="27">
          <cell r="M27" t="str">
            <v>ACT2</v>
          </cell>
          <cell r="N27" t="str">
            <v>REL</v>
          </cell>
        </row>
        <row r="28">
          <cell r="M28" t="str">
            <v>ACT2</v>
          </cell>
          <cell r="N28" t="str">
            <v>REL</v>
          </cell>
        </row>
        <row r="29">
          <cell r="M29" t="str">
            <v>ACT2</v>
          </cell>
          <cell r="N29" t="str">
            <v>REL</v>
          </cell>
        </row>
        <row r="30">
          <cell r="M30" t="str">
            <v>ACT2</v>
          </cell>
          <cell r="N30" t="str">
            <v>REL</v>
          </cell>
        </row>
        <row r="31">
          <cell r="M31" t="str">
            <v>ACT2</v>
          </cell>
          <cell r="N31" t="str">
            <v>REL</v>
          </cell>
        </row>
        <row r="32">
          <cell r="M32" t="str">
            <v>ACT2</v>
          </cell>
          <cell r="N32" t="str">
            <v>REL</v>
          </cell>
        </row>
        <row r="33">
          <cell r="M33" t="str">
            <v>CLS2</v>
          </cell>
          <cell r="N33" t="str">
            <v>TECO</v>
          </cell>
        </row>
        <row r="34">
          <cell r="M34" t="str">
            <v>CLSD</v>
          </cell>
          <cell r="N34" t="str">
            <v>TECO</v>
          </cell>
        </row>
        <row r="35">
          <cell r="M35" t="str">
            <v>CRTD</v>
          </cell>
          <cell r="N35" t="str">
            <v>PREL</v>
          </cell>
        </row>
        <row r="36">
          <cell r="M36" t="str">
            <v>ACTV</v>
          </cell>
          <cell r="N36" t="str">
            <v>REL</v>
          </cell>
        </row>
        <row r="37">
          <cell r="M37" t="str">
            <v>ACT2</v>
          </cell>
          <cell r="N37" t="str">
            <v>REL</v>
          </cell>
        </row>
        <row r="38">
          <cell r="M38" t="str">
            <v>ACT2</v>
          </cell>
          <cell r="N38" t="str">
            <v>REL</v>
          </cell>
        </row>
        <row r="39">
          <cell r="M39" t="str">
            <v>CLSD</v>
          </cell>
          <cell r="N39" t="str">
            <v>TECO</v>
          </cell>
        </row>
        <row r="40">
          <cell r="M40" t="str">
            <v>CLSD</v>
          </cell>
          <cell r="N40" t="str">
            <v>TECO</v>
          </cell>
        </row>
        <row r="41">
          <cell r="M41" t="str">
            <v>CLSD</v>
          </cell>
          <cell r="N41" t="str">
            <v>TECO</v>
          </cell>
        </row>
        <row r="42">
          <cell r="M42" t="str">
            <v>CLSD</v>
          </cell>
          <cell r="N42" t="str">
            <v>TECO</v>
          </cell>
        </row>
        <row r="43">
          <cell r="M43" t="str">
            <v>ACT2</v>
          </cell>
          <cell r="N43" t="str">
            <v>REL</v>
          </cell>
        </row>
        <row r="44">
          <cell r="M44" t="str">
            <v>ACT2</v>
          </cell>
          <cell r="N44" t="str">
            <v>REL</v>
          </cell>
        </row>
        <row r="45">
          <cell r="M45" t="str">
            <v>ACT2</v>
          </cell>
          <cell r="N45" t="str">
            <v>REL</v>
          </cell>
        </row>
        <row r="46">
          <cell r="M46" t="str">
            <v>ACT2</v>
          </cell>
          <cell r="N46" t="str">
            <v>REL</v>
          </cell>
        </row>
        <row r="47">
          <cell r="M47" t="str">
            <v>ACT2</v>
          </cell>
          <cell r="N47" t="str">
            <v>REL</v>
          </cell>
        </row>
        <row r="48">
          <cell r="M48" t="str">
            <v>ACT2</v>
          </cell>
          <cell r="N48" t="str">
            <v>REL</v>
          </cell>
        </row>
        <row r="49">
          <cell r="M49" t="str">
            <v>ACT2</v>
          </cell>
          <cell r="N49" t="str">
            <v>REL</v>
          </cell>
        </row>
        <row r="50">
          <cell r="M50" t="str">
            <v>CLS2</v>
          </cell>
          <cell r="N50" t="str">
            <v>TECO</v>
          </cell>
        </row>
        <row r="51">
          <cell r="M51" t="str">
            <v>ACT2</v>
          </cell>
          <cell r="N51" t="str">
            <v>REL</v>
          </cell>
        </row>
        <row r="53">
          <cell r="M53" t="str">
            <v>ACT2</v>
          </cell>
          <cell r="N53" t="str">
            <v>REL</v>
          </cell>
        </row>
        <row r="54">
          <cell r="M54" t="str">
            <v>ACT2</v>
          </cell>
          <cell r="N54" t="str">
            <v>REL</v>
          </cell>
        </row>
        <row r="55">
          <cell r="M55" t="str">
            <v>CLS2</v>
          </cell>
          <cell r="N55" t="str">
            <v>TECO</v>
          </cell>
        </row>
        <row r="56">
          <cell r="M56" t="str">
            <v>CLS2</v>
          </cell>
          <cell r="N56" t="str">
            <v>TECO</v>
          </cell>
        </row>
        <row r="57">
          <cell r="M57" t="str">
            <v>ACT2</v>
          </cell>
          <cell r="N57" t="str">
            <v>REL</v>
          </cell>
        </row>
        <row r="58">
          <cell r="M58" t="str">
            <v>ACT2</v>
          </cell>
          <cell r="N58" t="str">
            <v>TECO</v>
          </cell>
        </row>
        <row r="59">
          <cell r="M59" t="str">
            <v>ACT2</v>
          </cell>
          <cell r="N59" t="str">
            <v>REL</v>
          </cell>
        </row>
        <row r="60">
          <cell r="M60" t="str">
            <v>ACT2</v>
          </cell>
          <cell r="N60" t="str">
            <v>REL</v>
          </cell>
        </row>
        <row r="61">
          <cell r="M61" t="str">
            <v>ACT2</v>
          </cell>
          <cell r="N61" t="str">
            <v>REL</v>
          </cell>
        </row>
        <row r="62">
          <cell r="M62" t="str">
            <v>CLS2</v>
          </cell>
          <cell r="N62" t="str">
            <v>TECO</v>
          </cell>
        </row>
        <row r="63">
          <cell r="M63" t="str">
            <v>ACT2</v>
          </cell>
          <cell r="N63" t="str">
            <v>REL</v>
          </cell>
        </row>
        <row r="64">
          <cell r="M64" t="str">
            <v>ACT2</v>
          </cell>
          <cell r="N64" t="str">
            <v>REL</v>
          </cell>
        </row>
        <row r="65">
          <cell r="M65" t="str">
            <v>ACT2</v>
          </cell>
          <cell r="N65" t="str">
            <v>REL</v>
          </cell>
        </row>
        <row r="66">
          <cell r="M66" t="str">
            <v>ACT2</v>
          </cell>
          <cell r="N66" t="str">
            <v>REL</v>
          </cell>
        </row>
        <row r="67">
          <cell r="M67" t="str">
            <v>ACT2</v>
          </cell>
          <cell r="N67" t="str">
            <v>REL</v>
          </cell>
        </row>
        <row r="68">
          <cell r="M68" t="str">
            <v>CLS2</v>
          </cell>
          <cell r="N68" t="str">
            <v>TECO</v>
          </cell>
        </row>
        <row r="69">
          <cell r="M69" t="str">
            <v>CLSD</v>
          </cell>
          <cell r="N69" t="str">
            <v>TECO</v>
          </cell>
        </row>
        <row r="70">
          <cell r="M70" t="str">
            <v>ACT2</v>
          </cell>
          <cell r="N70" t="str">
            <v>REL</v>
          </cell>
        </row>
        <row r="71">
          <cell r="M71" t="str">
            <v>ACT2</v>
          </cell>
          <cell r="N71" t="str">
            <v>REL</v>
          </cell>
        </row>
        <row r="72">
          <cell r="M72" t="str">
            <v>ACT2</v>
          </cell>
          <cell r="N72" t="str">
            <v>REL</v>
          </cell>
        </row>
        <row r="74">
          <cell r="M74" t="str">
            <v>ACT2</v>
          </cell>
          <cell r="N74" t="str">
            <v>REL</v>
          </cell>
        </row>
        <row r="75">
          <cell r="M75" t="str">
            <v>CLSD</v>
          </cell>
          <cell r="N75" t="str">
            <v>TECO</v>
          </cell>
        </row>
        <row r="76">
          <cell r="M76" t="str">
            <v>ACT2</v>
          </cell>
          <cell r="N76" t="str">
            <v>REL</v>
          </cell>
        </row>
        <row r="77">
          <cell r="M77" t="str">
            <v>CLSD</v>
          </cell>
          <cell r="N77" t="str">
            <v>TECO</v>
          </cell>
        </row>
        <row r="78">
          <cell r="M78" t="str">
            <v>CLSD</v>
          </cell>
          <cell r="N78" t="str">
            <v>TECO</v>
          </cell>
        </row>
        <row r="79">
          <cell r="M79" t="str">
            <v>ACT2</v>
          </cell>
          <cell r="N79" t="str">
            <v>REL</v>
          </cell>
        </row>
        <row r="80">
          <cell r="M80" t="str">
            <v>CLSD</v>
          </cell>
          <cell r="N80" t="str">
            <v>TECO</v>
          </cell>
        </row>
        <row r="81">
          <cell r="M81" t="str">
            <v>ACT2</v>
          </cell>
          <cell r="N81" t="str">
            <v>REL</v>
          </cell>
        </row>
        <row r="84">
          <cell r="M84" t="str">
            <v>ACT2</v>
          </cell>
          <cell r="N84" t="str">
            <v>REL</v>
          </cell>
        </row>
        <row r="85">
          <cell r="M85" t="str">
            <v>CLSD</v>
          </cell>
          <cell r="N85" t="str">
            <v>TECO</v>
          </cell>
        </row>
        <row r="86">
          <cell r="M86" t="str">
            <v>CLSD</v>
          </cell>
          <cell r="N86" t="str">
            <v>TECO</v>
          </cell>
        </row>
        <row r="87">
          <cell r="M87" t="str">
            <v>CLSD</v>
          </cell>
          <cell r="N87" t="str">
            <v>TECO</v>
          </cell>
        </row>
        <row r="88">
          <cell r="M88" t="str">
            <v>CLSD</v>
          </cell>
          <cell r="N88" t="str">
            <v>TECO</v>
          </cell>
        </row>
        <row r="89">
          <cell r="M89" t="str">
            <v>ACT2</v>
          </cell>
          <cell r="N89" t="str">
            <v>REL</v>
          </cell>
        </row>
        <row r="90">
          <cell r="M90" t="str">
            <v>ACT2</v>
          </cell>
          <cell r="N90" t="str">
            <v>REL</v>
          </cell>
        </row>
        <row r="91">
          <cell r="M91" t="str">
            <v>ACT2</v>
          </cell>
          <cell r="N91" t="str">
            <v>REL</v>
          </cell>
        </row>
        <row r="92">
          <cell r="M92" t="str">
            <v>ACT2</v>
          </cell>
          <cell r="N92" t="str">
            <v>REL</v>
          </cell>
        </row>
        <row r="93">
          <cell r="M93" t="str">
            <v>CLS2</v>
          </cell>
          <cell r="N93" t="str">
            <v>TECO</v>
          </cell>
        </row>
        <row r="94">
          <cell r="M94" t="str">
            <v>ACT2</v>
          </cell>
          <cell r="N94" t="str">
            <v>REL</v>
          </cell>
        </row>
        <row r="95">
          <cell r="M95" t="str">
            <v>CLSD</v>
          </cell>
          <cell r="N95" t="str">
            <v>TECO</v>
          </cell>
        </row>
        <row r="96">
          <cell r="M96" t="str">
            <v>CLSD</v>
          </cell>
          <cell r="N96" t="str">
            <v>TECO</v>
          </cell>
        </row>
        <row r="97">
          <cell r="M97" t="str">
            <v>CLSD</v>
          </cell>
          <cell r="N97" t="str">
            <v>TECO</v>
          </cell>
        </row>
        <row r="98">
          <cell r="M98" t="str">
            <v>ACT2</v>
          </cell>
          <cell r="N98" t="str">
            <v>REL</v>
          </cell>
        </row>
        <row r="99">
          <cell r="M99" t="str">
            <v>CLSD</v>
          </cell>
          <cell r="N99" t="str">
            <v>TECO</v>
          </cell>
        </row>
        <row r="100">
          <cell r="M100" t="str">
            <v>ACT2</v>
          </cell>
          <cell r="N100" t="str">
            <v>REL</v>
          </cell>
        </row>
        <row r="101">
          <cell r="M101" t="str">
            <v>ACT2</v>
          </cell>
          <cell r="N101" t="str">
            <v>REL</v>
          </cell>
        </row>
        <row r="102">
          <cell r="M102" t="str">
            <v>ACT2</v>
          </cell>
          <cell r="N102" t="str">
            <v>REL</v>
          </cell>
        </row>
        <row r="103">
          <cell r="M103" t="str">
            <v>ACT2</v>
          </cell>
          <cell r="N103" t="str">
            <v>REL</v>
          </cell>
        </row>
        <row r="104">
          <cell r="M104" t="str">
            <v>ACT2</v>
          </cell>
          <cell r="N104" t="str">
            <v>REL</v>
          </cell>
        </row>
        <row r="105">
          <cell r="M105" t="str">
            <v>ACT2</v>
          </cell>
          <cell r="N105" t="str">
            <v>REL</v>
          </cell>
        </row>
        <row r="106">
          <cell r="M106" t="str">
            <v>ACT2</v>
          </cell>
          <cell r="N106" t="str">
            <v>REL</v>
          </cell>
        </row>
        <row r="107">
          <cell r="M107" t="str">
            <v>ACT2</v>
          </cell>
          <cell r="N107" t="str">
            <v>REL</v>
          </cell>
        </row>
        <row r="108">
          <cell r="M108" t="str">
            <v>ACT2</v>
          </cell>
          <cell r="N108" t="str">
            <v>REL</v>
          </cell>
        </row>
        <row r="109">
          <cell r="M109" t="str">
            <v>ACT2</v>
          </cell>
          <cell r="N109" t="str">
            <v>REL</v>
          </cell>
        </row>
        <row r="110">
          <cell r="M110" t="str">
            <v>CLSD</v>
          </cell>
          <cell r="N110" t="str">
            <v>TECO</v>
          </cell>
        </row>
        <row r="111">
          <cell r="M111" t="str">
            <v>CLSD</v>
          </cell>
          <cell r="N111" t="str">
            <v>TECO</v>
          </cell>
        </row>
        <row r="112">
          <cell r="M112" t="str">
            <v>ACT2</v>
          </cell>
          <cell r="N112" t="str">
            <v>REL</v>
          </cell>
        </row>
        <row r="113">
          <cell r="M113" t="str">
            <v>ACT2</v>
          </cell>
          <cell r="N113" t="str">
            <v>REL</v>
          </cell>
        </row>
        <row r="114">
          <cell r="M114" t="str">
            <v>ACT2</v>
          </cell>
          <cell r="N114" t="str">
            <v>REL</v>
          </cell>
        </row>
        <row r="115">
          <cell r="M115" t="str">
            <v>ACT2</v>
          </cell>
          <cell r="N115" t="str">
            <v>REL</v>
          </cell>
        </row>
        <row r="116">
          <cell r="M116" t="str">
            <v>ACT2</v>
          </cell>
          <cell r="N116" t="str">
            <v>REL</v>
          </cell>
        </row>
        <row r="117">
          <cell r="M117" t="str">
            <v>ACT2</v>
          </cell>
          <cell r="N117" t="str">
            <v>REL</v>
          </cell>
        </row>
        <row r="119">
          <cell r="M119" t="str">
            <v>CLSD</v>
          </cell>
          <cell r="N119" t="str">
            <v>TECO</v>
          </cell>
        </row>
        <row r="120">
          <cell r="M120" t="str">
            <v>CLSD</v>
          </cell>
          <cell r="N120" t="str">
            <v>TECO</v>
          </cell>
        </row>
        <row r="121">
          <cell r="M121" t="str">
            <v>CLSD</v>
          </cell>
          <cell r="N121" t="str">
            <v>TECO</v>
          </cell>
        </row>
        <row r="122">
          <cell r="M122" t="str">
            <v>ACT2</v>
          </cell>
          <cell r="N122" t="str">
            <v>REL</v>
          </cell>
        </row>
        <row r="124">
          <cell r="M124" t="str">
            <v>CLSD</v>
          </cell>
          <cell r="N124" t="str">
            <v>TECO</v>
          </cell>
        </row>
        <row r="125">
          <cell r="M125" t="str">
            <v>ACT2</v>
          </cell>
          <cell r="N125" t="str">
            <v>REL</v>
          </cell>
        </row>
        <row r="126">
          <cell r="M126" t="str">
            <v>CLSD</v>
          </cell>
          <cell r="N126" t="str">
            <v>TECO</v>
          </cell>
        </row>
        <row r="127">
          <cell r="M127" t="str">
            <v>CLSD</v>
          </cell>
          <cell r="N127" t="str">
            <v>TECO</v>
          </cell>
        </row>
        <row r="128">
          <cell r="M128" t="str">
            <v>CLSD</v>
          </cell>
          <cell r="N128" t="str">
            <v>TECO</v>
          </cell>
        </row>
        <row r="129">
          <cell r="M129" t="str">
            <v>ACT2</v>
          </cell>
          <cell r="N129" t="str">
            <v>REL</v>
          </cell>
        </row>
        <row r="130">
          <cell r="M130" t="str">
            <v>ACT2</v>
          </cell>
          <cell r="N130" t="str">
            <v>REL</v>
          </cell>
        </row>
        <row r="131">
          <cell r="M131" t="str">
            <v>ACT2</v>
          </cell>
          <cell r="N131" t="str">
            <v>REL</v>
          </cell>
        </row>
        <row r="132">
          <cell r="M132" t="str">
            <v>CLSD</v>
          </cell>
          <cell r="N132" t="str">
            <v>TECO</v>
          </cell>
        </row>
        <row r="133">
          <cell r="M133" t="str">
            <v>CLSD</v>
          </cell>
          <cell r="N133" t="str">
            <v>TECO</v>
          </cell>
        </row>
        <row r="134">
          <cell r="M134" t="str">
            <v>CLSD</v>
          </cell>
          <cell r="N134" t="str">
            <v>TECO</v>
          </cell>
        </row>
        <row r="135">
          <cell r="M135" t="str">
            <v>ACT2</v>
          </cell>
          <cell r="N135" t="str">
            <v>REL</v>
          </cell>
        </row>
        <row r="136">
          <cell r="M136" t="str">
            <v>ACT2</v>
          </cell>
          <cell r="N136" t="str">
            <v>REL</v>
          </cell>
        </row>
        <row r="139">
          <cell r="M139" t="str">
            <v>ACTV</v>
          </cell>
          <cell r="N139" t="str">
            <v>REL</v>
          </cell>
        </row>
        <row r="140">
          <cell r="M140" t="str">
            <v>CRTD</v>
          </cell>
          <cell r="N140" t="str">
            <v>PREL</v>
          </cell>
        </row>
        <row r="141">
          <cell r="M141" t="str">
            <v>ACT2</v>
          </cell>
          <cell r="N141" t="str">
            <v>REL</v>
          </cell>
        </row>
        <row r="142">
          <cell r="M142" t="str">
            <v>CLSD</v>
          </cell>
          <cell r="N142" t="str">
            <v>TECO</v>
          </cell>
        </row>
        <row r="143">
          <cell r="M143" t="str">
            <v>CLSD</v>
          </cell>
          <cell r="N143" t="str">
            <v>TECO</v>
          </cell>
        </row>
        <row r="144">
          <cell r="M144" t="str">
            <v>ACT2</v>
          </cell>
          <cell r="N144" t="str">
            <v>REL</v>
          </cell>
        </row>
        <row r="145">
          <cell r="M145" t="str">
            <v>ACT2</v>
          </cell>
          <cell r="N145" t="str">
            <v>REL</v>
          </cell>
        </row>
        <row r="146">
          <cell r="M146" t="str">
            <v>ACT2</v>
          </cell>
          <cell r="N146" t="str">
            <v>REL</v>
          </cell>
        </row>
        <row r="147">
          <cell r="M147" t="str">
            <v>CLSD</v>
          </cell>
          <cell r="N147" t="str">
            <v>REL</v>
          </cell>
        </row>
        <row r="148">
          <cell r="M148" t="str">
            <v>ACT2</v>
          </cell>
          <cell r="N148" t="str">
            <v>REL</v>
          </cell>
        </row>
        <row r="149">
          <cell r="M149" t="str">
            <v>CLSD</v>
          </cell>
          <cell r="N149" t="str">
            <v>REL</v>
          </cell>
        </row>
        <row r="150">
          <cell r="M150" t="str">
            <v>CLSD</v>
          </cell>
          <cell r="N150" t="str">
            <v>TECO</v>
          </cell>
        </row>
        <row r="151">
          <cell r="M151" t="str">
            <v>CLSD</v>
          </cell>
          <cell r="N151" t="str">
            <v>TECO</v>
          </cell>
        </row>
        <row r="152">
          <cell r="M152" t="str">
            <v>ACT2</v>
          </cell>
          <cell r="N152" t="str">
            <v>REL</v>
          </cell>
        </row>
        <row r="153">
          <cell r="M153" t="str">
            <v>ACT2</v>
          </cell>
          <cell r="N153" t="str">
            <v>REL</v>
          </cell>
        </row>
        <row r="154">
          <cell r="M154" t="str">
            <v>ACT2</v>
          </cell>
          <cell r="N154" t="str">
            <v>REL</v>
          </cell>
        </row>
        <row r="155">
          <cell r="M155" t="str">
            <v>CLSD</v>
          </cell>
          <cell r="N155" t="str">
            <v>TECO</v>
          </cell>
        </row>
        <row r="156">
          <cell r="M156" t="str">
            <v>ACT2</v>
          </cell>
          <cell r="N156" t="str">
            <v>REL</v>
          </cell>
        </row>
        <row r="157">
          <cell r="M157" t="str">
            <v>ACT2</v>
          </cell>
          <cell r="N157" t="str">
            <v>REL</v>
          </cell>
        </row>
        <row r="158">
          <cell r="M158" t="str">
            <v>ACT2</v>
          </cell>
          <cell r="N158" t="str">
            <v>REL</v>
          </cell>
        </row>
        <row r="159">
          <cell r="M159" t="str">
            <v>ACT2</v>
          </cell>
          <cell r="N159" t="str">
            <v>REL</v>
          </cell>
        </row>
        <row r="160">
          <cell r="M160" t="str">
            <v>ACT2</v>
          </cell>
          <cell r="N160" t="str">
            <v>REL</v>
          </cell>
        </row>
        <row r="161">
          <cell r="M161" t="str">
            <v>ACT2</v>
          </cell>
          <cell r="N161" t="str">
            <v>REL</v>
          </cell>
        </row>
        <row r="162">
          <cell r="M162" t="str">
            <v>ACT2</v>
          </cell>
          <cell r="N162" t="str">
            <v>REL</v>
          </cell>
        </row>
        <row r="163">
          <cell r="M163" t="str">
            <v>ACT2</v>
          </cell>
          <cell r="N163" t="str">
            <v>REL</v>
          </cell>
        </row>
        <row r="164">
          <cell r="M164" t="str">
            <v>ACT2</v>
          </cell>
          <cell r="N164" t="str">
            <v>REL</v>
          </cell>
        </row>
        <row r="165">
          <cell r="M165" t="str">
            <v>ACT2</v>
          </cell>
          <cell r="N165" t="str">
            <v>REL</v>
          </cell>
        </row>
        <row r="166">
          <cell r="M166" t="str">
            <v>ACT2</v>
          </cell>
          <cell r="N166" t="str">
            <v>REL</v>
          </cell>
        </row>
        <row r="167">
          <cell r="M167" t="str">
            <v>ACT2</v>
          </cell>
          <cell r="N167" t="str">
            <v>REL</v>
          </cell>
        </row>
        <row r="168">
          <cell r="M168" t="str">
            <v>ACTV</v>
          </cell>
          <cell r="N168" t="str">
            <v>REL</v>
          </cell>
        </row>
        <row r="169">
          <cell r="M169" t="str">
            <v>CRTD</v>
          </cell>
          <cell r="N169" t="str">
            <v>PREL</v>
          </cell>
        </row>
        <row r="170">
          <cell r="M170" t="str">
            <v>ACT2</v>
          </cell>
          <cell r="N170" t="str">
            <v>REL</v>
          </cell>
        </row>
        <row r="171">
          <cell r="M171" t="str">
            <v>ACT2</v>
          </cell>
          <cell r="N171" t="str">
            <v>REL</v>
          </cell>
        </row>
        <row r="173">
          <cell r="M173" t="str">
            <v>CLSD</v>
          </cell>
          <cell r="N173" t="str">
            <v>TECO</v>
          </cell>
        </row>
        <row r="174">
          <cell r="M174" t="str">
            <v>ACT2</v>
          </cell>
          <cell r="N174" t="str">
            <v>REL</v>
          </cell>
        </row>
        <row r="175">
          <cell r="M175" t="str">
            <v>ACT2</v>
          </cell>
          <cell r="N175" t="str">
            <v>REL</v>
          </cell>
        </row>
        <row r="176">
          <cell r="M176" t="str">
            <v>ACT2</v>
          </cell>
          <cell r="N176" t="str">
            <v>REL</v>
          </cell>
        </row>
        <row r="177">
          <cell r="M177" t="str">
            <v>ACT2</v>
          </cell>
          <cell r="N177" t="str">
            <v>REL</v>
          </cell>
        </row>
        <row r="178">
          <cell r="M178" t="str">
            <v>ACT2</v>
          </cell>
          <cell r="N178" t="str">
            <v>REL</v>
          </cell>
        </row>
        <row r="179">
          <cell r="M179" t="str">
            <v>ACT2</v>
          </cell>
          <cell r="N179" t="str">
            <v>REL</v>
          </cell>
        </row>
        <row r="180">
          <cell r="M180" t="str">
            <v>ACT2</v>
          </cell>
          <cell r="N180" t="str">
            <v>REL</v>
          </cell>
        </row>
        <row r="181">
          <cell r="M181" t="str">
            <v>ACT2</v>
          </cell>
          <cell r="N181" t="str">
            <v>REL</v>
          </cell>
        </row>
        <row r="182">
          <cell r="M182" t="str">
            <v>ACT2</v>
          </cell>
          <cell r="N182" t="str">
            <v>REL</v>
          </cell>
        </row>
        <row r="183">
          <cell r="M183" t="str">
            <v>CLSD</v>
          </cell>
          <cell r="N183" t="str">
            <v>TECO</v>
          </cell>
        </row>
        <row r="184">
          <cell r="M184" t="str">
            <v>CLSD</v>
          </cell>
          <cell r="N184" t="str">
            <v>TECO</v>
          </cell>
        </row>
        <row r="185">
          <cell r="M185" t="str">
            <v>ACT2</v>
          </cell>
          <cell r="N185" t="str">
            <v>REL</v>
          </cell>
        </row>
        <row r="186">
          <cell r="M186" t="str">
            <v>ACT2</v>
          </cell>
          <cell r="N186" t="str">
            <v>REL</v>
          </cell>
        </row>
        <row r="187">
          <cell r="M187" t="str">
            <v>CLSD</v>
          </cell>
          <cell r="N187" t="str">
            <v>TECO</v>
          </cell>
        </row>
        <row r="188">
          <cell r="M188" t="str">
            <v>ACT2</v>
          </cell>
          <cell r="N188" t="str">
            <v>REL</v>
          </cell>
        </row>
        <row r="189">
          <cell r="M189" t="str">
            <v>ACT2</v>
          </cell>
          <cell r="N189" t="str">
            <v>REL</v>
          </cell>
        </row>
        <row r="190">
          <cell r="M190" t="str">
            <v>CLSD</v>
          </cell>
          <cell r="N190" t="str">
            <v>TECO</v>
          </cell>
        </row>
        <row r="191">
          <cell r="M191" t="str">
            <v>CLSD</v>
          </cell>
          <cell r="N191" t="str">
            <v>TECO</v>
          </cell>
        </row>
        <row r="194">
          <cell r="M194" t="str">
            <v>ACT2</v>
          </cell>
          <cell r="N194" t="str">
            <v>REL</v>
          </cell>
        </row>
        <row r="195">
          <cell r="M195" t="str">
            <v>ACT2</v>
          </cell>
          <cell r="N195" t="str">
            <v>REL</v>
          </cell>
        </row>
        <row r="196">
          <cell r="M196" t="str">
            <v>ACT2</v>
          </cell>
          <cell r="N196" t="str">
            <v>REL</v>
          </cell>
        </row>
        <row r="197">
          <cell r="M197" t="str">
            <v>ACT2</v>
          </cell>
          <cell r="N197" t="str">
            <v>REL</v>
          </cell>
        </row>
        <row r="198">
          <cell r="M198" t="str">
            <v>ACT2</v>
          </cell>
          <cell r="N198" t="str">
            <v>REL</v>
          </cell>
        </row>
        <row r="199">
          <cell r="M199" t="str">
            <v>ACT2</v>
          </cell>
          <cell r="N199" t="str">
            <v>REL</v>
          </cell>
        </row>
        <row r="200">
          <cell r="M200" t="str">
            <v>ACT2</v>
          </cell>
          <cell r="N200" t="str">
            <v>REL</v>
          </cell>
        </row>
        <row r="201">
          <cell r="M201" t="str">
            <v>CLS2</v>
          </cell>
          <cell r="N201" t="str">
            <v>TECO</v>
          </cell>
        </row>
        <row r="202">
          <cell r="M202" t="str">
            <v>ACT2</v>
          </cell>
          <cell r="N202" t="str">
            <v>REL</v>
          </cell>
        </row>
        <row r="203">
          <cell r="M203" t="str">
            <v>ACT2</v>
          </cell>
          <cell r="N203" t="str">
            <v>REL</v>
          </cell>
        </row>
        <row r="204">
          <cell r="M204" t="str">
            <v>ACT2</v>
          </cell>
          <cell r="N204" t="str">
            <v>REL</v>
          </cell>
        </row>
        <row r="205">
          <cell r="M205" t="str">
            <v>ACT2</v>
          </cell>
          <cell r="N205" t="str">
            <v>REL</v>
          </cell>
        </row>
        <row r="206">
          <cell r="M206" t="str">
            <v>ACT2</v>
          </cell>
          <cell r="N206" t="str">
            <v>REL</v>
          </cell>
        </row>
        <row r="207">
          <cell r="M207" t="str">
            <v>ACT2</v>
          </cell>
          <cell r="N207" t="str">
            <v>REL</v>
          </cell>
        </row>
        <row r="208">
          <cell r="M208" t="str">
            <v>ACT2</v>
          </cell>
          <cell r="N208" t="str">
            <v>REL</v>
          </cell>
        </row>
        <row r="209">
          <cell r="M209" t="str">
            <v>ACT2</v>
          </cell>
          <cell r="N209" t="str">
            <v>REL</v>
          </cell>
        </row>
        <row r="210">
          <cell r="M210" t="str">
            <v>ACT2</v>
          </cell>
          <cell r="N210" t="str">
            <v>REL</v>
          </cell>
        </row>
        <row r="211">
          <cell r="M211" t="str">
            <v>ACT2</v>
          </cell>
          <cell r="N211" t="str">
            <v>REL</v>
          </cell>
        </row>
        <row r="212">
          <cell r="M212" t="str">
            <v>ACT2</v>
          </cell>
          <cell r="N212" t="str">
            <v>REL</v>
          </cell>
        </row>
        <row r="213">
          <cell r="M213" t="str">
            <v>ACT2</v>
          </cell>
          <cell r="N213" t="str">
            <v>REL</v>
          </cell>
        </row>
        <row r="214">
          <cell r="M214" t="str">
            <v>CRTD</v>
          </cell>
          <cell r="N214" t="str">
            <v>CRTD</v>
          </cell>
        </row>
        <row r="215">
          <cell r="M215" t="str">
            <v>ACT2</v>
          </cell>
          <cell r="N215" t="str">
            <v>REL</v>
          </cell>
        </row>
        <row r="216">
          <cell r="M216" t="str">
            <v>ACT2</v>
          </cell>
          <cell r="N216" t="str">
            <v>REL</v>
          </cell>
        </row>
        <row r="217">
          <cell r="M217" t="str">
            <v>ACT2</v>
          </cell>
          <cell r="N217" t="str">
            <v>REL</v>
          </cell>
        </row>
        <row r="218">
          <cell r="M218" t="str">
            <v>ACT2</v>
          </cell>
          <cell r="N218" t="str">
            <v>REL</v>
          </cell>
        </row>
        <row r="219">
          <cell r="M219" t="str">
            <v>CLSD</v>
          </cell>
          <cell r="N219" t="str">
            <v>TECO</v>
          </cell>
        </row>
        <row r="220">
          <cell r="M220" t="str">
            <v>ACT2</v>
          </cell>
          <cell r="N220" t="str">
            <v>REL</v>
          </cell>
        </row>
        <row r="221">
          <cell r="M221" t="str">
            <v>ACT2</v>
          </cell>
          <cell r="N221" t="str">
            <v>REL</v>
          </cell>
        </row>
        <row r="222">
          <cell r="M222" t="str">
            <v>ACT2</v>
          </cell>
          <cell r="N222" t="str">
            <v>REL</v>
          </cell>
        </row>
        <row r="223">
          <cell r="M223" t="str">
            <v>ACT2</v>
          </cell>
          <cell r="N223" t="str">
            <v>REL</v>
          </cell>
        </row>
        <row r="224">
          <cell r="M224" t="str">
            <v>ACT2</v>
          </cell>
          <cell r="N224" t="str">
            <v>REL</v>
          </cell>
        </row>
        <row r="225">
          <cell r="M225" t="str">
            <v>ACT2</v>
          </cell>
          <cell r="N225" t="str">
            <v>REL</v>
          </cell>
        </row>
        <row r="227">
          <cell r="M227" t="str">
            <v>CLS3</v>
          </cell>
          <cell r="N227" t="str">
            <v>TECO</v>
          </cell>
        </row>
        <row r="228">
          <cell r="M228" t="str">
            <v>CLSD</v>
          </cell>
          <cell r="N228" t="str">
            <v>TECO</v>
          </cell>
        </row>
        <row r="229">
          <cell r="M229" t="str">
            <v>ACT2</v>
          </cell>
          <cell r="N229" t="str">
            <v>REL</v>
          </cell>
        </row>
        <row r="230">
          <cell r="M230" t="str">
            <v>ACT2</v>
          </cell>
          <cell r="N230" t="str">
            <v>REL</v>
          </cell>
        </row>
        <row r="231">
          <cell r="M231" t="str">
            <v>ACT2</v>
          </cell>
          <cell r="N231" t="str">
            <v>REL</v>
          </cell>
        </row>
        <row r="232">
          <cell r="M232" t="str">
            <v>ACT2</v>
          </cell>
          <cell r="N232" t="str">
            <v>REL</v>
          </cell>
        </row>
        <row r="234">
          <cell r="M234" t="str">
            <v>CLSD</v>
          </cell>
          <cell r="N234" t="str">
            <v>TECO</v>
          </cell>
        </row>
        <row r="235">
          <cell r="M235" t="str">
            <v>CLS2</v>
          </cell>
          <cell r="N235" t="str">
            <v>TECO</v>
          </cell>
        </row>
        <row r="236">
          <cell r="M236" t="str">
            <v>ACT2</v>
          </cell>
          <cell r="N236" t="str">
            <v>REL</v>
          </cell>
        </row>
        <row r="237">
          <cell r="M237" t="str">
            <v>ACT2</v>
          </cell>
          <cell r="N237" t="str">
            <v>REL</v>
          </cell>
        </row>
        <row r="240">
          <cell r="M240" t="str">
            <v>ACT2</v>
          </cell>
          <cell r="N240" t="str">
            <v>REL</v>
          </cell>
        </row>
        <row r="241">
          <cell r="M241" t="str">
            <v>CLS2</v>
          </cell>
          <cell r="N241" t="str">
            <v>TECO</v>
          </cell>
        </row>
        <row r="242">
          <cell r="M242" t="str">
            <v>ACT2</v>
          </cell>
          <cell r="N242" t="str">
            <v>REL</v>
          </cell>
        </row>
        <row r="243">
          <cell r="M243" t="str">
            <v>CLS2</v>
          </cell>
          <cell r="N243" t="str">
            <v>TECO</v>
          </cell>
        </row>
        <row r="244">
          <cell r="M244" t="str">
            <v>CLSD</v>
          </cell>
          <cell r="N244" t="str">
            <v>REL</v>
          </cell>
        </row>
        <row r="245">
          <cell r="M245" t="str">
            <v>ACT2</v>
          </cell>
          <cell r="N245" t="str">
            <v>REL</v>
          </cell>
        </row>
        <row r="246">
          <cell r="M246" t="str">
            <v>ACT2</v>
          </cell>
          <cell r="N246" t="str">
            <v>REL</v>
          </cell>
        </row>
        <row r="247">
          <cell r="M247" t="str">
            <v>CLSD</v>
          </cell>
          <cell r="N247" t="str">
            <v>REL</v>
          </cell>
        </row>
        <row r="248">
          <cell r="M248" t="str">
            <v>ACT2</v>
          </cell>
          <cell r="N248" t="str">
            <v>REL</v>
          </cell>
        </row>
        <row r="249">
          <cell r="M249" t="str">
            <v>CLSD</v>
          </cell>
          <cell r="N249" t="str">
            <v>TECO</v>
          </cell>
        </row>
        <row r="250">
          <cell r="M250" t="str">
            <v>ACT2</v>
          </cell>
          <cell r="N250" t="str">
            <v>REL</v>
          </cell>
        </row>
        <row r="251">
          <cell r="M251" t="str">
            <v>ACT2</v>
          </cell>
          <cell r="N251" t="str">
            <v>REL</v>
          </cell>
        </row>
        <row r="252">
          <cell r="M252" t="str">
            <v>ACT2</v>
          </cell>
          <cell r="N252" t="str">
            <v>REL</v>
          </cell>
        </row>
        <row r="253">
          <cell r="M253" t="str">
            <v>ACT2</v>
          </cell>
          <cell r="N253" t="str">
            <v>REL</v>
          </cell>
        </row>
        <row r="254">
          <cell r="M254" t="str">
            <v>ACT2</v>
          </cell>
          <cell r="N254" t="str">
            <v>REL</v>
          </cell>
        </row>
        <row r="255">
          <cell r="M255" t="str">
            <v>ACT2</v>
          </cell>
          <cell r="N255" t="str">
            <v>REL</v>
          </cell>
        </row>
        <row r="256">
          <cell r="M256" t="str">
            <v>ACT2</v>
          </cell>
          <cell r="N256" t="str">
            <v>REL</v>
          </cell>
        </row>
        <row r="257">
          <cell r="M257" t="str">
            <v>ACT2</v>
          </cell>
          <cell r="N257" t="str">
            <v>REL</v>
          </cell>
        </row>
        <row r="258">
          <cell r="M258" t="str">
            <v>ACT2</v>
          </cell>
          <cell r="N258" t="str">
            <v>REL</v>
          </cell>
        </row>
        <row r="260">
          <cell r="M260" t="str">
            <v>ACT2</v>
          </cell>
          <cell r="N260" t="str">
            <v>REL</v>
          </cell>
        </row>
        <row r="262">
          <cell r="M262" t="str">
            <v>ACT2</v>
          </cell>
          <cell r="N262" t="str">
            <v>REL</v>
          </cell>
        </row>
        <row r="263">
          <cell r="M263" t="str">
            <v>ACT2</v>
          </cell>
          <cell r="N263" t="str">
            <v>REL</v>
          </cell>
        </row>
        <row r="264">
          <cell r="M264" t="str">
            <v>ACT2</v>
          </cell>
          <cell r="N264" t="str">
            <v>REL</v>
          </cell>
        </row>
        <row r="265">
          <cell r="M265" t="str">
            <v>ACT2</v>
          </cell>
          <cell r="N265" t="str">
            <v>REL</v>
          </cell>
        </row>
        <row r="266">
          <cell r="M266" t="str">
            <v>ACT2</v>
          </cell>
          <cell r="N266" t="str">
            <v>REL</v>
          </cell>
        </row>
        <row r="267">
          <cell r="M267" t="str">
            <v>ACT2</v>
          </cell>
          <cell r="N267" t="str">
            <v>REL</v>
          </cell>
        </row>
        <row r="268">
          <cell r="M268" t="str">
            <v>ACT2</v>
          </cell>
          <cell r="N268" t="str">
            <v>REL</v>
          </cell>
        </row>
        <row r="269">
          <cell r="M269" t="str">
            <v>ACT2</v>
          </cell>
          <cell r="N269" t="str">
            <v>REL</v>
          </cell>
        </row>
        <row r="270">
          <cell r="M270" t="str">
            <v>ACT2</v>
          </cell>
          <cell r="N270" t="str">
            <v>REL</v>
          </cell>
        </row>
        <row r="271">
          <cell r="M271" t="str">
            <v>ACT2</v>
          </cell>
          <cell r="N271" t="str">
            <v>REL</v>
          </cell>
        </row>
        <row r="274">
          <cell r="M274" t="str">
            <v>CLS2</v>
          </cell>
          <cell r="N274" t="str">
            <v>TECO</v>
          </cell>
        </row>
        <row r="275">
          <cell r="M275" t="str">
            <v>CLS2</v>
          </cell>
          <cell r="N275" t="str">
            <v>TECO</v>
          </cell>
        </row>
        <row r="276">
          <cell r="M276" t="str">
            <v>ACT2</v>
          </cell>
          <cell r="N276" t="str">
            <v>REL</v>
          </cell>
        </row>
        <row r="277">
          <cell r="M277" t="str">
            <v>ACT2</v>
          </cell>
          <cell r="N277" t="str">
            <v>REL</v>
          </cell>
        </row>
        <row r="278">
          <cell r="M278" t="str">
            <v>CLS2</v>
          </cell>
          <cell r="N278" t="str">
            <v>TECO</v>
          </cell>
        </row>
        <row r="279">
          <cell r="M279" t="str">
            <v>CLS2</v>
          </cell>
          <cell r="N279" t="str">
            <v>TECO</v>
          </cell>
        </row>
        <row r="280">
          <cell r="M280" t="str">
            <v>CLS2</v>
          </cell>
          <cell r="N280" t="str">
            <v>TECO</v>
          </cell>
        </row>
        <row r="281">
          <cell r="M281" t="str">
            <v>CLS2</v>
          </cell>
          <cell r="N281" t="str">
            <v>TECO</v>
          </cell>
        </row>
        <row r="282">
          <cell r="M282" t="str">
            <v>CLS2</v>
          </cell>
          <cell r="N282" t="str">
            <v>TECO</v>
          </cell>
        </row>
        <row r="283">
          <cell r="M283" t="str">
            <v>ACT2</v>
          </cell>
          <cell r="N283" t="str">
            <v>REL</v>
          </cell>
        </row>
        <row r="284">
          <cell r="M284" t="str">
            <v>ACT2</v>
          </cell>
          <cell r="N284" t="str">
            <v>REL</v>
          </cell>
        </row>
        <row r="285">
          <cell r="M285" t="str">
            <v>ACT2</v>
          </cell>
          <cell r="N285" t="str">
            <v>REL</v>
          </cell>
        </row>
        <row r="286">
          <cell r="M286" t="str">
            <v>ACT2</v>
          </cell>
          <cell r="N286" t="str">
            <v>REL</v>
          </cell>
        </row>
        <row r="287">
          <cell r="M287" t="str">
            <v>ACT2</v>
          </cell>
          <cell r="N287" t="str">
            <v>REL</v>
          </cell>
        </row>
        <row r="288">
          <cell r="M288" t="str">
            <v>ACT2</v>
          </cell>
          <cell r="N288" t="str">
            <v>REL</v>
          </cell>
        </row>
        <row r="289">
          <cell r="M289" t="str">
            <v>CLS2</v>
          </cell>
          <cell r="N289" t="str">
            <v>TECO</v>
          </cell>
        </row>
        <row r="292">
          <cell r="M292" t="str">
            <v>ACTV</v>
          </cell>
          <cell r="N292" t="str">
            <v>REL</v>
          </cell>
        </row>
        <row r="293">
          <cell r="M293" t="str">
            <v>ACTV</v>
          </cell>
          <cell r="N293" t="str">
            <v>REL</v>
          </cell>
        </row>
        <row r="294">
          <cell r="M294" t="str">
            <v>ACT2</v>
          </cell>
          <cell r="N294" t="str">
            <v>REL</v>
          </cell>
        </row>
        <row r="295">
          <cell r="M295" t="str">
            <v>CLSD</v>
          </cell>
          <cell r="N295" t="str">
            <v>TECO</v>
          </cell>
        </row>
        <row r="296">
          <cell r="M296" t="str">
            <v>ACT2</v>
          </cell>
          <cell r="N296" t="str">
            <v>REL</v>
          </cell>
        </row>
        <row r="297">
          <cell r="M297" t="str">
            <v>CLSD</v>
          </cell>
          <cell r="N297" t="str">
            <v>TECO</v>
          </cell>
        </row>
        <row r="298">
          <cell r="M298" t="str">
            <v>ACT2</v>
          </cell>
          <cell r="N298" t="str">
            <v>REL</v>
          </cell>
        </row>
        <row r="299">
          <cell r="M299" t="str">
            <v>ACT2</v>
          </cell>
          <cell r="N299" t="str">
            <v>REL</v>
          </cell>
        </row>
        <row r="300">
          <cell r="M300" t="str">
            <v>ACT2</v>
          </cell>
          <cell r="N300" t="str">
            <v>REL</v>
          </cell>
        </row>
        <row r="301">
          <cell r="M301" t="str">
            <v>ACTV</v>
          </cell>
          <cell r="N301" t="str">
            <v>REL</v>
          </cell>
        </row>
        <row r="302">
          <cell r="M302" t="str">
            <v>CLSD</v>
          </cell>
          <cell r="N302" t="str">
            <v>TECO</v>
          </cell>
        </row>
        <row r="303">
          <cell r="M303" t="str">
            <v>CLSD</v>
          </cell>
          <cell r="N303" t="str">
            <v>TECO</v>
          </cell>
        </row>
        <row r="304">
          <cell r="M304" t="str">
            <v>ACTV</v>
          </cell>
          <cell r="N304" t="str">
            <v>REL</v>
          </cell>
        </row>
        <row r="305">
          <cell r="M305" t="str">
            <v>ACTV</v>
          </cell>
          <cell r="N305" t="str">
            <v>REL</v>
          </cell>
        </row>
        <row r="306">
          <cell r="M306" t="str">
            <v>ACTV</v>
          </cell>
          <cell r="N306" t="str">
            <v>REL</v>
          </cell>
        </row>
        <row r="307">
          <cell r="M307" t="str">
            <v>ACTV</v>
          </cell>
          <cell r="N307" t="str">
            <v>REL</v>
          </cell>
        </row>
        <row r="308">
          <cell r="M308" t="str">
            <v>ACTV</v>
          </cell>
          <cell r="N308" t="str">
            <v>REL</v>
          </cell>
        </row>
        <row r="309">
          <cell r="M309" t="str">
            <v>ACTV</v>
          </cell>
          <cell r="N309" t="str">
            <v>REL</v>
          </cell>
        </row>
        <row r="310">
          <cell r="M310" t="str">
            <v>ACTV</v>
          </cell>
          <cell r="N310" t="str">
            <v>TECO</v>
          </cell>
        </row>
        <row r="311">
          <cell r="M311" t="str">
            <v>ACTV</v>
          </cell>
          <cell r="N311" t="str">
            <v>TECO</v>
          </cell>
        </row>
        <row r="312">
          <cell r="M312" t="str">
            <v>ACTV</v>
          </cell>
          <cell r="N312" t="str">
            <v>REL</v>
          </cell>
        </row>
        <row r="313">
          <cell r="M313" t="str">
            <v>ACTV</v>
          </cell>
          <cell r="N313" t="str">
            <v>REL</v>
          </cell>
        </row>
        <row r="314">
          <cell r="M314" t="str">
            <v>ACTV</v>
          </cell>
          <cell r="N314" t="str">
            <v>TECO</v>
          </cell>
        </row>
        <row r="315">
          <cell r="M315" t="str">
            <v>ACTV</v>
          </cell>
          <cell r="N315" t="str">
            <v>REL</v>
          </cell>
        </row>
        <row r="316">
          <cell r="M316" t="str">
            <v>ACT2</v>
          </cell>
          <cell r="N316" t="str">
            <v>REL</v>
          </cell>
        </row>
        <row r="317">
          <cell r="M317" t="str">
            <v>ACT2</v>
          </cell>
          <cell r="N317" t="str">
            <v>REL</v>
          </cell>
        </row>
        <row r="318">
          <cell r="M318" t="str">
            <v>ACT2</v>
          </cell>
          <cell r="N318" t="str">
            <v>REL</v>
          </cell>
        </row>
        <row r="319">
          <cell r="M319" t="str">
            <v>ACT2</v>
          </cell>
          <cell r="N319" t="str">
            <v>REL</v>
          </cell>
        </row>
        <row r="320">
          <cell r="M320" t="str">
            <v>ACT2</v>
          </cell>
          <cell r="N320" t="str">
            <v>REL</v>
          </cell>
        </row>
        <row r="321">
          <cell r="M321" t="str">
            <v>ACT2</v>
          </cell>
          <cell r="N321" t="str">
            <v>REL</v>
          </cell>
        </row>
        <row r="322">
          <cell r="M322" t="str">
            <v>ACT2</v>
          </cell>
          <cell r="N322" t="str">
            <v>REL</v>
          </cell>
        </row>
        <row r="323">
          <cell r="M323" t="str">
            <v>ACT2</v>
          </cell>
          <cell r="N323" t="str">
            <v>REL</v>
          </cell>
        </row>
        <row r="324">
          <cell r="M324" t="str">
            <v>ACT2</v>
          </cell>
          <cell r="N324" t="str">
            <v>REL</v>
          </cell>
        </row>
        <row r="326">
          <cell r="M326" t="str">
            <v>CLSD</v>
          </cell>
          <cell r="N326" t="str">
            <v>TECO</v>
          </cell>
        </row>
        <row r="327">
          <cell r="M327" t="str">
            <v>ACT2</v>
          </cell>
          <cell r="N327" t="str">
            <v>REL</v>
          </cell>
        </row>
        <row r="328">
          <cell r="M328" t="str">
            <v>ACT2</v>
          </cell>
          <cell r="N328" t="str">
            <v>REL</v>
          </cell>
        </row>
        <row r="329">
          <cell r="M329" t="str">
            <v>ACT2</v>
          </cell>
          <cell r="N329" t="str">
            <v>REL</v>
          </cell>
        </row>
        <row r="330">
          <cell r="M330" t="str">
            <v>ACT2</v>
          </cell>
          <cell r="N330" t="str">
            <v>REL</v>
          </cell>
        </row>
        <row r="331">
          <cell r="M331" t="str">
            <v>CRTD</v>
          </cell>
          <cell r="N331" t="str">
            <v>CRTD</v>
          </cell>
        </row>
        <row r="332">
          <cell r="M332" t="str">
            <v>CLSD</v>
          </cell>
          <cell r="N332" t="str">
            <v>TECO</v>
          </cell>
        </row>
        <row r="333">
          <cell r="M333" t="str">
            <v>CLSD</v>
          </cell>
          <cell r="N333" t="str">
            <v>TECO</v>
          </cell>
        </row>
        <row r="334">
          <cell r="M334" t="str">
            <v>CLSD</v>
          </cell>
          <cell r="N334" t="str">
            <v>TECO</v>
          </cell>
        </row>
        <row r="335">
          <cell r="M335" t="str">
            <v>ACT2</v>
          </cell>
          <cell r="N335" t="str">
            <v>REL</v>
          </cell>
        </row>
        <row r="336">
          <cell r="M336" t="str">
            <v>ACT2</v>
          </cell>
          <cell r="N336" t="str">
            <v>REL</v>
          </cell>
        </row>
        <row r="337">
          <cell r="M337" t="str">
            <v>CLS2</v>
          </cell>
          <cell r="N337" t="str">
            <v>TECO</v>
          </cell>
        </row>
        <row r="338">
          <cell r="M338" t="str">
            <v>ACT2</v>
          </cell>
          <cell r="N338" t="str">
            <v>REL</v>
          </cell>
        </row>
        <row r="339">
          <cell r="M339" t="str">
            <v>ACT2</v>
          </cell>
          <cell r="N339" t="str">
            <v>TECO</v>
          </cell>
        </row>
        <row r="340">
          <cell r="M340" t="str">
            <v>ACT2</v>
          </cell>
          <cell r="N340" t="str">
            <v>REL</v>
          </cell>
        </row>
        <row r="341">
          <cell r="M341" t="str">
            <v>ACT2</v>
          </cell>
          <cell r="N341" t="str">
            <v>REL</v>
          </cell>
        </row>
        <row r="342">
          <cell r="M342" t="str">
            <v>ACT2</v>
          </cell>
          <cell r="N342" t="str">
            <v>REL</v>
          </cell>
        </row>
        <row r="345">
          <cell r="M345" t="str">
            <v>ACT2</v>
          </cell>
          <cell r="N345" t="str">
            <v>REL</v>
          </cell>
        </row>
        <row r="346">
          <cell r="M346" t="str">
            <v>ACT2</v>
          </cell>
          <cell r="N346" t="str">
            <v>REL</v>
          </cell>
        </row>
        <row r="347">
          <cell r="M347" t="str">
            <v>ACT2</v>
          </cell>
          <cell r="N347" t="str">
            <v>REL</v>
          </cell>
        </row>
        <row r="348">
          <cell r="M348" t="str">
            <v>ACT2</v>
          </cell>
          <cell r="N348" t="str">
            <v>REL</v>
          </cell>
        </row>
        <row r="349">
          <cell r="M349" t="str">
            <v>ACT2</v>
          </cell>
          <cell r="N349" t="str">
            <v>REL</v>
          </cell>
        </row>
        <row r="350">
          <cell r="M350" t="str">
            <v>ACT2</v>
          </cell>
          <cell r="N350" t="str">
            <v>REL</v>
          </cell>
        </row>
        <row r="351">
          <cell r="M351" t="str">
            <v>ACT2</v>
          </cell>
          <cell r="N351" t="str">
            <v>REL</v>
          </cell>
        </row>
        <row r="352">
          <cell r="M352" t="str">
            <v>ACT2</v>
          </cell>
          <cell r="N352" t="str">
            <v>REL</v>
          </cell>
        </row>
        <row r="353">
          <cell r="M353" t="str">
            <v>ACT2</v>
          </cell>
          <cell r="N353" t="str">
            <v>REL</v>
          </cell>
        </row>
        <row r="354">
          <cell r="M354" t="str">
            <v>ACT2</v>
          </cell>
          <cell r="N354" t="str">
            <v>REL</v>
          </cell>
        </row>
        <row r="357">
          <cell r="M357" t="str">
            <v>ACT2</v>
          </cell>
          <cell r="N357" t="str">
            <v>REL</v>
          </cell>
        </row>
        <row r="360">
          <cell r="M360" t="str">
            <v>ACT2</v>
          </cell>
          <cell r="N360" t="str">
            <v>REL</v>
          </cell>
        </row>
        <row r="363">
          <cell r="M363" t="str">
            <v>ACTV</v>
          </cell>
          <cell r="N363" t="str">
            <v>REL</v>
          </cell>
        </row>
        <row r="364">
          <cell r="M364" t="str">
            <v>ACTV</v>
          </cell>
          <cell r="N364" t="str">
            <v>REL</v>
          </cell>
        </row>
        <row r="365">
          <cell r="M365" t="str">
            <v>ACTV</v>
          </cell>
          <cell r="N365" t="str">
            <v>REL</v>
          </cell>
        </row>
        <row r="366">
          <cell r="M366" t="str">
            <v>ACTV</v>
          </cell>
          <cell r="N366" t="str">
            <v>REL</v>
          </cell>
        </row>
        <row r="367">
          <cell r="M367" t="str">
            <v>ACTV</v>
          </cell>
          <cell r="N367" t="str">
            <v>REL</v>
          </cell>
        </row>
        <row r="368">
          <cell r="M368" t="str">
            <v>ACTV</v>
          </cell>
          <cell r="N368" t="str">
            <v>REL</v>
          </cell>
        </row>
        <row r="369">
          <cell r="M369" t="str">
            <v>ACTV</v>
          </cell>
          <cell r="N369" t="str">
            <v>REL</v>
          </cell>
        </row>
        <row r="370">
          <cell r="M370" t="str">
            <v>ACTV</v>
          </cell>
          <cell r="N370" t="str">
            <v>REL</v>
          </cell>
        </row>
        <row r="371">
          <cell r="M371" t="str">
            <v>ACTV</v>
          </cell>
          <cell r="N371" t="str">
            <v>REL</v>
          </cell>
        </row>
        <row r="372">
          <cell r="M372" t="str">
            <v>ACTV</v>
          </cell>
          <cell r="N372" t="str">
            <v>REL</v>
          </cell>
        </row>
        <row r="373">
          <cell r="M373" t="str">
            <v>ACTV</v>
          </cell>
          <cell r="N373" t="str">
            <v>REL</v>
          </cell>
        </row>
        <row r="374">
          <cell r="M374" t="str">
            <v>ACTV</v>
          </cell>
          <cell r="N374" t="str">
            <v>REL</v>
          </cell>
        </row>
        <row r="375">
          <cell r="M375" t="str">
            <v>ACTV</v>
          </cell>
          <cell r="N375" t="str">
            <v>REL</v>
          </cell>
        </row>
        <row r="376">
          <cell r="M376" t="str">
            <v>ACTV</v>
          </cell>
          <cell r="N376" t="str">
            <v>REL</v>
          </cell>
        </row>
        <row r="377">
          <cell r="M377" t="str">
            <v>ACTV</v>
          </cell>
          <cell r="N377" t="str">
            <v>REL</v>
          </cell>
        </row>
        <row r="378">
          <cell r="M378" t="str">
            <v>ACTV</v>
          </cell>
          <cell r="N378" t="str">
            <v>REL</v>
          </cell>
        </row>
        <row r="379">
          <cell r="M379" t="str">
            <v>ACTV</v>
          </cell>
          <cell r="N379" t="str">
            <v>REL</v>
          </cell>
        </row>
        <row r="380">
          <cell r="M380" t="str">
            <v>ACTV</v>
          </cell>
          <cell r="N380" t="str">
            <v>REL</v>
          </cell>
        </row>
        <row r="381">
          <cell r="M381" t="str">
            <v>ACTV</v>
          </cell>
          <cell r="N381" t="str">
            <v>REL</v>
          </cell>
        </row>
        <row r="382">
          <cell r="M382" t="str">
            <v>ACTV</v>
          </cell>
          <cell r="N382" t="str">
            <v>REL</v>
          </cell>
        </row>
        <row r="383">
          <cell r="M383" t="str">
            <v>ACTV</v>
          </cell>
          <cell r="N383" t="str">
            <v>REL</v>
          </cell>
        </row>
        <row r="384">
          <cell r="M384" t="str">
            <v>ACTV</v>
          </cell>
          <cell r="N384" t="str">
            <v>REL</v>
          </cell>
        </row>
        <row r="385">
          <cell r="M385" t="str">
            <v>ACTV</v>
          </cell>
          <cell r="N385" t="str">
            <v>REL</v>
          </cell>
        </row>
        <row r="386">
          <cell r="M386" t="str">
            <v>ACTV</v>
          </cell>
          <cell r="N386" t="str">
            <v>REL</v>
          </cell>
        </row>
        <row r="387">
          <cell r="M387" t="str">
            <v>ACTV</v>
          </cell>
          <cell r="N387" t="str">
            <v>REL</v>
          </cell>
        </row>
        <row r="388">
          <cell r="M388" t="str">
            <v>ACTV</v>
          </cell>
          <cell r="N388" t="str">
            <v>REL</v>
          </cell>
        </row>
        <row r="389">
          <cell r="M389" t="str">
            <v>ACTV</v>
          </cell>
          <cell r="N389" t="str">
            <v>REL</v>
          </cell>
        </row>
        <row r="390">
          <cell r="M390" t="str">
            <v>ACTV</v>
          </cell>
          <cell r="N390" t="str">
            <v>REL</v>
          </cell>
        </row>
        <row r="391">
          <cell r="M391" t="str">
            <v>ACTV</v>
          </cell>
          <cell r="N391" t="str">
            <v>REL</v>
          </cell>
        </row>
        <row r="392">
          <cell r="M392" t="str">
            <v>ACTV</v>
          </cell>
          <cell r="N392" t="str">
            <v>REL</v>
          </cell>
        </row>
        <row r="393">
          <cell r="M393" t="str">
            <v>ACTV</v>
          </cell>
          <cell r="N393" t="str">
            <v>REL</v>
          </cell>
        </row>
        <row r="394">
          <cell r="M394" t="str">
            <v>ACTV</v>
          </cell>
          <cell r="N394" t="str">
            <v>REL</v>
          </cell>
        </row>
        <row r="395">
          <cell r="M395" t="str">
            <v>ACTV</v>
          </cell>
          <cell r="N395" t="str">
            <v>REL</v>
          </cell>
        </row>
        <row r="396">
          <cell r="M396" t="str">
            <v>ACTV</v>
          </cell>
          <cell r="N396" t="str">
            <v>REL</v>
          </cell>
        </row>
        <row r="397">
          <cell r="M397" t="str">
            <v>ACTV</v>
          </cell>
          <cell r="N397" t="str">
            <v>REL</v>
          </cell>
        </row>
        <row r="398">
          <cell r="M398" t="str">
            <v>ACTV</v>
          </cell>
          <cell r="N398" t="str">
            <v>REL</v>
          </cell>
        </row>
        <row r="399">
          <cell r="M399" t="str">
            <v>ACTV</v>
          </cell>
          <cell r="N399" t="str">
            <v>REL</v>
          </cell>
        </row>
        <row r="400">
          <cell r="M400" t="str">
            <v>ACTV</v>
          </cell>
          <cell r="N400" t="str">
            <v>REL</v>
          </cell>
        </row>
        <row r="401">
          <cell r="M401" t="str">
            <v>ACTV</v>
          </cell>
          <cell r="N401" t="str">
            <v>REL</v>
          </cell>
        </row>
        <row r="402">
          <cell r="M402" t="str">
            <v>ACTV</v>
          </cell>
          <cell r="N402" t="str">
            <v>REL</v>
          </cell>
        </row>
        <row r="403">
          <cell r="M403" t="str">
            <v>ACTV</v>
          </cell>
          <cell r="N403" t="str">
            <v>REL</v>
          </cell>
        </row>
        <row r="404">
          <cell r="M404" t="str">
            <v>ACTV</v>
          </cell>
          <cell r="N404" t="str">
            <v>REL</v>
          </cell>
        </row>
        <row r="405">
          <cell r="M405" t="str">
            <v>ACTV</v>
          </cell>
          <cell r="N405" t="str">
            <v>REL</v>
          </cell>
        </row>
        <row r="406">
          <cell r="M406" t="str">
            <v>ACTV</v>
          </cell>
          <cell r="N406" t="str">
            <v>REL</v>
          </cell>
        </row>
        <row r="407">
          <cell r="M407" t="str">
            <v>ACTV</v>
          </cell>
          <cell r="N407" t="str">
            <v>REL</v>
          </cell>
        </row>
        <row r="408">
          <cell r="M408" t="str">
            <v>ACTV</v>
          </cell>
          <cell r="N408" t="str">
            <v>REL</v>
          </cell>
        </row>
        <row r="409">
          <cell r="M409" t="str">
            <v>ACTV</v>
          </cell>
          <cell r="N409" t="str">
            <v>REL</v>
          </cell>
        </row>
        <row r="410">
          <cell r="M410" t="str">
            <v>ACTV</v>
          </cell>
          <cell r="N410" t="str">
            <v>REL</v>
          </cell>
        </row>
        <row r="411">
          <cell r="M411" t="str">
            <v>ACTV</v>
          </cell>
          <cell r="N411" t="str">
            <v>REL</v>
          </cell>
        </row>
        <row r="412">
          <cell r="M412" t="str">
            <v>CLSD</v>
          </cell>
          <cell r="N412" t="str">
            <v>TECO</v>
          </cell>
        </row>
        <row r="415">
          <cell r="M415" t="str">
            <v>ACT2</v>
          </cell>
          <cell r="N415" t="str">
            <v>REL</v>
          </cell>
        </row>
        <row r="416">
          <cell r="M416" t="str">
            <v>ACT2</v>
          </cell>
          <cell r="N416" t="str">
            <v>REL</v>
          </cell>
        </row>
        <row r="417">
          <cell r="M417" t="str">
            <v>ACT2</v>
          </cell>
          <cell r="N417" t="str">
            <v>REL</v>
          </cell>
        </row>
        <row r="418">
          <cell r="M418" t="str">
            <v>CLSD</v>
          </cell>
          <cell r="N418" t="str">
            <v>TECO</v>
          </cell>
        </row>
        <row r="419">
          <cell r="M419" t="str">
            <v>ACT2</v>
          </cell>
          <cell r="N419" t="str">
            <v>REL</v>
          </cell>
        </row>
        <row r="420">
          <cell r="M420" t="str">
            <v>CLSD</v>
          </cell>
          <cell r="N420" t="str">
            <v>TECO</v>
          </cell>
        </row>
        <row r="423">
          <cell r="M423" t="str">
            <v>ACT2</v>
          </cell>
          <cell r="N423" t="str">
            <v>REL</v>
          </cell>
        </row>
        <row r="426">
          <cell r="M426" t="str">
            <v>ACT2</v>
          </cell>
          <cell r="N426" t="str">
            <v>REL</v>
          </cell>
        </row>
        <row r="427">
          <cell r="M427" t="str">
            <v>ACT2</v>
          </cell>
          <cell r="N427" t="str">
            <v>REL</v>
          </cell>
        </row>
        <row r="430">
          <cell r="M430" t="str">
            <v>ACT2</v>
          </cell>
          <cell r="N430" t="str">
            <v>REL</v>
          </cell>
        </row>
        <row r="433">
          <cell r="M433" t="str">
            <v>ACT2</v>
          </cell>
          <cell r="N433" t="str">
            <v>REL</v>
          </cell>
        </row>
        <row r="436">
          <cell r="M436" t="str">
            <v>ACT2</v>
          </cell>
          <cell r="N436" t="str">
            <v>REL</v>
          </cell>
        </row>
        <row r="439">
          <cell r="M439" t="str">
            <v>ACT2</v>
          </cell>
          <cell r="N439" t="str">
            <v>REL</v>
          </cell>
        </row>
        <row r="440">
          <cell r="M440" t="str">
            <v>ACT2</v>
          </cell>
          <cell r="N440" t="str">
            <v>REL</v>
          </cell>
        </row>
        <row r="441">
          <cell r="M441" t="str">
            <v>ACT2</v>
          </cell>
          <cell r="N441" t="str">
            <v>REL</v>
          </cell>
        </row>
        <row r="444">
          <cell r="M444" t="str">
            <v>ACT2</v>
          </cell>
          <cell r="N444" t="str">
            <v>REL</v>
          </cell>
        </row>
        <row r="445">
          <cell r="M445" t="str">
            <v>ACT2</v>
          </cell>
          <cell r="N445" t="str">
            <v>REL</v>
          </cell>
        </row>
        <row r="446">
          <cell r="M446" t="str">
            <v>ACT2</v>
          </cell>
          <cell r="N446" t="str">
            <v>REL</v>
          </cell>
        </row>
        <row r="447">
          <cell r="M447" t="str">
            <v>ACT2</v>
          </cell>
          <cell r="N447" t="str">
            <v>REL</v>
          </cell>
        </row>
        <row r="450">
          <cell r="M450" t="str">
            <v>ACT2</v>
          </cell>
          <cell r="N450" t="str">
            <v>REL</v>
          </cell>
        </row>
        <row r="451">
          <cell r="M451" t="str">
            <v>ACT2</v>
          </cell>
          <cell r="N451" t="str">
            <v>REL</v>
          </cell>
        </row>
        <row r="452">
          <cell r="M452" t="str">
            <v>ACT2</v>
          </cell>
          <cell r="N452" t="str">
            <v>REL</v>
          </cell>
        </row>
        <row r="453">
          <cell r="M453" t="str">
            <v>ACT2</v>
          </cell>
          <cell r="N453" t="str">
            <v>REL</v>
          </cell>
        </row>
        <row r="454">
          <cell r="M454" t="str">
            <v>ACT2</v>
          </cell>
          <cell r="N454" t="str">
            <v>REL</v>
          </cell>
        </row>
        <row r="455">
          <cell r="M455" t="str">
            <v>ACT2</v>
          </cell>
          <cell r="N455" t="str">
            <v>REL</v>
          </cell>
        </row>
        <row r="456">
          <cell r="M456" t="str">
            <v>ACT2</v>
          </cell>
          <cell r="N456" t="str">
            <v>REL</v>
          </cell>
        </row>
        <row r="457">
          <cell r="M457" t="str">
            <v>ACT2</v>
          </cell>
          <cell r="N457" t="str">
            <v>REL</v>
          </cell>
        </row>
        <row r="458">
          <cell r="M458" t="str">
            <v>ACT2</v>
          </cell>
          <cell r="N458" t="str">
            <v>REL</v>
          </cell>
        </row>
        <row r="459">
          <cell r="M459" t="str">
            <v>ACT2</v>
          </cell>
          <cell r="N459" t="str">
            <v>REL</v>
          </cell>
        </row>
        <row r="460">
          <cell r="M460" t="str">
            <v>ACT2</v>
          </cell>
          <cell r="N460" t="str">
            <v>REL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ony Saldanha" refreshedDate="46174.495391203702" createdVersion="8" refreshedVersion="8" minRefreshableVersion="3" recordCount="737" xr:uid="{14CB4DD4-2D8F-4FC8-A5D6-722BFFEAEF35}">
  <cacheSource type="worksheet">
    <worksheetSource ref="A1:L1048576" sheet="Value Estimation"/>
  </cacheSource>
  <cacheFields count="12">
    <cacheField name="Sr. No" numFmtId="0">
      <sharedItems containsString="0" containsBlank="1" containsNumber="1" containsInteger="1" minValue="1" maxValue="736"/>
    </cacheField>
    <cacheField name="Project Code" numFmtId="0">
      <sharedItems containsBlank="1"/>
    </cacheField>
    <cacheField name="Project Name" numFmtId="0">
      <sharedItems containsBlank="1" count="21">
        <s v="Sattva Image Tower-HVAC Works"/>
        <s v="Apollo Hospitals - MEP Works - Hyd"/>
        <s v="WMUD TOWER A RESIDENTIAL (NEW)"/>
        <s v="ETV Parcel 8-A,B,C-HVAC Works"/>
        <s v="HVAC Works for Medanta Hospital Noida"/>
        <s v="P&amp;C  Projects Pvt Ltd ( DHK)"/>
        <s v="Lulu Mall-Kottayam"/>
        <s v="V Guard Innovation Campus-Kochi"/>
        <s v="TCS-TVM Misc.Civil and External Services"/>
        <s v="Sands Infin IT Park"/>
        <s v="LTIMINDTREE KOLKATA"/>
        <s v="Kukatpally Developers Private Limited"/>
        <s v="MEP works of Apollo Healthcity, Gurugram"/>
        <s v="VITP Pvt Ltd - CapitaLand Hyd Pearl DC"/>
        <s v="MEP works for Trimetro Factory Odisha"/>
        <s v="WCR EPC-01R-RJ:Nagda-Kota"/>
        <s v="WCR EPC-3R : Gangapurcity - Ramganjmandi"/>
        <s v="Exide Energy - Mechanical Works"/>
        <s v="PGCIL-SS86 FATEHGARH"/>
        <s v="JOCKEY FACTORY CUTTACK"/>
        <m/>
      </sharedItems>
    </cacheField>
    <cacheField name="Material Group " numFmtId="0">
      <sharedItems containsBlank="1" count="27">
        <s v="Pipe"/>
        <s v="Valve"/>
        <s v="Panel"/>
        <s v="Elbow"/>
        <s v="Coupling"/>
        <s v="Tee"/>
        <s v="Misc"/>
        <s v="Socket"/>
        <s v="Flange"/>
        <s v="Reducer"/>
        <s v="MCB"/>
        <s v="Cable"/>
        <s v="Cu Strip"/>
        <s v="Insulation"/>
        <s v="Damper"/>
        <s v="Grille"/>
        <s v="Cable Tray"/>
        <s v="Louver"/>
        <s v="Mast"/>
        <s v="Conductor"/>
        <s v="Wire"/>
        <s v="Fastener"/>
        <s v="Insulators"/>
        <s v="DB "/>
        <s v="Reinforcement Steel"/>
        <s v="Tools &amp; Machines "/>
        <m/>
      </sharedItems>
    </cacheField>
    <cacheField name="Material Description" numFmtId="0">
      <sharedItems containsBlank="1"/>
    </cacheField>
    <cacheField name="Spec" numFmtId="0">
      <sharedItems containsBlank="1"/>
    </cacheField>
    <cacheField name="Qty" numFmtId="0">
      <sharedItems containsString="0" containsBlank="1" containsNumber="1" minValue="1" maxValue="8000"/>
    </cacheField>
    <cacheField name="UoM" numFmtId="0">
      <sharedItems containsBlank="1" containsMixedTypes="1" containsNumber="1" minValue="6" maxValue="1382.972"/>
    </cacheField>
    <cacheField name="Make " numFmtId="0">
      <sharedItems containsBlank="1" containsMixedTypes="1" containsNumber="1" minValue="92.23" maxValue="2966.5650000000001"/>
    </cacheField>
    <cacheField name="U/R" numFmtId="0">
      <sharedItems containsBlank="1" containsMixedTypes="1" containsNumber="1" minValue="16.02" maxValue="103000"/>
    </cacheField>
    <cacheField name="Amount" numFmtId="0">
      <sharedItems containsString="0" containsBlank="1" containsNumber="1" minValue="0" maxValue="5.5165755212599974"/>
    </cacheField>
    <cacheField name="Declare Date" numFmtId="0">
      <sharedItems containsNonDate="0" containsDate="1" containsString="0" containsBlank="1" minDate="2026-02-03T00:00:00" maxDate="2026-02-1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ony Saldanha" refreshedDate="46177.521508680555" createdVersion="8" refreshedVersion="8" minRefreshableVersion="3" recordCount="621" xr:uid="{BA9B6F68-841E-495F-9064-EC80E174E464}">
  <cacheSource type="worksheet">
    <worksheetSource ref="A1:K1048576" sheet="Value Estimation - ref"/>
  </cacheSource>
  <cacheFields count="11">
    <cacheField name="Sr No." numFmtId="0">
      <sharedItems containsString="0" containsBlank="1" containsNumber="1" containsInteger="1" minValue="1" maxValue="619"/>
    </cacheField>
    <cacheField name="Project Code" numFmtId="0">
      <sharedItems containsBlank="1"/>
    </cacheField>
    <cacheField name="Project Name" numFmtId="0">
      <sharedItems containsBlank="1" count="21">
        <s v="Sattva Image Tower-HVAC Works"/>
        <s v="Apollo Hospitals - MEP Works - Hyd"/>
        <s v="WMUD TOWER A RESIDENTIAL (NEW)"/>
        <s v="ETV Parcel 8-A,B,C-HVAC Works"/>
        <s v="HVAC Works for Medanta Hospital Noida"/>
        <s v="P&amp;C  Projects Pvt Ltd ( DHK)"/>
        <s v="Lulu Mall-Kottayam"/>
        <s v="V Guard Innovation Campus-Kochi"/>
        <s v="TCS-TVM Misc.Civil and External Services"/>
        <s v="Sands Infin IT Park"/>
        <s v="LTIMINDTREE KOLKATA"/>
        <s v="MEP works of Apollo Healthcity, Gurugram"/>
        <s v="VITP Pvt Ltd - CapitaLand Hyd Pearl DC"/>
        <s v="MEP works for Trimetro Factory Odisha"/>
        <s v="Amazon DC HYD121 - Site Infra"/>
        <s v="WCR EPC-01R-RJ:Nagda-Kota"/>
        <s v="WCR EPC-3R : Gangapurcity - Ramganjmandi"/>
        <s v="JOCKEY FACTORY CUTTACK"/>
        <s v="Exide Energy - Mechanical Works"/>
        <s v="PGCIL-SS86 FATEHGARH"/>
        <m/>
      </sharedItems>
    </cacheField>
    <cacheField name="Material Group" numFmtId="0">
      <sharedItems containsBlank="1" count="25">
        <s v="Pipe"/>
        <s v="Valve "/>
        <s v="Panel"/>
        <s v="Elbow"/>
        <s v="Coupling"/>
        <s v="Tee"/>
        <s v="Misc"/>
        <s v="Socket"/>
        <s v="Flange "/>
        <s v="Valve"/>
        <s v="MCB"/>
        <s v="Flange"/>
        <s v="Cable"/>
        <s v="Cable Tray "/>
        <s v="Grilles"/>
        <s v="Louver"/>
        <s v="VCD"/>
        <s v="Sheet "/>
        <s v="Mast"/>
        <s v="Insulator"/>
        <s v="Conductor"/>
        <s v="Wire"/>
        <s v="Fastener"/>
        <s v="Reinforcement Steel"/>
        <m/>
      </sharedItems>
    </cacheField>
    <cacheField name="Material Description" numFmtId="0">
      <sharedItems containsBlank="1"/>
    </cacheField>
    <cacheField name="Spec" numFmtId="0">
      <sharedItems containsBlank="1" containsMixedTypes="1" containsNumber="1" minValue="1" maxValue="80"/>
    </cacheField>
    <cacheField name="Qty" numFmtId="0">
      <sharedItems containsBlank="1" containsMixedTypes="1" containsNumber="1" minValue="1" maxValue="8000"/>
    </cacheField>
    <cacheField name="UoM" numFmtId="0">
      <sharedItems containsBlank="1" containsMixedTypes="1" containsNumber="1" containsInteger="1" minValue="6" maxValue="108"/>
    </cacheField>
    <cacheField name="Make " numFmtId="0">
      <sharedItems containsBlank="1"/>
    </cacheField>
    <cacheField name="U/R" numFmtId="0">
      <sharedItems containsString="0" containsBlank="1" containsNumber="1" minValue="16.02" maxValue="212686"/>
    </cacheField>
    <cacheField name="Amount" numFmtId="0">
      <sharedItems containsString="0" containsBlank="1" containsNumber="1" minValue="0" maxValue="5.02770308976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7">
  <r>
    <n v="1"/>
    <s v="G10-44040"/>
    <x v="0"/>
    <x v="0"/>
    <s v="900 mm dia C class MS Pipe"/>
    <s v="10mm Thick"/>
    <n v="60"/>
    <s v="Rmt"/>
    <s v="JCO"/>
    <n v="13800"/>
    <n v="8.2799999999999999E-2"/>
    <d v="2026-02-09T00:00:00"/>
  </r>
  <r>
    <n v="2"/>
    <s v="G10-44039"/>
    <x v="1"/>
    <x v="1"/>
    <s v="PIBCV Valve-25mm"/>
    <s v="PN16"/>
    <n v="17"/>
    <s v="Nos"/>
    <s v="Danfoss"/>
    <n v="42680"/>
    <n v="7.2555999999999995E-2"/>
    <d v="2026-02-03T00:00:00"/>
  </r>
  <r>
    <n v="3"/>
    <s v="G10-44039"/>
    <x v="1"/>
    <x v="1"/>
    <s v="PIBCV Valve-40mm"/>
    <s v="PN16"/>
    <n v="23"/>
    <s v="Nos"/>
    <s v="Danfoss"/>
    <n v="42680"/>
    <n v="9.8164000000000001E-2"/>
    <m/>
  </r>
  <r>
    <n v="4"/>
    <s v="G10-44039"/>
    <x v="1"/>
    <x v="1"/>
    <s v="PIBCV Valve-50mm"/>
    <s v="PN16"/>
    <n v="26"/>
    <s v="Nos"/>
    <s v="Danfoss"/>
    <n v="42680"/>
    <n v="0.110968"/>
    <m/>
  </r>
  <r>
    <n v="5"/>
    <s v="G10-44039"/>
    <x v="1"/>
    <x v="1"/>
    <s v="PIBCV Valve-65mm"/>
    <s v="PN16"/>
    <n v="7"/>
    <s v="Nos"/>
    <s v="Danfoss"/>
    <n v="42680"/>
    <n v="2.9876E-2"/>
    <m/>
  </r>
  <r>
    <n v="6"/>
    <s v="G10-44039"/>
    <x v="1"/>
    <x v="1"/>
    <s v="PIBCV Valve-80mm"/>
    <s v="PN16"/>
    <n v="1"/>
    <s v="Nos"/>
    <s v="Danfoss"/>
    <n v="55920"/>
    <n v="5.5919999999999997E-3"/>
    <m/>
  </r>
  <r>
    <n v="7"/>
    <s v="G10-44039"/>
    <x v="1"/>
    <x v="2"/>
    <s v="11KW Starter Panel"/>
    <s v="VFD Bye Pass"/>
    <n v="1"/>
    <s v="Nos "/>
    <s v="VK Power master"/>
    <n v="18204"/>
    <n v="1.8204E-3"/>
    <m/>
  </r>
  <r>
    <n v="8"/>
    <s v="G10-44039"/>
    <x v="1"/>
    <x v="2"/>
    <s v="5.5 Kw starter Panel"/>
    <s v="VFD Bye Pass"/>
    <n v="5"/>
    <s v="Nos "/>
    <s v="VK Power master"/>
    <n v="17461"/>
    <n v="8.7305000000000004E-3"/>
    <m/>
  </r>
  <r>
    <n v="9"/>
    <s v="G10-44039"/>
    <x v="1"/>
    <x v="2"/>
    <s v="3.7 kw starter panel"/>
    <s v="DOL Starter Panel"/>
    <n v="5"/>
    <s v="Nos "/>
    <s v="VK Power master"/>
    <n v="14266"/>
    <n v="7.1329999999999996E-3"/>
    <m/>
  </r>
  <r>
    <n v="10"/>
    <s v="G10-44039"/>
    <x v="1"/>
    <x v="2"/>
    <s v="2.2 kw starter panel"/>
    <s v="DOL Starter Panel"/>
    <n v="2"/>
    <s v="Nos "/>
    <s v="VK Power master"/>
    <n v="14117"/>
    <n v="2.8234000000000002E-3"/>
    <m/>
  </r>
  <r>
    <n v="11"/>
    <s v="G10-44039"/>
    <x v="1"/>
    <x v="2"/>
    <s v="1.5 kw starter panel"/>
    <s v="DOL Starter Panel"/>
    <n v="1"/>
    <s v="Nos "/>
    <s v="VK Power master"/>
    <n v="14117"/>
    <n v="1.4117000000000001E-3"/>
    <m/>
  </r>
  <r>
    <n v="12"/>
    <s v="G10-44039"/>
    <x v="1"/>
    <x v="2"/>
    <s v="0.75 kw starter panel"/>
    <s v="DOL Starter Panel"/>
    <n v="5"/>
    <s v="Nos "/>
    <s v="VK Power master"/>
    <n v="17832"/>
    <n v="8.9160000000000003E-3"/>
    <m/>
  </r>
  <r>
    <n v="13"/>
    <s v="G10-10030"/>
    <x v="2"/>
    <x v="3"/>
    <s v="SS 90 Deg. Elbow 300MM"/>
    <s v="SS Fittings"/>
    <n v="2"/>
    <s v="Nos"/>
    <s v="-"/>
    <n v="28808.68"/>
    <n v="5.7617359999999999E-3"/>
    <m/>
  </r>
  <r>
    <n v="14"/>
    <s v="G10-10030"/>
    <x v="2"/>
    <x v="3"/>
    <s v="SS 90 Deg. Elbow 200MM"/>
    <s v="SS Fittings"/>
    <n v="2"/>
    <s v="Nos"/>
    <s v="-"/>
    <n v="21796.25"/>
    <n v="4.3592500000000003E-3"/>
    <m/>
  </r>
  <r>
    <n v="15"/>
    <s v="G10-10030"/>
    <x v="2"/>
    <x v="3"/>
    <s v="SS 45 Deg. Elbow 65MM"/>
    <s v="SS Fittings"/>
    <n v="4"/>
    <s v="Nos"/>
    <s v="Shurjoint"/>
    <n v="7647"/>
    <n v="3.0588E-3"/>
    <m/>
  </r>
  <r>
    <n v="16"/>
    <s v="G10-10030"/>
    <x v="2"/>
    <x v="3"/>
    <s v="SS 90 Deg. Elbow 50MM"/>
    <s v="SS Fittings"/>
    <n v="2"/>
    <s v="Nos"/>
    <s v="Fitwel"/>
    <n v="3501.25"/>
    <n v="7.0025000000000003E-4"/>
    <m/>
  </r>
  <r>
    <n v="17"/>
    <s v="G10-10030"/>
    <x v="2"/>
    <x v="3"/>
    <s v="SS 90 Deg. Elbow 50MM"/>
    <s v="SS Fittings"/>
    <n v="1"/>
    <s v="Nos"/>
    <s v="Shurjoint"/>
    <n v="3501.25"/>
    <n v="3.5012500000000001E-4"/>
    <m/>
  </r>
  <r>
    <n v="18"/>
    <s v="G10-10030"/>
    <x v="2"/>
    <x v="3"/>
    <s v="SS 45 Deg. Elbow 50MM"/>
    <s v="SS Fittings"/>
    <n v="1"/>
    <s v="Nos"/>
    <s v="Shurjoint"/>
    <n v="3501.25"/>
    <n v="3.5012500000000001E-4"/>
    <m/>
  </r>
  <r>
    <n v="19"/>
    <s v="G10-10030"/>
    <x v="2"/>
    <x v="3"/>
    <s v="SS 90 Deg. Elbow 40MM"/>
    <s v="SS Fittings"/>
    <n v="3"/>
    <s v="Nos"/>
    <s v="-"/>
    <n v="1958.09"/>
    <n v="5.8742699999999996E-4"/>
    <m/>
  </r>
  <r>
    <n v="20"/>
    <s v="G10-10030"/>
    <x v="2"/>
    <x v="3"/>
    <s v="SS 90 Deg. Elbow 32MM"/>
    <s v="SS Fittings"/>
    <n v="6"/>
    <s v="Nos"/>
    <s v="Shurjoint"/>
    <n v="1958.09"/>
    <n v="1.1748539999999999E-3"/>
    <m/>
  </r>
  <r>
    <n v="21"/>
    <s v="G10-10030"/>
    <x v="2"/>
    <x v="3"/>
    <s v="SS 90 Deg. Elbow 32MM"/>
    <s v="SS Fittings"/>
    <n v="47"/>
    <s v="Nos"/>
    <s v="-"/>
    <n v="1958.09"/>
    <n v="9.2030229999999994E-3"/>
    <m/>
  </r>
  <r>
    <n v="22"/>
    <s v="G10-10030"/>
    <x v="2"/>
    <x v="3"/>
    <s v="SS 45 Deg. Elbow 20MM"/>
    <s v="SS Fittings"/>
    <n v="67"/>
    <s v="Nos"/>
    <s v="Grinnell"/>
    <n v="1538.57"/>
    <n v="1.0308419000000001E-2"/>
    <m/>
  </r>
  <r>
    <n v="23"/>
    <s v="G10-10030"/>
    <x v="2"/>
    <x v="3"/>
    <s v="SS 90 Deg. Elbow 20MM Threaded"/>
    <s v="SS Fittings"/>
    <n v="32"/>
    <s v="Nos"/>
    <s v="-"/>
    <n v="1538.57"/>
    <n v="4.923424E-3"/>
    <m/>
  </r>
  <r>
    <n v="24"/>
    <s v="G10-10030"/>
    <x v="2"/>
    <x v="3"/>
    <s v="SS 45 Deg. Elbow 15MM"/>
    <s v="SS Fittings"/>
    <n v="160"/>
    <s v="Nos"/>
    <s v="Grinnell"/>
    <n v="1538.57"/>
    <n v="2.4617119999999999E-2"/>
    <m/>
  </r>
  <r>
    <n v="25"/>
    <s v="G10-10030"/>
    <x v="2"/>
    <x v="3"/>
    <s v="SS 90 Deg. Elbow 15MM"/>
    <s v="SS Fittings"/>
    <n v="163"/>
    <s v="Nos"/>
    <s v="Grinnell"/>
    <n v="1538.57"/>
    <n v="2.5078691E-2"/>
    <m/>
  </r>
  <r>
    <n v="26"/>
    <s v="G10-10030"/>
    <x v="2"/>
    <x v="3"/>
    <s v="SS 90 Deg. Elbow 15MM Threaded"/>
    <s v="SS Fittings"/>
    <n v="15"/>
    <s v="Nos"/>
    <s v="-"/>
    <n v="1538.57"/>
    <n v="2.3078549999999997E-3"/>
    <m/>
  </r>
  <r>
    <n v="27"/>
    <s v="G10-10030"/>
    <x v="2"/>
    <x v="4"/>
    <s v="SS Coupling 300MM"/>
    <s v="SS Fittings"/>
    <n v="22"/>
    <s v="Nos"/>
    <s v="Shurjoint"/>
    <n v="21050.66"/>
    <n v="4.6311452000000003E-2"/>
    <m/>
  </r>
  <r>
    <n v="28"/>
    <s v="G10-10030"/>
    <x v="2"/>
    <x v="4"/>
    <s v="SS Coupling 200MM"/>
    <s v="SS Fittings"/>
    <n v="9"/>
    <s v="Nos"/>
    <s v="Shurjoint"/>
    <n v="14595"/>
    <n v="1.31355E-2"/>
    <m/>
  </r>
  <r>
    <n v="29"/>
    <s v="G10-10030"/>
    <x v="2"/>
    <x v="4"/>
    <s v="SS Coupling 150MM"/>
    <s v="SS Fittings"/>
    <n v="134"/>
    <s v="Nos"/>
    <s v="Shurjoint"/>
    <n v="21050.66"/>
    <n v="0.282078844"/>
    <m/>
  </r>
  <r>
    <n v="30"/>
    <s v="G10-10030"/>
    <x v="2"/>
    <x v="4"/>
    <s v="SS Coupling 100MM"/>
    <s v="SS Fittings"/>
    <n v="106"/>
    <s v="Nos"/>
    <s v="Shurjoint"/>
    <n v="6682"/>
    <n v="7.0829199999999995E-2"/>
    <m/>
  </r>
  <r>
    <n v="31"/>
    <s v="G10-10030"/>
    <x v="2"/>
    <x v="4"/>
    <s v="SS Coupling 100MM"/>
    <s v="SS Fittings"/>
    <n v="39"/>
    <s v="Nos"/>
    <s v="Grinnell"/>
    <n v="6682"/>
    <n v="2.6059800000000001E-2"/>
    <m/>
  </r>
  <r>
    <n v="32"/>
    <s v="G10-10030"/>
    <x v="2"/>
    <x v="4"/>
    <s v="SS Coupling 80MM"/>
    <s v="SS Fittings"/>
    <n v="53"/>
    <s v="Nos"/>
    <s v="Shurjoint"/>
    <n v="3674.75"/>
    <n v="1.9476174999999998E-2"/>
    <m/>
  </r>
  <r>
    <n v="33"/>
    <s v="G10-10030"/>
    <x v="2"/>
    <x v="4"/>
    <s v="SS Coupling 80MM"/>
    <s v="SS Fittings"/>
    <n v="131"/>
    <s v="Nos"/>
    <s v="Grinnell"/>
    <n v="3674.75"/>
    <n v="4.8139225000000001E-2"/>
    <m/>
  </r>
  <r>
    <n v="34"/>
    <s v="G10-10030"/>
    <x v="2"/>
    <x v="4"/>
    <s v="SS Coupling 65MM"/>
    <s v="SS Fittings"/>
    <n v="43"/>
    <s v="Nos"/>
    <s v="Grinnell"/>
    <n v="3452"/>
    <n v="1.48436E-2"/>
    <m/>
  </r>
  <r>
    <n v="35"/>
    <s v="G10-10030"/>
    <x v="2"/>
    <x v="4"/>
    <s v="SS Coupling 65MM"/>
    <s v="SS Fittings"/>
    <n v="25"/>
    <s v="Nos"/>
    <s v="Shurjoint"/>
    <n v="3452"/>
    <n v="8.6300000000000005E-3"/>
    <m/>
  </r>
  <r>
    <n v="36"/>
    <s v="G10-10030"/>
    <x v="2"/>
    <x v="4"/>
    <s v="SS Coupling 50MM"/>
    <s v="SS Fittings"/>
    <n v="171"/>
    <s v="Nos"/>
    <s v="Grinnell"/>
    <n v="2376.09"/>
    <n v="4.0631139000000004E-2"/>
    <m/>
  </r>
  <r>
    <n v="37"/>
    <s v="G10-10030"/>
    <x v="2"/>
    <x v="4"/>
    <s v="SS Coupling 50MM"/>
    <s v="SS Fittings"/>
    <n v="78"/>
    <s v="Nos"/>
    <s v="Shurjoint"/>
    <n v="2376.09"/>
    <n v="1.8533502E-2"/>
    <m/>
  </r>
  <r>
    <n v="38"/>
    <s v="G10-10030"/>
    <x v="2"/>
    <x v="4"/>
    <s v="SS Coupling 40MM"/>
    <s v="SS Fittings"/>
    <n v="85"/>
    <s v="Nos"/>
    <s v="Shurjoint"/>
    <n v="2675.97"/>
    <n v="2.2745744999999998E-2"/>
    <m/>
  </r>
  <r>
    <n v="39"/>
    <s v="G10-10030"/>
    <x v="2"/>
    <x v="4"/>
    <s v="SS Coupling 40MM"/>
    <s v="SS Fittings"/>
    <n v="76"/>
    <s v="Nos"/>
    <s v="Grinnell"/>
    <n v="2675.97"/>
    <n v="2.0337371999999996E-2"/>
    <m/>
  </r>
  <r>
    <n v="40"/>
    <s v="G10-10030"/>
    <x v="2"/>
    <x v="4"/>
    <s v="SS Coupling 32MM"/>
    <s v="SS Fittings"/>
    <n v="212"/>
    <s v="Nos"/>
    <s v="Grinnell"/>
    <n v="2675.97"/>
    <n v="5.6730564000000004E-2"/>
    <m/>
  </r>
  <r>
    <n v="41"/>
    <s v="G10-10030"/>
    <x v="2"/>
    <x v="5"/>
    <s v="SS Tee 200mm X 200mm"/>
    <s v="SS Fittings"/>
    <n v="1"/>
    <s v="Nos"/>
    <s v="-"/>
    <n v="10796"/>
    <n v="1.0796E-3"/>
    <m/>
  </r>
  <r>
    <n v="42"/>
    <s v="G10-10030"/>
    <x v="2"/>
    <x v="5"/>
    <s v="SS Tee 200mm X 100mm"/>
    <s v="SS Fittings"/>
    <n v="1"/>
    <s v="Nos"/>
    <s v="Shurjoint"/>
    <n v="6897"/>
    <n v="6.8970000000000001E-4"/>
    <m/>
  </r>
  <r>
    <n v="43"/>
    <s v="G10-10030"/>
    <x v="2"/>
    <x v="5"/>
    <s v="SS Tee 200mm X 80mm"/>
    <s v="SS Fittings"/>
    <n v="1"/>
    <s v="Nos"/>
    <s v="Shurjoint"/>
    <n v="6897"/>
    <n v="6.8970000000000001E-4"/>
    <m/>
  </r>
  <r>
    <n v="44"/>
    <s v="G10-10030"/>
    <x v="2"/>
    <x v="5"/>
    <s v="SS Tee 150mm X 150mm"/>
    <s v="SS Fittings"/>
    <n v="1"/>
    <s v="Nos"/>
    <s v="Shurjoint"/>
    <n v="13685.3"/>
    <n v="1.36853E-3"/>
    <m/>
  </r>
  <r>
    <n v="45"/>
    <s v="G10-10030"/>
    <x v="2"/>
    <x v="5"/>
    <s v="SS Tee 100mm X 100mm"/>
    <s v="SS Fittings"/>
    <n v="6"/>
    <s v="Nos"/>
    <s v="Shurjoint"/>
    <n v="9060.9699999999993"/>
    <n v="5.4365819999999988E-3"/>
    <m/>
  </r>
  <r>
    <n v="46"/>
    <s v="G10-10030"/>
    <x v="2"/>
    <x v="5"/>
    <s v="SS Tee 100mm X 40mm"/>
    <s v="SS Fittings"/>
    <n v="8"/>
    <s v="Nos"/>
    <s v="Shurjoint"/>
    <n v="1708.35"/>
    <n v="1.3666799999999999E-3"/>
    <m/>
  </r>
  <r>
    <n v="47"/>
    <s v="G10-10030"/>
    <x v="2"/>
    <x v="5"/>
    <s v="SS Tee 100mm X 40mm"/>
    <s v="SS Fittings"/>
    <n v="1"/>
    <s v="Nos"/>
    <s v="Grinnell"/>
    <n v="1708.35"/>
    <n v="1.7083499999999999E-4"/>
    <m/>
  </r>
  <r>
    <n v="48"/>
    <s v="G10-10030"/>
    <x v="2"/>
    <x v="5"/>
    <s v="SS Tee 80mm X 80mm"/>
    <s v="SS Fittings"/>
    <n v="1"/>
    <s v="Nos"/>
    <s v="Shurjoint"/>
    <n v="1708.35"/>
    <n v="1.7083499999999999E-4"/>
    <m/>
  </r>
  <r>
    <n v="49"/>
    <s v="G10-10030"/>
    <x v="2"/>
    <x v="5"/>
    <s v="SS Tee 80mm X 80mm"/>
    <s v="SS Fittings"/>
    <n v="1"/>
    <s v="Nos"/>
    <s v="-"/>
    <n v="1708.35"/>
    <n v="1.7083499999999999E-4"/>
    <m/>
  </r>
  <r>
    <n v="50"/>
    <s v="G10-10030"/>
    <x v="2"/>
    <x v="5"/>
    <s v="SS Tee 80mm X 65mm"/>
    <s v="SS Fittings"/>
    <n v="2"/>
    <s v="Nos"/>
    <s v="Grinnell"/>
    <n v="1708.35"/>
    <n v="3.4166999999999997E-4"/>
    <m/>
  </r>
  <r>
    <n v="51"/>
    <s v="G10-10030"/>
    <x v="2"/>
    <x v="5"/>
    <s v="SS Tee 80mm X 50mm"/>
    <s v="SS Fittings"/>
    <n v="1"/>
    <s v="Nos"/>
    <s v="Grinnell"/>
    <n v="1708.35"/>
    <n v="1.7083499999999999E-4"/>
    <m/>
  </r>
  <r>
    <n v="52"/>
    <s v="G10-10030"/>
    <x v="2"/>
    <x v="5"/>
    <s v="SS Tee 80mm X 50mm"/>
    <s v="SS Fittings"/>
    <n v="2"/>
    <s v="Nos"/>
    <s v="Shurjoint"/>
    <n v="1708.35"/>
    <n v="3.4166999999999997E-4"/>
    <m/>
  </r>
  <r>
    <n v="53"/>
    <s v="G10-10030"/>
    <x v="2"/>
    <x v="5"/>
    <s v="SS Tee 80mm X 32mm"/>
    <s v="SS Fittings"/>
    <n v="4"/>
    <s v="Nos"/>
    <s v="Shurjoint"/>
    <n v="1708.35"/>
    <n v="6.8333999999999995E-4"/>
    <m/>
  </r>
  <r>
    <n v="54"/>
    <s v="G10-10030"/>
    <x v="2"/>
    <x v="5"/>
    <s v="SS Tee 80mm X 32mm"/>
    <s v="SS Fittings"/>
    <n v="1"/>
    <s v="Nos"/>
    <s v="-"/>
    <n v="1708.35"/>
    <n v="1.7083499999999999E-4"/>
    <m/>
  </r>
  <r>
    <n v="55"/>
    <s v="G10-10030"/>
    <x v="2"/>
    <x v="5"/>
    <s v="SS Tee 80mm X 15mm"/>
    <s v="SS Fittings"/>
    <n v="2"/>
    <s v="Nos"/>
    <s v="-"/>
    <n v="1708.35"/>
    <n v="3.4166999999999997E-4"/>
    <m/>
  </r>
  <r>
    <n v="56"/>
    <s v="G10-10030"/>
    <x v="2"/>
    <x v="5"/>
    <s v="SS Tee 65mm X 65mm"/>
    <s v="SS Fittings"/>
    <n v="1"/>
    <s v="Nos"/>
    <s v="Shurjoint"/>
    <n v="1708.35"/>
    <n v="1.7083499999999999E-4"/>
    <m/>
  </r>
  <r>
    <n v="57"/>
    <s v="G10-10030"/>
    <x v="2"/>
    <x v="5"/>
    <s v="SS Tee 65mm X 50mm"/>
    <s v="SS Fittings"/>
    <n v="6"/>
    <s v="Nos"/>
    <s v="Grinnell"/>
    <n v="1708.35"/>
    <n v="1.0250099999999998E-3"/>
    <m/>
  </r>
  <r>
    <n v="58"/>
    <s v="G10-10030"/>
    <x v="2"/>
    <x v="5"/>
    <s v="SS Tee 65mm X 40mm"/>
    <s v="SS Fittings"/>
    <n v="10"/>
    <s v="Nos"/>
    <s v="Grinnell"/>
    <n v="1708.35"/>
    <n v="1.70835E-3"/>
    <m/>
  </r>
  <r>
    <n v="59"/>
    <s v="G10-10030"/>
    <x v="2"/>
    <x v="5"/>
    <s v="SS Tee 65mm X 32mm"/>
    <s v="SS Fittings"/>
    <n v="2"/>
    <s v="Nos"/>
    <s v="Shurjoint"/>
    <n v="1708.35"/>
    <n v="3.4166999999999997E-4"/>
    <m/>
  </r>
  <r>
    <n v="60"/>
    <s v="G10-10030"/>
    <x v="2"/>
    <x v="5"/>
    <s v="SS Tee 50mm X 32mm"/>
    <s v="SS Fittings"/>
    <n v="24"/>
    <s v="Nos"/>
    <s v="Grinnell"/>
    <n v="1708.35"/>
    <n v="4.1000399999999992E-3"/>
    <m/>
  </r>
  <r>
    <n v="61"/>
    <s v="G10-10030"/>
    <x v="2"/>
    <x v="5"/>
    <s v="SS Tee 50mm X 32mm"/>
    <s v="SS Fittings"/>
    <n v="6"/>
    <s v="Nos"/>
    <s v="Shurjoint"/>
    <n v="1708.35"/>
    <n v="1.0250099999999998E-3"/>
    <m/>
  </r>
  <r>
    <n v="62"/>
    <s v="G10-10030"/>
    <x v="2"/>
    <x v="5"/>
    <s v="SS Tee 50mm X 25mm"/>
    <s v="SS Fittings"/>
    <n v="12"/>
    <s v="Nos"/>
    <s v="-"/>
    <n v="1708.35"/>
    <n v="2.0500199999999996E-3"/>
    <m/>
  </r>
  <r>
    <n v="63"/>
    <s v="G10-10030"/>
    <x v="2"/>
    <x v="5"/>
    <s v="SS Tee 50mm X 25mm"/>
    <s v="SS Fittings"/>
    <n v="4"/>
    <s v="Nos"/>
    <s v="Shurjoint"/>
    <n v="1708.35"/>
    <n v="6.8333999999999995E-4"/>
    <m/>
  </r>
  <r>
    <n v="64"/>
    <s v="G10-10030"/>
    <x v="2"/>
    <x v="5"/>
    <s v="SS Tee 50mm X 50mm"/>
    <s v="SS Fittings"/>
    <n v="1"/>
    <s v="Nos"/>
    <s v="Shurjoint"/>
    <n v="1708.35"/>
    <n v="1.7083499999999999E-4"/>
    <m/>
  </r>
  <r>
    <n v="65"/>
    <s v="G10-10030"/>
    <x v="2"/>
    <x v="5"/>
    <s v="SS Tee 50mm X 40mm"/>
    <s v="SS Fittings"/>
    <n v="1"/>
    <s v="Nos"/>
    <s v="Grinnell"/>
    <n v="1708.35"/>
    <n v="1.7083499999999999E-4"/>
    <m/>
  </r>
  <r>
    <n v="66"/>
    <s v="G10-10030"/>
    <x v="2"/>
    <x v="5"/>
    <s v="SS Tee 40mm X 32mm"/>
    <s v="SS Fittings"/>
    <n v="24"/>
    <s v="Nos"/>
    <s v="Grinnell"/>
    <n v="1708.35"/>
    <n v="4.1000399999999992E-3"/>
    <m/>
  </r>
  <r>
    <n v="67"/>
    <s v="G10-10030"/>
    <x v="2"/>
    <x v="5"/>
    <s v="SS Tee 40mm X 32mm"/>
    <s v="SS Fittings"/>
    <n v="4"/>
    <s v="Nos"/>
    <s v="-"/>
    <n v="1708.35"/>
    <n v="6.8333999999999995E-4"/>
    <m/>
  </r>
  <r>
    <n v="68"/>
    <s v="G10-10030"/>
    <x v="2"/>
    <x v="5"/>
    <s v="SS Tee 40mm X 32mm"/>
    <s v="SS Fittings"/>
    <n v="2"/>
    <s v="Nos"/>
    <s v="Shurjoint"/>
    <n v="1708.35"/>
    <n v="3.4166999999999997E-4"/>
    <m/>
  </r>
  <r>
    <n v="69"/>
    <s v="G10-10030"/>
    <x v="2"/>
    <x v="5"/>
    <s v="SS Tee 40mm X 40mm"/>
    <s v="SS Fittings"/>
    <n v="3"/>
    <s v="Nos"/>
    <s v="Grinnell"/>
    <n v="1708.35"/>
    <n v="5.1250499999999991E-4"/>
    <m/>
  </r>
  <r>
    <n v="70"/>
    <s v="G10-10030"/>
    <x v="2"/>
    <x v="5"/>
    <s v="SS Tee 40mm X 40mm"/>
    <s v="SS Fittings"/>
    <n v="2"/>
    <s v="Nos"/>
    <s v="Shurjoint"/>
    <n v="1708.35"/>
    <n v="3.4166999999999997E-4"/>
    <m/>
  </r>
  <r>
    <n v="71"/>
    <s v="G10-10030"/>
    <x v="2"/>
    <x v="5"/>
    <s v="SS Tee 40mm X 25mm"/>
    <s v="SS Fittings"/>
    <n v="13"/>
    <s v="Nos"/>
    <s v="-"/>
    <n v="1708.35"/>
    <n v="2.2208549999999999E-3"/>
    <m/>
  </r>
  <r>
    <n v="72"/>
    <s v="G10-10030"/>
    <x v="2"/>
    <x v="5"/>
    <s v="SS Tee 32mm X 25mm"/>
    <s v="SS Fittings"/>
    <n v="1"/>
    <s v="Nos"/>
    <s v="-"/>
    <n v="1708.35"/>
    <n v="1.7083499999999999E-4"/>
    <m/>
  </r>
  <r>
    <n v="73"/>
    <s v="G10-10030"/>
    <x v="2"/>
    <x v="5"/>
    <s v="SS Tee 32mm X 32mm"/>
    <s v="SS Fittings"/>
    <n v="19"/>
    <s v="Nos"/>
    <s v="Grinnell"/>
    <n v="1708.35"/>
    <n v="3.2458649999999997E-3"/>
    <m/>
  </r>
  <r>
    <n v="74"/>
    <s v="G10-10030"/>
    <x v="2"/>
    <x v="5"/>
    <s v="SS Tee 32mm X 32mm"/>
    <s v="SS Fittings"/>
    <n v="3"/>
    <s v="Nos"/>
    <s v="Shurjoint"/>
    <n v="1708.35"/>
    <n v="5.1250499999999991E-4"/>
    <m/>
  </r>
  <r>
    <n v="75"/>
    <s v="G10-10030"/>
    <x v="2"/>
    <x v="5"/>
    <s v="SS Tee 32mm X 15mm"/>
    <s v="SS Fittings"/>
    <n v="7"/>
    <s v="Nos"/>
    <s v="Grinnell"/>
    <n v="1708.35"/>
    <n v="1.1958449999999999E-3"/>
    <m/>
  </r>
  <r>
    <n v="76"/>
    <s v="G10-10030"/>
    <x v="2"/>
    <x v="5"/>
    <s v="SS Tee 20mm X 20mm"/>
    <s v="SS Fittings"/>
    <n v="8"/>
    <s v="Nos"/>
    <s v="Grinnell"/>
    <n v="1708.35"/>
    <n v="1.3666799999999999E-3"/>
    <m/>
  </r>
  <r>
    <n v="77"/>
    <s v="G10-10030"/>
    <x v="2"/>
    <x v="5"/>
    <s v="SS Tee 20mm X 15mm"/>
    <s v="SS Fittings"/>
    <n v="19"/>
    <s v="Nos"/>
    <s v="Grinnell"/>
    <n v="1708.35"/>
    <n v="3.2458649999999997E-3"/>
    <m/>
  </r>
  <r>
    <n v="78"/>
    <s v="G10-10030"/>
    <x v="2"/>
    <x v="5"/>
    <s v="SS Tee 20mm X 15mm Threaded"/>
    <s v="SS Fittings"/>
    <n v="13"/>
    <s v="Nos"/>
    <s v="-"/>
    <n v="1708.35"/>
    <n v="2.2208549999999999E-3"/>
    <m/>
  </r>
  <r>
    <n v="79"/>
    <s v="G10-10030"/>
    <x v="2"/>
    <x v="5"/>
    <s v="SS Tee 15mm X 15mm"/>
    <s v="SS Fittings"/>
    <n v="17"/>
    <s v="Nos"/>
    <s v="Grinnell"/>
    <n v="1708.35"/>
    <n v="2.9041949999999996E-3"/>
    <m/>
  </r>
  <r>
    <n v="80"/>
    <s v="G10-10030"/>
    <x v="2"/>
    <x v="5"/>
    <s v="SS Welded Tee 200mm X 80mm"/>
    <s v="SS Fittings"/>
    <n v="1"/>
    <s v="Nos"/>
    <s v="-"/>
    <n v="6897"/>
    <n v="6.8970000000000001E-4"/>
    <m/>
  </r>
  <r>
    <n v="81"/>
    <s v="G10-10030"/>
    <x v="2"/>
    <x v="5"/>
    <s v="SS Welded Tee 80mm X 80mm"/>
    <s v="SS Fittings"/>
    <n v="3"/>
    <s v="Nos"/>
    <s v="-"/>
    <n v="6897"/>
    <n v="2.0690999999999999E-3"/>
    <m/>
  </r>
  <r>
    <n v="82"/>
    <s v="G10-10030"/>
    <x v="2"/>
    <x v="5"/>
    <s v="SS Welded Tee 80mm X 25mm"/>
    <s v="SS Fittings"/>
    <n v="12"/>
    <s v="Nos"/>
    <s v="-"/>
    <n v="6897"/>
    <n v="8.2763999999999997E-3"/>
    <m/>
  </r>
  <r>
    <n v="83"/>
    <s v="G10-10030"/>
    <x v="2"/>
    <x v="5"/>
    <s v="SS Welded Tee 65mm X 65mm"/>
    <s v="SS Fittings"/>
    <n v="2"/>
    <s v="Nos"/>
    <s v="-"/>
    <n v="6897"/>
    <n v="1.3794E-3"/>
    <m/>
  </r>
  <r>
    <n v="84"/>
    <s v="G10-10030"/>
    <x v="2"/>
    <x v="5"/>
    <s v="SS Welded Tee 65mm X 32mm"/>
    <s v="SS Fittings"/>
    <n v="7"/>
    <s v="Nos"/>
    <s v="-"/>
    <n v="6897"/>
    <n v="4.8279000000000004E-3"/>
    <m/>
  </r>
  <r>
    <n v="85"/>
    <s v="G10-10030"/>
    <x v="2"/>
    <x v="5"/>
    <s v="SS Welded Tee 50mm X 50mm"/>
    <s v="SS Fittings"/>
    <n v="2"/>
    <s v="Nos"/>
    <s v="-"/>
    <n v="6897"/>
    <n v="1.3794E-3"/>
    <m/>
  </r>
  <r>
    <n v="86"/>
    <s v="G10-10030"/>
    <x v="2"/>
    <x v="5"/>
    <s v="SS Welded Tee 32mm X 25mm"/>
    <s v="SS Fittings"/>
    <n v="1"/>
    <s v="Nos"/>
    <s v="-"/>
    <n v="6897"/>
    <n v="6.8970000000000001E-4"/>
    <m/>
  </r>
  <r>
    <n v="87"/>
    <s v="G10-10030"/>
    <x v="2"/>
    <x v="5"/>
    <s v="SS Welded Tee 32mm X 15mm"/>
    <s v="SS Fittings"/>
    <n v="2"/>
    <s v="Nos"/>
    <s v="-"/>
    <n v="6897"/>
    <n v="1.3794E-3"/>
    <m/>
  </r>
  <r>
    <n v="88"/>
    <s v="G10-10030"/>
    <x v="2"/>
    <x v="5"/>
    <s v="SS Welded Tee 25mm X 20mm"/>
    <s v="SS Fittings"/>
    <n v="1"/>
    <s v="Nos"/>
    <s v="-"/>
    <n v="6897"/>
    <n v="6.8970000000000001E-4"/>
    <m/>
  </r>
  <r>
    <n v="89"/>
    <s v="G10-10030"/>
    <x v="2"/>
    <x v="6"/>
    <s v="SS FTA 50mm"/>
    <s v="SS Fittings"/>
    <n v="93"/>
    <s v="Nos"/>
    <s v="-"/>
    <m/>
    <n v="0"/>
    <m/>
  </r>
  <r>
    <n v="90"/>
    <s v="G10-10030"/>
    <x v="2"/>
    <x v="6"/>
    <s v="SS FTA 40mm"/>
    <s v="SS Fittings"/>
    <n v="34"/>
    <s v="Nos"/>
    <s v="-"/>
    <m/>
    <n v="0"/>
    <m/>
  </r>
  <r>
    <n v="91"/>
    <s v="G10-10030"/>
    <x v="2"/>
    <x v="6"/>
    <s v="SS FTA 32mm"/>
    <s v="SS Fittings"/>
    <n v="27"/>
    <s v="Nos"/>
    <s v="-"/>
    <m/>
    <n v="0"/>
    <m/>
  </r>
  <r>
    <n v="92"/>
    <s v="G10-10030"/>
    <x v="2"/>
    <x v="6"/>
    <s v="SS Union 25MM"/>
    <s v="SS Fittings"/>
    <n v="203"/>
    <s v="Nos"/>
    <s v="Grinnell"/>
    <m/>
    <n v="0"/>
    <m/>
  </r>
  <r>
    <n v="93"/>
    <s v="G10-10030"/>
    <x v="2"/>
    <x v="6"/>
    <s v="SS Union 20MM"/>
    <s v="SS Fittings"/>
    <n v="3"/>
    <s v="Nos"/>
    <s v="Grinnell"/>
    <m/>
    <n v="0"/>
    <m/>
  </r>
  <r>
    <n v="94"/>
    <s v="G10-10030"/>
    <x v="2"/>
    <x v="6"/>
    <s v="SS Union 15MM"/>
    <s v="SS Fittings"/>
    <n v="14"/>
    <s v="Nos"/>
    <s v="Grinnell"/>
    <m/>
    <n v="0"/>
    <m/>
  </r>
  <r>
    <n v="95"/>
    <s v="G10-10030"/>
    <x v="2"/>
    <x v="6"/>
    <s v="SS Socket 15MM"/>
    <s v="SS Fittings"/>
    <n v="45"/>
    <s v="Nos"/>
    <s v="Grinnell"/>
    <n v="31"/>
    <n v="1.395E-4"/>
    <m/>
  </r>
  <r>
    <n v="96"/>
    <s v="G10-10030"/>
    <x v="2"/>
    <x v="6"/>
    <s v="SS Socket 25MM"/>
    <s v="SS Fittings"/>
    <n v="86"/>
    <s v="Nos"/>
    <s v="Grinnell"/>
    <n v="31"/>
    <n v="2.6659999999999998E-4"/>
    <m/>
  </r>
  <r>
    <n v="97"/>
    <s v="G10-10030"/>
    <x v="2"/>
    <x v="7"/>
    <s v="SS Reducer Socket 20mm X 15mm"/>
    <s v="SS Fittings"/>
    <n v="5"/>
    <s v="Nos"/>
    <s v="Grinnell"/>
    <n v="90"/>
    <n v="4.5000000000000003E-5"/>
    <m/>
  </r>
  <r>
    <n v="98"/>
    <s v="G10-10030"/>
    <x v="2"/>
    <x v="7"/>
    <s v="SS Reducer Socket 25mm X 20mm"/>
    <s v="SS Fittings"/>
    <n v="2"/>
    <s v="Nos"/>
    <s v="Grinnell"/>
    <n v="90"/>
    <n v="1.8E-5"/>
    <m/>
  </r>
  <r>
    <n v="99"/>
    <s v="G10-10030"/>
    <x v="2"/>
    <x v="7"/>
    <s v="SS Reducer Socket 25mm X 15mm"/>
    <s v="SS Fittings"/>
    <n v="2"/>
    <s v="Nos"/>
    <s v="Grinnell"/>
    <n v="6108.68"/>
    <n v="1.221736E-3"/>
    <m/>
  </r>
  <r>
    <n v="100"/>
    <s v="G10-10030"/>
    <x v="2"/>
    <x v="7"/>
    <s v="SS Reducer Socket 40mm X 32mm"/>
    <s v="SS Fittings"/>
    <n v="10"/>
    <s v="Nos"/>
    <s v="Grinnell"/>
    <n v="6108.68"/>
    <n v="6.10868E-3"/>
    <m/>
  </r>
  <r>
    <n v="101"/>
    <s v="G10-10030"/>
    <x v="2"/>
    <x v="7"/>
    <s v="SS Reducer Socket 65mm X 50mm"/>
    <s v="SS Fittings"/>
    <n v="19"/>
    <s v="Nos"/>
    <s v="Grinnell"/>
    <n v="6108.68"/>
    <n v="1.1606492000000001E-2"/>
    <m/>
  </r>
  <r>
    <n v="102"/>
    <s v="G10-10030"/>
    <x v="2"/>
    <x v="7"/>
    <s v="SS Reducer Socket 65mm X 50mm"/>
    <s v="SS Fittings"/>
    <n v="4"/>
    <s v="Nos"/>
    <s v="Shurjoint"/>
    <n v="6108.68"/>
    <n v="2.4434719999999999E-3"/>
    <m/>
  </r>
  <r>
    <n v="103"/>
    <s v="G10-10030"/>
    <x v="2"/>
    <x v="7"/>
    <s v="SS Reducer Socket 80mm X 50mm"/>
    <s v="SS Fittings"/>
    <n v="1"/>
    <s v="Nos"/>
    <s v="Shurjoint"/>
    <n v="6108.68"/>
    <n v="6.1086799999999998E-4"/>
    <m/>
  </r>
  <r>
    <n v="104"/>
    <s v="G10-10030"/>
    <x v="2"/>
    <x v="7"/>
    <s v="SS Reducer Socket 80mm X 50mm"/>
    <s v="SS Fittings"/>
    <n v="2"/>
    <s v="Nos"/>
    <s v="-"/>
    <n v="6108.68"/>
    <n v="1.221736E-3"/>
    <m/>
  </r>
  <r>
    <n v="105"/>
    <s v="G10-10030"/>
    <x v="2"/>
    <x v="7"/>
    <s v="SS Reducer Socket 50mm X 40mm"/>
    <s v="SS Fittings"/>
    <n v="1"/>
    <s v="Nos"/>
    <s v="Grinnell"/>
    <n v="6108.68"/>
    <n v="6.1086799999999998E-4"/>
    <m/>
  </r>
  <r>
    <n v="106"/>
    <s v="G10-10030"/>
    <x v="2"/>
    <x v="7"/>
    <s v="SS Reducer Socket 50mm X 40mm"/>
    <s v="SS Fittings"/>
    <n v="12"/>
    <s v="Nos"/>
    <s v="Shurjoint"/>
    <n v="6108.68"/>
    <n v="7.3304160000000002E-3"/>
    <m/>
  </r>
  <r>
    <n v="107"/>
    <s v="G10-10030"/>
    <x v="2"/>
    <x v="7"/>
    <s v="SS Reducer Socket 50mm X 25mm"/>
    <s v="SS Fittings"/>
    <n v="1"/>
    <s v="Nos"/>
    <s v="-"/>
    <n v="6108.68"/>
    <n v="6.1086799999999998E-4"/>
    <m/>
  </r>
  <r>
    <n v="108"/>
    <s v="G10-10030"/>
    <x v="2"/>
    <x v="7"/>
    <s v="SS Reducer Socket 40mm X 32mm"/>
    <s v="SS Fittings"/>
    <n v="2"/>
    <s v="Nos"/>
    <s v="Shurjoint"/>
    <n v="6108.68"/>
    <n v="1.221736E-3"/>
    <m/>
  </r>
  <r>
    <n v="109"/>
    <s v="G10-10030"/>
    <x v="2"/>
    <x v="7"/>
    <s v="SS Reducer Socket 100mm X 80mm"/>
    <s v="SS Fittings"/>
    <n v="1"/>
    <s v="Nos"/>
    <s v="Shurjoint"/>
    <n v="24817.82"/>
    <n v="2.4817820000000001E-3"/>
    <m/>
  </r>
  <r>
    <n v="110"/>
    <s v="G10-10030"/>
    <x v="2"/>
    <x v="7"/>
    <s v="SS Reducer Socket 100mm X 80mm"/>
    <s v="SS Fittings"/>
    <n v="1"/>
    <s v="Nos"/>
    <s v="Grinnell"/>
    <n v="24817.82"/>
    <n v="2.4817820000000001E-3"/>
    <m/>
  </r>
  <r>
    <n v="111"/>
    <s v="G10-10030"/>
    <x v="2"/>
    <x v="7"/>
    <s v="SS Reducer Socket 300mm X 100mm"/>
    <s v="SS Fittings"/>
    <n v="2"/>
    <s v="Nos"/>
    <s v="-"/>
    <n v="24817.82"/>
    <n v="4.9635640000000002E-3"/>
    <m/>
  </r>
  <r>
    <n v="112"/>
    <s v="G10-10030"/>
    <x v="2"/>
    <x v="7"/>
    <s v="SS Reducer Socket 150mm X 80mm"/>
    <s v="SS Fittings"/>
    <n v="1"/>
    <s v="Nos"/>
    <s v="Shurjoint"/>
    <n v="24817.82"/>
    <n v="2.4817820000000001E-3"/>
    <m/>
  </r>
  <r>
    <n v="113"/>
    <s v="G10-10030"/>
    <x v="2"/>
    <x v="7"/>
    <s v="SS Reducer Socket 150mm X 100mm"/>
    <s v="SS Fittings"/>
    <n v="2"/>
    <s v="Nos"/>
    <s v="Grinnell"/>
    <n v="24817.82"/>
    <n v="4.9635640000000002E-3"/>
    <m/>
  </r>
  <r>
    <n v="114"/>
    <s v="G10-10030"/>
    <x v="2"/>
    <x v="7"/>
    <s v="SS Reducer Socket 150mm X 65mm"/>
    <s v="SS Fittings"/>
    <n v="2"/>
    <s v="Nos"/>
    <s v="Shurjoint"/>
    <n v="24817.82"/>
    <n v="4.9635640000000002E-3"/>
    <m/>
  </r>
  <r>
    <n v="115"/>
    <s v="G10-10030"/>
    <x v="2"/>
    <x v="7"/>
    <s v="SS S/W Socket 20MM"/>
    <s v="SS Fittings"/>
    <n v="64"/>
    <s v="Nos"/>
    <s v="Grinnell"/>
    <n v="6108.68"/>
    <n v="3.9095551999999999E-2"/>
    <m/>
  </r>
  <r>
    <n v="116"/>
    <s v="G10-10030"/>
    <x v="2"/>
    <x v="7"/>
    <s v="SS S/W Socket 25MM"/>
    <s v="SS Fittings"/>
    <n v="59"/>
    <s v="Nos"/>
    <s v="Grinnell"/>
    <n v="6108.68"/>
    <n v="3.6041211999999996E-2"/>
    <m/>
  </r>
  <r>
    <n v="117"/>
    <s v="G10-10030"/>
    <x v="2"/>
    <x v="7"/>
    <s v="SS S/W Socket 15MM"/>
    <s v="SS Fittings"/>
    <n v="46"/>
    <s v="Nos"/>
    <s v="Grinnell"/>
    <n v="6108.68"/>
    <n v="2.8099928000000003E-2"/>
    <m/>
  </r>
  <r>
    <n v="118"/>
    <s v="G10-10030"/>
    <x v="2"/>
    <x v="7"/>
    <s v="SS S/W Reducer Socket 32mm X 15mm"/>
    <s v="SS Fittings"/>
    <n v="4"/>
    <s v="Nos"/>
    <s v="Grinnell"/>
    <n v="6108.68"/>
    <n v="2.4434719999999999E-3"/>
    <m/>
  </r>
  <r>
    <n v="119"/>
    <s v="G10-10030"/>
    <x v="2"/>
    <x v="7"/>
    <s v="SS S/W Reducer Socket 32mm X 20mm"/>
    <s v="SS Fittings"/>
    <n v="4"/>
    <s v="Nos"/>
    <s v="Grinnell"/>
    <n v="6108.68"/>
    <n v="2.4434719999999999E-3"/>
    <m/>
  </r>
  <r>
    <n v="120"/>
    <s v="G10-10030"/>
    <x v="2"/>
    <x v="8"/>
    <s v="SS Dummy Flange 300MM"/>
    <s v="SS Fittings"/>
    <n v="1"/>
    <s v="Nos"/>
    <s v="-"/>
    <n v="5286"/>
    <n v="5.2859999999999995E-4"/>
    <m/>
  </r>
  <r>
    <n v="121"/>
    <s v="G10-10030"/>
    <x v="2"/>
    <x v="8"/>
    <s v="SS Grooved tail piece flange 300MM"/>
    <s v="SS Fittings"/>
    <n v="2"/>
    <s v="Nos"/>
    <s v="-"/>
    <n v="5286"/>
    <n v="1.0571999999999999E-3"/>
    <m/>
  </r>
  <r>
    <n v="122"/>
    <s v="G10-10030"/>
    <x v="2"/>
    <x v="8"/>
    <s v="SS Grooved tail piece flange 65MM"/>
    <s v="SS Fittings"/>
    <n v="15"/>
    <s v="Nos"/>
    <s v="-"/>
    <n v="1055"/>
    <n v="1.5824999999999999E-3"/>
    <m/>
  </r>
  <r>
    <n v="123"/>
    <s v="G10-10030"/>
    <x v="2"/>
    <x v="8"/>
    <s v="SS Welded Flange 65MM"/>
    <s v="SS Fittings"/>
    <n v="2"/>
    <s v="Nos"/>
    <s v="-"/>
    <n v="1055"/>
    <n v="2.1100000000000001E-4"/>
    <m/>
  </r>
  <r>
    <n v="124"/>
    <s v="G10-10030"/>
    <x v="2"/>
    <x v="8"/>
    <s v="SS Welded Flange 65MM"/>
    <s v="SS Fittings"/>
    <n v="99"/>
    <s v="Nos"/>
    <s v="-"/>
    <n v="1055"/>
    <n v="1.0444500000000001E-2"/>
    <m/>
  </r>
  <r>
    <n v="125"/>
    <s v="G10-10030"/>
    <x v="2"/>
    <x v="8"/>
    <s v="SS Welded Flange 200MM"/>
    <s v="SS Fittings"/>
    <n v="4"/>
    <s v="Nos"/>
    <s v="-"/>
    <n v="13355.09"/>
    <n v="5.3420359999999997E-3"/>
    <m/>
  </r>
  <r>
    <n v="126"/>
    <s v="G10-10030"/>
    <x v="2"/>
    <x v="8"/>
    <s v="SS Welded Flange 100MM"/>
    <s v="SS Fittings"/>
    <n v="1"/>
    <s v="Nos"/>
    <s v="-"/>
    <n v="13355.09"/>
    <n v="1.3355089999999999E-3"/>
    <m/>
  </r>
  <r>
    <n v="127"/>
    <s v="G10-10030"/>
    <x v="2"/>
    <x v="8"/>
    <s v="SS Dummy Flange 100MM"/>
    <s v="SS Fittings"/>
    <n v="1"/>
    <s v="Nos"/>
    <s v="-"/>
    <n v="13355.09"/>
    <n v="1.3355089999999999E-3"/>
    <m/>
  </r>
  <r>
    <n v="128"/>
    <s v="G10-10030"/>
    <x v="2"/>
    <x v="8"/>
    <s v="SS Welded Flange 80MM"/>
    <s v="SS Fittings"/>
    <n v="1"/>
    <s v="Nos"/>
    <s v="-"/>
    <n v="7448.04"/>
    <n v="7.4480399999999995E-4"/>
    <m/>
  </r>
  <r>
    <n v="129"/>
    <s v="G10-10030"/>
    <x v="2"/>
    <x v="8"/>
    <s v="SS Grooved Flange 100MM"/>
    <s v="SS Fittings"/>
    <n v="10"/>
    <s v="Nos"/>
    <s v="-"/>
    <n v="10886.99"/>
    <n v="1.0886989999999999E-2"/>
    <m/>
  </r>
  <r>
    <n v="130"/>
    <s v="G10-10030"/>
    <x v="2"/>
    <x v="8"/>
    <s v="SS Grooved Flange 80MM"/>
    <s v="SS Fittings"/>
    <n v="37"/>
    <s v="Nos"/>
    <s v="-"/>
    <n v="7448.04"/>
    <n v="2.7557747999999996E-2"/>
    <m/>
  </r>
  <r>
    <n v="131"/>
    <s v="G10-10030"/>
    <x v="2"/>
    <x v="8"/>
    <s v="SS Grooved Flange 65MM"/>
    <s v="SS Fittings"/>
    <n v="2"/>
    <s v="Nos"/>
    <s v="-"/>
    <n v="1055"/>
    <n v="2.1100000000000001E-4"/>
    <m/>
  </r>
  <r>
    <n v="132"/>
    <s v="G10-10030"/>
    <x v="2"/>
    <x v="6"/>
    <s v="GI B/W Reducer 200mm x 150mm"/>
    <s v="GI Fittings "/>
    <n v="18"/>
    <s v="Nos"/>
    <s v="Metal Lloyd"/>
    <m/>
    <n v="0"/>
    <m/>
  </r>
  <r>
    <n v="133"/>
    <s v="G10-10030"/>
    <x v="2"/>
    <x v="3"/>
    <s v="GI 90 Deg Elbow 200MM  "/>
    <s v="GI Fittings "/>
    <n v="30"/>
    <s v="Nos"/>
    <s v="Metal Lloyd"/>
    <m/>
    <n v="0"/>
    <m/>
  </r>
  <r>
    <n v="134"/>
    <s v="G10-10030"/>
    <x v="2"/>
    <x v="0"/>
    <s v="GI Pipe 200MM  "/>
    <s v="GI Pipes"/>
    <n v="180"/>
    <s v="Mtr"/>
    <s v="Jindal Hissar"/>
    <n v="2568.06"/>
    <n v="4.6225080000000002E-2"/>
    <m/>
  </r>
  <r>
    <n v="135"/>
    <s v="G10-10030"/>
    <x v="2"/>
    <x v="0"/>
    <s v="GI Pipe 250MM  "/>
    <s v="GI Pipes"/>
    <n v="42"/>
    <s v="Mtr"/>
    <s v="Jindal Hissar"/>
    <n v="2288"/>
    <n v="9.6095999999999994E-3"/>
    <m/>
  </r>
  <r>
    <n v="136"/>
    <s v="G10-10030"/>
    <x v="2"/>
    <x v="0"/>
    <s v="GI Pipe 300MM  "/>
    <s v="GI Pipes"/>
    <n v="30"/>
    <s v="Mtr"/>
    <s v="Jindal Hissar"/>
    <n v="3406"/>
    <n v="1.0218E-2"/>
    <m/>
  </r>
  <r>
    <n v="137"/>
    <s v="G10-10030"/>
    <x v="2"/>
    <x v="0"/>
    <s v="UPVC Pipe 65MM"/>
    <s v="UPVC Piipe"/>
    <n v="60"/>
    <s v="Mtrs"/>
    <s v="Astral"/>
    <n v="100.61"/>
    <n v="6.0366E-4"/>
    <m/>
  </r>
  <r>
    <n v="138"/>
    <s v="G10-10030"/>
    <x v="2"/>
    <x v="3"/>
    <s v="PVC Elbow 90 Deg. 50MM"/>
    <s v="PVC Fittings"/>
    <n v="2500"/>
    <s v="Nos"/>
    <s v="Finolex"/>
    <n v="66.39"/>
    <n v="1.6597500000000001E-2"/>
    <m/>
  </r>
  <r>
    <n v="139"/>
    <s v="G10-10030"/>
    <x v="2"/>
    <x v="3"/>
    <s v="PVC Elbow 45 Deg. 100MM"/>
    <s v="PVC Fittings"/>
    <n v="200"/>
    <s v="Nos"/>
    <s v="Finolex"/>
    <n v="66.39"/>
    <n v="1.3278000000000001E-3"/>
    <m/>
  </r>
  <r>
    <n v="140"/>
    <s v="G10-10030"/>
    <x v="2"/>
    <x v="6"/>
    <s v="PVC Reducer 100MM x 75MM"/>
    <s v="PVC Fittings"/>
    <n v="70"/>
    <s v="Nos"/>
    <s v="Finolex"/>
    <n v="41.51"/>
    <n v="2.9056999999999998E-4"/>
    <m/>
  </r>
  <r>
    <n v="141"/>
    <s v="G10-10030"/>
    <x v="2"/>
    <x v="5"/>
    <s v="PVC Tee 150MM x 100MM"/>
    <s v="PVC Fittings"/>
    <n v="131"/>
    <s v="Nos"/>
    <s v="Wavin"/>
    <n v="181.13"/>
    <n v="2.3728029999999997E-3"/>
    <m/>
  </r>
  <r>
    <n v="142"/>
    <s v="G10-10030"/>
    <x v="2"/>
    <x v="6"/>
    <s v="PVC Double Y 160MM x 160MM"/>
    <s v="PVC Fittings"/>
    <n v="25"/>
    <s v="Nos"/>
    <s v="Finolex"/>
    <n v="108.6"/>
    <n v="2.7149999999999999E-4"/>
    <m/>
  </r>
  <r>
    <n v="143"/>
    <s v="G10-10030"/>
    <x v="2"/>
    <x v="6"/>
    <s v="PVC Single Y 110MM "/>
    <s v="PVC Fittings"/>
    <n v="1000"/>
    <s v="Nos"/>
    <s v="Finolex"/>
    <n v="108.6"/>
    <n v="1.086E-2"/>
    <m/>
  </r>
  <r>
    <n v="144"/>
    <s v="G10-10030"/>
    <x v="2"/>
    <x v="3"/>
    <s v="Brass 90 Deg. Elbow 15MM"/>
    <s v="Copper Fittings"/>
    <n v="710"/>
    <s v="Nos"/>
    <s v="Viega"/>
    <n v="40"/>
    <n v="2.8400000000000001E-3"/>
    <m/>
  </r>
  <r>
    <n v="145"/>
    <s v="G10-10030"/>
    <x v="2"/>
    <x v="5"/>
    <s v="Brass Tee 32MM"/>
    <s v="Copper Fittings"/>
    <n v="2"/>
    <s v="Nos"/>
    <s v="Viega"/>
    <n v="88"/>
    <n v="1.7600000000000001E-5"/>
    <m/>
  </r>
  <r>
    <n v="146"/>
    <s v="G10-10030"/>
    <x v="2"/>
    <x v="3"/>
    <s v="Copper 45 Deg. Elbow 15MM"/>
    <s v="Copper Fittings"/>
    <n v="13"/>
    <s v="Nos"/>
    <s v="Viega"/>
    <m/>
    <n v="0"/>
    <m/>
  </r>
  <r>
    <n v="147"/>
    <s v="G10-10030"/>
    <x v="2"/>
    <x v="3"/>
    <s v="Copper 45 Deg. Elbow 20MM"/>
    <s v="Copper Fittings"/>
    <n v="555"/>
    <s v="Nos"/>
    <s v="Viega"/>
    <m/>
    <n v="0"/>
    <m/>
  </r>
  <r>
    <n v="148"/>
    <s v="G10-10030"/>
    <x v="2"/>
    <x v="3"/>
    <s v="Copper 90 Deg. Elbow 15MM"/>
    <s v="Copper Fittings"/>
    <n v="2570"/>
    <s v="Nos"/>
    <s v="Viega"/>
    <m/>
    <n v="0"/>
    <m/>
  </r>
  <r>
    <n v="149"/>
    <s v="G10-10030"/>
    <x v="2"/>
    <x v="3"/>
    <s v="Copper 90 Deg. Elbow 20MM"/>
    <s v="Copper Fittings"/>
    <n v="445"/>
    <s v="Nos"/>
    <s v="Viega"/>
    <m/>
    <n v="0"/>
    <m/>
  </r>
  <r>
    <n v="150"/>
    <s v="G10-10030"/>
    <x v="2"/>
    <x v="9"/>
    <s v="Copper Reducer 20MM X 15MM"/>
    <s v="Copper Fittings"/>
    <n v="1140"/>
    <s v="Nos"/>
    <s v="Viega"/>
    <m/>
    <n v="0"/>
    <m/>
  </r>
  <r>
    <n v="151"/>
    <s v="G10-10030"/>
    <x v="2"/>
    <x v="9"/>
    <s v="Copper Reducer 25MM X 15MM"/>
    <s v="Copper Fittings"/>
    <n v="160"/>
    <s v="Nos"/>
    <s v="Viega"/>
    <m/>
    <n v="0"/>
    <m/>
  </r>
  <r>
    <n v="152"/>
    <s v="G10-10030"/>
    <x v="2"/>
    <x v="9"/>
    <s v="Copper Reducer 32MM X 20MM"/>
    <s v="Copper Fittings"/>
    <n v="8"/>
    <s v="Nos"/>
    <s v="Viega"/>
    <m/>
    <n v="0"/>
    <m/>
  </r>
  <r>
    <n v="153"/>
    <s v="G10-10030"/>
    <x v="2"/>
    <x v="7"/>
    <s v="Copper Socket 15MM"/>
    <s v="Copper Fittings"/>
    <n v="1640"/>
    <s v="Nos"/>
    <s v="Viega"/>
    <m/>
    <n v="0"/>
    <m/>
  </r>
  <r>
    <n v="154"/>
    <s v="G10-10030"/>
    <x v="2"/>
    <x v="7"/>
    <s v="Copper Socket 20MM"/>
    <s v="Copper Fittings"/>
    <n v="720"/>
    <s v="Nos"/>
    <s v="Viega"/>
    <m/>
    <n v="0"/>
    <m/>
  </r>
  <r>
    <n v="155"/>
    <s v="G10-10030"/>
    <x v="2"/>
    <x v="5"/>
    <s v="Copper Tee 15MM"/>
    <s v="Copper Fittings"/>
    <n v="255"/>
    <s v="Nos"/>
    <s v="Viega"/>
    <m/>
    <n v="0"/>
    <m/>
  </r>
  <r>
    <n v="156"/>
    <s v="G10-10030"/>
    <x v="2"/>
    <x v="5"/>
    <s v="Copper Tee 20MM"/>
    <s v="Copper Fittings"/>
    <n v="245"/>
    <s v="Nos"/>
    <s v="Viega"/>
    <m/>
    <n v="0"/>
    <m/>
  </r>
  <r>
    <n v="157"/>
    <s v="G10-10030"/>
    <x v="2"/>
    <x v="5"/>
    <s v="Copper Tee 20MM X 15MM"/>
    <s v="Copper Fittings"/>
    <n v="302"/>
    <s v="Nos"/>
    <s v="Viega"/>
    <m/>
    <n v="0"/>
    <m/>
  </r>
  <r>
    <n v="158"/>
    <s v="G10-10030"/>
    <x v="2"/>
    <x v="5"/>
    <s v="Copper Tee 25MM X 20MM"/>
    <s v="Copper Fittings"/>
    <n v="190"/>
    <s v="Nos"/>
    <s v="Viega"/>
    <m/>
    <n v="0"/>
    <m/>
  </r>
  <r>
    <n v="159"/>
    <s v="G10-10030"/>
    <x v="2"/>
    <x v="6"/>
    <s v="Flux (Pest for copper joint)"/>
    <s v="Copper Fittings"/>
    <n v="31"/>
    <s v="Nos"/>
    <s v="Viega"/>
    <m/>
    <n v="0"/>
    <m/>
  </r>
  <r>
    <n v="160"/>
    <s v="G10-10030"/>
    <x v="2"/>
    <x v="6"/>
    <s v="FTA Brass 15MM"/>
    <s v="Copper Fittings"/>
    <n v="620"/>
    <s v="Nos"/>
    <s v="Viega"/>
    <m/>
    <n v="0"/>
    <m/>
  </r>
  <r>
    <n v="161"/>
    <s v="G10-10030"/>
    <x v="2"/>
    <x v="6"/>
    <s v="MTA Brass 15MM"/>
    <s v="Copper Fittings"/>
    <n v="1389"/>
    <s v="Nos"/>
    <s v="Viega"/>
    <m/>
    <n v="0"/>
    <m/>
  </r>
  <r>
    <n v="162"/>
    <s v="G10-10030"/>
    <x v="2"/>
    <x v="6"/>
    <s v="MTA Brass 20MM"/>
    <s v="Copper Fittings"/>
    <n v="135"/>
    <s v="Nos"/>
    <s v="Viega"/>
    <m/>
    <n v="0"/>
    <m/>
  </r>
  <r>
    <n v="163"/>
    <s v="G10-10030"/>
    <x v="2"/>
    <x v="6"/>
    <s v="MTA Brass 20MM X 15MM"/>
    <s v="Copper Fittings"/>
    <n v="159"/>
    <s v="Nos"/>
    <s v="Viega"/>
    <m/>
    <n v="0"/>
    <m/>
  </r>
  <r>
    <n v="164"/>
    <s v="G10-10030"/>
    <x v="2"/>
    <x v="6"/>
    <s v="MTA Brass 25MM"/>
    <s v="Copper Fittings"/>
    <n v="145"/>
    <s v="Nos"/>
    <s v="Viega"/>
    <m/>
    <n v="0"/>
    <m/>
  </r>
  <r>
    <n v="165"/>
    <s v="G10-10030"/>
    <x v="2"/>
    <x v="6"/>
    <s v="MTA Brass 32MM"/>
    <s v="Copper Fittings"/>
    <n v="25"/>
    <s v="Nos"/>
    <s v="Viega"/>
    <m/>
    <n v="0"/>
    <m/>
  </r>
  <r>
    <n v="166"/>
    <s v="G10-10030"/>
    <x v="2"/>
    <x v="9"/>
    <s v="Low Noise Reducer 110MM x 50MM"/>
    <s v="Low Noise Fittings"/>
    <n v="215"/>
    <s v="Nos"/>
    <s v="Wavin"/>
    <n v="328.53"/>
    <n v="7.0633950000000001E-3"/>
    <m/>
  </r>
  <r>
    <n v="167"/>
    <s v="G10-10030"/>
    <x v="2"/>
    <x v="3"/>
    <s v="Low Noise 90 Deg Elbow 75MM"/>
    <s v="Low Noise Fittings"/>
    <n v="11"/>
    <s v="Nos"/>
    <s v="Wavin"/>
    <n v="461.38"/>
    <n v="5.0751799999999999E-4"/>
    <m/>
  </r>
  <r>
    <n v="168"/>
    <s v="G10-10030"/>
    <x v="2"/>
    <x v="3"/>
    <s v="Low Noise 45 Deg Elbow 75MM"/>
    <s v="Low Noise Fittings"/>
    <n v="7"/>
    <s v="Nos"/>
    <s v="Wavin"/>
    <n v="461.38"/>
    <n v="3.22966E-4"/>
    <m/>
  </r>
  <r>
    <n v="169"/>
    <s v="G10-10030"/>
    <x v="2"/>
    <x v="6"/>
    <s v="Low Noise Y 110MM x 75MM"/>
    <s v="Low Noise Fittings"/>
    <n v="45"/>
    <s v="Nos"/>
    <s v="Wavin"/>
    <n v="461.38"/>
    <n v="2.0762099999999998E-3"/>
    <m/>
  </r>
  <r>
    <n v="170"/>
    <s v="G10-10030"/>
    <x v="2"/>
    <x v="6"/>
    <s v="Low Noise socket 50MM"/>
    <s v="Low Noise Fittings"/>
    <n v="1098"/>
    <s v="Nos"/>
    <s v="Wavin"/>
    <n v="461.38"/>
    <n v="5.0659523999999997E-2"/>
    <m/>
  </r>
  <r>
    <n v="171"/>
    <s v="G10-10030"/>
    <x v="2"/>
    <x v="6"/>
    <s v="Low Noise socket 70MM"/>
    <s v="Low Noise Fittings"/>
    <n v="1534"/>
    <s v="Nos"/>
    <s v="Wavin"/>
    <n v="461.38"/>
    <n v="7.0775692000000001E-2"/>
    <m/>
  </r>
  <r>
    <n v="172"/>
    <s v="G10-10030"/>
    <x v="2"/>
    <x v="6"/>
    <s v="Low Noise Multi Trap 110x75x50"/>
    <s v="Low Noise Fittings"/>
    <n v="69"/>
    <s v="Nos"/>
    <s v="Supreme"/>
    <n v="461.38"/>
    <n v="3.1835220000000003E-3"/>
    <m/>
  </r>
  <r>
    <n v="173"/>
    <s v="G10-10030"/>
    <x v="2"/>
    <x v="3"/>
    <s v="Low Noise 90 Deg Elbow 50MM"/>
    <s v="Low Noise Fittings"/>
    <n v="558"/>
    <s v="Nos"/>
    <s v="Wavin"/>
    <n v="243.46"/>
    <n v="1.3585067999999999E-2"/>
    <m/>
  </r>
  <r>
    <n v="174"/>
    <s v="G10-10030"/>
    <x v="2"/>
    <x v="6"/>
    <s v="Low Noise Tee 50MM"/>
    <s v="Low Noise Fittings"/>
    <n v="264"/>
    <s v="Nos"/>
    <s v="Wavin"/>
    <n v="243.46"/>
    <n v="6.4273440000000006E-3"/>
    <m/>
  </r>
  <r>
    <n v="175"/>
    <s v="G10-42020"/>
    <x v="3"/>
    <x v="1"/>
    <s v="Manual Balance valves Gear Type 250 mm DIA"/>
    <s v="*Globe Type Flanged End Construction PN-16"/>
    <n v="1"/>
    <s v="Nos"/>
    <s v="ADVANCE"/>
    <n v="83838"/>
    <n v="8.3838000000000003E-3"/>
    <m/>
  </r>
  <r>
    <n v="176"/>
    <s v="G10-42020"/>
    <x v="3"/>
    <x v="1"/>
    <s v="Manual Balance valves Gear Type 200 mm DIA"/>
    <s v="*Globe Type Flanged End Construction PN-16"/>
    <n v="1"/>
    <s v="Nos"/>
    <s v="ADVANCE"/>
    <n v="44687"/>
    <n v="4.4686999999999999E-3"/>
    <m/>
  </r>
  <r>
    <n v="177"/>
    <s v="G10-42020"/>
    <x v="3"/>
    <x v="6"/>
    <s v="RUBBER BELLOW Type 250 mm DIA"/>
    <s v="PN 16 "/>
    <n v="1"/>
    <s v="Nos"/>
    <s v="RESISTOFLEX"/>
    <n v="4750"/>
    <n v="4.75E-4"/>
    <m/>
  </r>
  <r>
    <n v="178"/>
    <s v="G10-42020"/>
    <x v="3"/>
    <x v="6"/>
    <s v="RUBBER BELLOW Type 200 mm DIA"/>
    <s v="PN 16 "/>
    <n v="1"/>
    <s v="Nos"/>
    <s v="RESISTOFLEX"/>
    <n v="4750"/>
    <n v="4.75E-4"/>
    <m/>
  </r>
  <r>
    <n v="179"/>
    <s v="G10-42020"/>
    <x v="3"/>
    <x v="6"/>
    <s v="Y-STRAINER 250 MM DIA"/>
    <s v="PN 16 "/>
    <n v="1"/>
    <s v="Nos"/>
    <s v="D S ENGINEERING"/>
    <n v="18865"/>
    <n v="1.8864999999999999E-3"/>
    <m/>
  </r>
  <r>
    <n v="180"/>
    <s v="G10-42020"/>
    <x v="3"/>
    <x v="6"/>
    <s v="Y-STRAINER 200 MM DIA"/>
    <s v="PN 16 "/>
    <n v="1"/>
    <s v="Nos"/>
    <s v="D S ENGINEERING"/>
    <n v="13051.5"/>
    <n v="1.3051499999999999E-3"/>
    <m/>
  </r>
  <r>
    <n v="181"/>
    <s v="G10-34010"/>
    <x v="4"/>
    <x v="1"/>
    <s v="Pr. Indpendent Balancing+2Way Valve 40mm"/>
    <s v="40mm"/>
    <n v="10"/>
    <s v="Nos"/>
    <s v="SEIMENS"/>
    <n v="23800"/>
    <n v="2.3800000000000002E-2"/>
    <m/>
  </r>
  <r>
    <n v="182"/>
    <s v="G10-34010"/>
    <x v="4"/>
    <x v="1"/>
    <s v="Balancing Valve CI 25mm dia   PN16 FE"/>
    <s v="25mm"/>
    <n v="2"/>
    <s v="Nos"/>
    <s v="CASTLE VALVES PVT LTD"/>
    <n v="1398"/>
    <n v="2.7960000000000002E-4"/>
    <m/>
  </r>
  <r>
    <n v="183"/>
    <s v="G10-34010"/>
    <x v="4"/>
    <x v="1"/>
    <s v="B/F VALVE CI LUG TYPE 125MM DIA  PN 16"/>
    <s v="125mm"/>
    <n v="12"/>
    <s v="Nos"/>
    <s v="ADVANCE"/>
    <n v="3889"/>
    <n v="4.6667999999999996E-3"/>
    <m/>
  </r>
  <r>
    <n v="184"/>
    <s v="G10-34010"/>
    <x v="4"/>
    <x v="1"/>
    <s v="B/F VALVE CI LUG TYPE 100MM DIA  PN 16"/>
    <s v="100mm"/>
    <n v="6"/>
    <s v="Nos"/>
    <s v="ADVANCE"/>
    <n v="3344"/>
    <n v="2.0064000000000002E-3"/>
    <m/>
  </r>
  <r>
    <n v="185"/>
    <s v="G10-34010"/>
    <x v="4"/>
    <x v="1"/>
    <s v="B/F VALVE CI LUG TYPE 50MM DIA  PN 16"/>
    <s v="50mm"/>
    <n v="6"/>
    <s v="Nos"/>
    <s v="ADVANCE"/>
    <n v="2446"/>
    <n v="1.4675999999999999E-3"/>
    <m/>
  </r>
  <r>
    <n v="186"/>
    <s v="G10-34010"/>
    <x v="4"/>
    <x v="1"/>
    <s v="B/F VALVE CI LUG TYPE 250MM DIA  PN 16"/>
    <s v="250mm"/>
    <n v="3"/>
    <s v="Nos"/>
    <s v="ADVANCE"/>
    <n v="13052"/>
    <n v="3.9156E-3"/>
    <m/>
  </r>
  <r>
    <n v="187"/>
    <s v="G10-34010"/>
    <x v="4"/>
    <x v="1"/>
    <s v="B/F VALVE CI LUG TYPE 200MM DIA  PN 16"/>
    <s v="200mm"/>
    <n v="2"/>
    <s v="Nos"/>
    <s v="ADVANCE"/>
    <n v="6311"/>
    <n v="1.2622E-3"/>
    <m/>
  </r>
  <r>
    <n v="188"/>
    <s v="G10-34010"/>
    <x v="4"/>
    <x v="1"/>
    <s v="Balancing Valve CI 65mm dia   PN16 FE"/>
    <s v="65mm"/>
    <n v="3"/>
    <s v="Nos"/>
    <s v="ADVANCE"/>
    <n v="5731"/>
    <n v="1.7193E-3"/>
    <m/>
  </r>
  <r>
    <n v="189"/>
    <s v="G10-34010"/>
    <x v="4"/>
    <x v="1"/>
    <s v="Balancing Valve CI 100mm dia   PN16 FE"/>
    <s v="100mm"/>
    <n v="2"/>
    <s v="Nos"/>
    <s v="ADVANCE"/>
    <n v="9419"/>
    <n v="1.8837999999999999E-3"/>
    <m/>
  </r>
  <r>
    <n v="190"/>
    <s v="G10-34010"/>
    <x v="4"/>
    <x v="1"/>
    <s v="Balancing Valve CI 80mm dia   PN16 FE"/>
    <s v="80mm"/>
    <n v="10"/>
    <s v="Nos"/>
    <s v="ADVANCE"/>
    <n v="6538"/>
    <n v="6.5380000000000004E-3"/>
    <m/>
  </r>
  <r>
    <n v="191"/>
    <s v="G10-34010"/>
    <x v="4"/>
    <x v="1"/>
    <s v="Balancing Valve CI 50 mm dia   PN16 FE"/>
    <s v="50mm"/>
    <n v="2"/>
    <s v="Nos"/>
    <s v="ADVANCE"/>
    <n v="5253"/>
    <n v="1.0506000000000001E-3"/>
    <m/>
  </r>
  <r>
    <n v="192"/>
    <s v="G10-34010"/>
    <x v="4"/>
    <x v="1"/>
    <s v="Balancing Valve CI 32 mm dia   PN16 FE"/>
    <s v="32mm"/>
    <n v="1"/>
    <s v="Nos"/>
    <s v="ADVANCE"/>
    <n v="3225"/>
    <n v="3.2249999999999998E-4"/>
    <m/>
  </r>
  <r>
    <n v="193"/>
    <s v="G10-34010"/>
    <x v="4"/>
    <x v="6"/>
    <s v="STRAINER Y FEPN16 MS SS SC 80 MM"/>
    <s v="80mm"/>
    <n v="2"/>
    <s v="Nos"/>
    <s v="Emerland"/>
    <n v="6440"/>
    <n v="1.2880000000000001E-3"/>
    <m/>
  </r>
  <r>
    <n v="194"/>
    <s v="G10-34010"/>
    <x v="4"/>
    <x v="6"/>
    <s v="STRAINER Y FEPN16 MS SS SC 65 MM"/>
    <s v="65mm"/>
    <n v="1"/>
    <s v="Nos"/>
    <s v="Emerland"/>
    <n v="4665"/>
    <n v="4.6650000000000001E-4"/>
    <m/>
  </r>
  <r>
    <n v="195"/>
    <s v="G10-34010"/>
    <x v="4"/>
    <x v="0"/>
    <s v="Pipe ERW MS 8MM Thk 300 mm Dia"/>
    <s v="300mm"/>
    <n v="15"/>
    <s v="Rmt"/>
    <s v="Jindal Hisar class,c"/>
    <n v="3721"/>
    <n v="5.5814999999999997E-3"/>
    <m/>
  </r>
  <r>
    <n v="196"/>
    <s v="G10-34010"/>
    <x v="4"/>
    <x v="0"/>
    <s v="Pipe ERW MS 8MM Thk 200 mm Dia"/>
    <s v="200mm"/>
    <n v="5"/>
    <s v="Rmt"/>
    <s v="Jindal Hisar class,c"/>
    <n v="2490"/>
    <n v="1.245E-3"/>
    <m/>
  </r>
  <r>
    <n v="197"/>
    <s v="G10-34010"/>
    <x v="4"/>
    <x v="0"/>
    <s v="Pipe ERW MS 8MM Thk 250 mm Dia"/>
    <s v="250mm"/>
    <n v="9"/>
    <s v="Rmt"/>
    <s v="Jindal Hisar class,c"/>
    <n v="3129"/>
    <n v="2.8161000000000002E-3"/>
    <m/>
  </r>
  <r>
    <n v="198"/>
    <s v="G10-34010"/>
    <x v="4"/>
    <x v="0"/>
    <s v="Pipe ERW MS Class C 50 mm Dia"/>
    <s v="50mm"/>
    <n v="15"/>
    <s v="Rmt"/>
    <s v="Jindal Hisar class,c"/>
    <n v="389"/>
    <n v="5.8350000000000003E-4"/>
    <m/>
  </r>
  <r>
    <n v="199"/>
    <s v="G10-34010"/>
    <x v="4"/>
    <x v="0"/>
    <s v="Pipe ERW MS Class C 65 mm Dia"/>
    <s v="65mm"/>
    <n v="12"/>
    <s v="Rmt"/>
    <s v="Jindal Hisar class,c"/>
    <n v="499"/>
    <n v="5.9880000000000003E-4"/>
    <m/>
  </r>
  <r>
    <n v="200"/>
    <s v="G10-34010"/>
    <x v="4"/>
    <x v="6"/>
    <s v="FIRE RATED INSULATION"/>
    <s v="1200X600"/>
    <n v="75"/>
    <s v="SQMT "/>
    <s v="ENERGY SAVING &amp; ALLIED PRODUCST"/>
    <n v="1068"/>
    <n v="8.0099999999999998E-3"/>
    <m/>
  </r>
  <r>
    <n v="201"/>
    <s v="G10-46003"/>
    <x v="5"/>
    <x v="6"/>
    <s v="Hose Box"/>
    <s v="600 x 600 mm"/>
    <n v="2"/>
    <s v="Nos"/>
    <s v="NewAge"/>
    <n v="4550"/>
    <n v="9.1E-4"/>
    <m/>
  </r>
  <r>
    <n v="202"/>
    <s v="G10-46003"/>
    <x v="5"/>
    <x v="6"/>
    <s v="Wall Mounted Fan"/>
    <s v="450mm 1 P"/>
    <n v="1"/>
    <s v="Nos"/>
    <s v="Bajaj"/>
    <n v="1600"/>
    <n v="1.6000000000000001E-4"/>
    <m/>
  </r>
  <r>
    <n v="203"/>
    <s v="G10-46003"/>
    <x v="5"/>
    <x v="6"/>
    <s v="Wall Mounted Fan - Exhaust"/>
    <s v="250 mm"/>
    <n v="2"/>
    <s v="Nos"/>
    <s v="almonard"/>
    <n v="1200"/>
    <n v="2.4000000000000001E-4"/>
    <m/>
  </r>
  <r>
    <n v="204"/>
    <s v="G10-46003"/>
    <x v="5"/>
    <x v="6"/>
    <s v="Wall Mounted Fan - Exhaust"/>
    <s v="DX 250"/>
    <n v="10"/>
    <s v="Nos"/>
    <s v="Bajaj"/>
    <n v="1000"/>
    <n v="1E-3"/>
    <m/>
  </r>
  <r>
    <n v="205"/>
    <s v="G10-46003"/>
    <x v="5"/>
    <x v="6"/>
    <s v="Back Box"/>
    <s v="3M"/>
    <n v="14"/>
    <s v="Nos"/>
    <s v="MK"/>
    <n v="36.409999999999997"/>
    <n v="5.0973999999999997E-5"/>
    <m/>
  </r>
  <r>
    <n v="206"/>
    <s v="G10-46003"/>
    <x v="5"/>
    <x v="6"/>
    <s v="Back Box"/>
    <s v="8M"/>
    <n v="29"/>
    <s v="Nos"/>
    <s v="MK"/>
    <n v="74.010000000000005"/>
    <n v="2.1462900000000001E-4"/>
    <m/>
  </r>
  <r>
    <n v="207"/>
    <s v="G10-46003"/>
    <x v="5"/>
    <x v="6"/>
    <s v="Back Box"/>
    <s v="8M"/>
    <n v="50"/>
    <s v="Nos"/>
    <s v="Honeywell"/>
    <n v="74.010000000000005"/>
    <n v="3.7005000000000002E-4"/>
    <m/>
  </r>
  <r>
    <n v="208"/>
    <s v="G10-46003"/>
    <x v="5"/>
    <x v="6"/>
    <s v="Back Box"/>
    <s v="12M"/>
    <n v="20"/>
    <s v="Nos"/>
    <s v="MK"/>
    <n v="103.21"/>
    <n v="2.0641999999999999E-4"/>
    <m/>
  </r>
  <r>
    <n v="209"/>
    <s v="G10-46003"/>
    <x v="5"/>
    <x v="6"/>
    <s v="Back Box"/>
    <s v="12M"/>
    <n v="10"/>
    <s v="Nos"/>
    <s v="Honeywell"/>
    <n v="103.21"/>
    <n v="1.0321E-4"/>
    <m/>
  </r>
  <r>
    <n v="210"/>
    <s v="G10-46003"/>
    <x v="5"/>
    <x v="6"/>
    <s v="Back Box"/>
    <s v="1/2 M"/>
    <n v="37"/>
    <s v="Nos"/>
    <s v="Honeywell"/>
    <n v="25.2"/>
    <n v="9.3239999999999995E-5"/>
    <m/>
  </r>
  <r>
    <n v="211"/>
    <s v="G10-46003"/>
    <x v="5"/>
    <x v="6"/>
    <s v="front plate"/>
    <s v="1m"/>
    <n v="48"/>
    <s v="Nos"/>
    <s v="Honeywell"/>
    <n v="40.119999999999997"/>
    <n v="1.9257599999999997E-4"/>
    <m/>
  </r>
  <r>
    <n v="212"/>
    <s v="G10-46003"/>
    <x v="5"/>
    <x v="6"/>
    <s v="front plate"/>
    <s v="2m"/>
    <n v="47"/>
    <s v="Nos"/>
    <s v="Honeywell"/>
    <n v="40.119999999999997"/>
    <n v="1.8856399999999998E-4"/>
    <m/>
  </r>
  <r>
    <n v="213"/>
    <s v="G10-46003"/>
    <x v="5"/>
    <x v="6"/>
    <s v="front plate"/>
    <s v="3M"/>
    <n v="56"/>
    <s v="Nos"/>
    <s v="Honeywell"/>
    <n v="40.119999999999997"/>
    <n v="2.2467199999999998E-4"/>
    <m/>
  </r>
  <r>
    <n v="214"/>
    <s v="G10-46003"/>
    <x v="5"/>
    <x v="6"/>
    <s v="front plate"/>
    <s v="4M"/>
    <n v="32"/>
    <s v="Nos"/>
    <s v="Honeywell"/>
    <n v="53.04"/>
    <n v="1.6972799999999999E-4"/>
    <m/>
  </r>
  <r>
    <n v="215"/>
    <s v="G10-46003"/>
    <x v="5"/>
    <x v="6"/>
    <s v="front plate"/>
    <s v="6M"/>
    <n v="56"/>
    <s v="Nos"/>
    <s v="Honeywell"/>
    <n v="87.04"/>
    <n v="4.8742400000000008E-4"/>
    <m/>
  </r>
  <r>
    <n v="216"/>
    <s v="G10-46003"/>
    <x v="5"/>
    <x v="6"/>
    <s v="front plate"/>
    <s v="12m"/>
    <n v="24"/>
    <s v="Nos"/>
    <s v="Honeywell"/>
    <n v="142.12"/>
    <n v="3.4108800000000002E-4"/>
    <m/>
  </r>
  <r>
    <n v="217"/>
    <s v="G10-46003"/>
    <x v="5"/>
    <x v="6"/>
    <s v="3 pin socket"/>
    <s v="6/16 A"/>
    <n v="50"/>
    <s v="Nos"/>
    <s v="Honeywell"/>
    <n v="22"/>
    <n v="1.1E-4"/>
    <m/>
  </r>
  <r>
    <n v="218"/>
    <s v="G10-46003"/>
    <x v="5"/>
    <x v="6"/>
    <s v="Termination Box"/>
    <s v="TPN 6WAY"/>
    <n v="2"/>
    <s v="Nos"/>
    <s v="L &amp; T"/>
    <n v="680"/>
    <n v="1.36E-4"/>
    <m/>
  </r>
  <r>
    <n v="219"/>
    <s v="G10-46003"/>
    <x v="5"/>
    <x v="6"/>
    <s v="Termination Box"/>
    <s v="TPN 4WAY"/>
    <n v="3"/>
    <s v="Nos"/>
    <s v="L &amp; T"/>
    <n v="540"/>
    <n v="1.6200000000000001E-4"/>
    <m/>
  </r>
  <r>
    <n v="220"/>
    <s v="G10-46003"/>
    <x v="5"/>
    <x v="6"/>
    <s v="Termination Box"/>
    <s v="TPN 8WAY"/>
    <n v="9"/>
    <s v="Nos"/>
    <s v="L &amp; T"/>
    <n v="863"/>
    <n v="7.7669999999999996E-4"/>
    <m/>
  </r>
  <r>
    <n v="221"/>
    <s v="G10-46003"/>
    <x v="5"/>
    <x v="6"/>
    <s v="Termination Box"/>
    <s v="SPN 8WAY"/>
    <n v="1"/>
    <s v="Nos"/>
    <s v="L &amp; T"/>
    <n v="458.25"/>
    <n v="4.5825000000000003E-5"/>
    <m/>
  </r>
  <r>
    <n v="222"/>
    <s v="G10-46003"/>
    <x v="5"/>
    <x v="6"/>
    <s v="VDB"/>
    <s v="VTPN 8WAY 250A MCCB DD"/>
    <n v="3"/>
    <s v="Nos"/>
    <s v="L &amp; T"/>
    <n v="18781.39"/>
    <n v="5.6344170000000001E-3"/>
    <m/>
  </r>
  <r>
    <n v="223"/>
    <s v="G10-46003"/>
    <x v="5"/>
    <x v="10"/>
    <s v="MCB"/>
    <s v="10A SP"/>
    <n v="81"/>
    <s v="Nos"/>
    <s v="L &amp; T"/>
    <n v="88"/>
    <n v="7.1279999999999998E-4"/>
    <m/>
  </r>
  <r>
    <n v="224"/>
    <s v="G10-46003"/>
    <x v="5"/>
    <x v="10"/>
    <s v="MCB"/>
    <s v="16A SP"/>
    <n v="2"/>
    <s v="Nos"/>
    <s v="L &amp; T"/>
    <n v="209"/>
    <n v="4.18E-5"/>
    <m/>
  </r>
  <r>
    <n v="225"/>
    <s v="G10-46003"/>
    <x v="5"/>
    <x v="10"/>
    <s v="MCB"/>
    <s v="25A SP"/>
    <n v="1"/>
    <s v="Nos"/>
    <s v="L &amp; T"/>
    <n v="215"/>
    <n v="2.1500000000000001E-5"/>
    <m/>
  </r>
  <r>
    <n v="226"/>
    <s v="G10-46003"/>
    <x v="5"/>
    <x v="10"/>
    <s v="MCB"/>
    <s v="40A SP"/>
    <n v="2"/>
    <s v="Nos"/>
    <s v="L &amp; T"/>
    <n v="342"/>
    <n v="6.8399999999999996E-5"/>
    <m/>
  </r>
  <r>
    <n v="227"/>
    <s v="G10-46003"/>
    <x v="5"/>
    <x v="10"/>
    <s v="MCB"/>
    <s v="25A 3P"/>
    <n v="6"/>
    <s v="Nos"/>
    <s v="L &amp; T"/>
    <n v="215"/>
    <n v="1.2899999999999999E-4"/>
    <m/>
  </r>
  <r>
    <n v="228"/>
    <s v="G10-46003"/>
    <x v="5"/>
    <x v="10"/>
    <s v="MCB"/>
    <s v="32A 3P"/>
    <n v="9"/>
    <s v="Nos"/>
    <s v="L &amp; T"/>
    <n v="434"/>
    <n v="3.9060000000000001E-4"/>
    <m/>
  </r>
  <r>
    <n v="229"/>
    <s v="G10-46003"/>
    <x v="5"/>
    <x v="10"/>
    <s v="MCB"/>
    <s v="40A 3P"/>
    <n v="6"/>
    <s v="Nos"/>
    <s v="L &amp; T"/>
    <n v="628"/>
    <n v="3.768E-4"/>
    <m/>
  </r>
  <r>
    <n v="230"/>
    <s v="G10-46003"/>
    <x v="5"/>
    <x v="10"/>
    <s v="MCB"/>
    <s v="63A 3P"/>
    <n v="3"/>
    <s v="Nos"/>
    <s v="L &amp; T"/>
    <n v="628"/>
    <n v="1.884E-4"/>
    <m/>
  </r>
  <r>
    <n v="231"/>
    <s v="G10-46003"/>
    <x v="5"/>
    <x v="10"/>
    <s v="MCCB"/>
    <s v="63A 4P"/>
    <n v="4"/>
    <s v="Nos"/>
    <s v="L &amp; T"/>
    <n v="1860"/>
    <n v="7.4399999999999998E-4"/>
    <m/>
  </r>
  <r>
    <n v="232"/>
    <s v="G10-46003"/>
    <x v="5"/>
    <x v="10"/>
    <s v="MCCB"/>
    <s v="80A 4P"/>
    <n v="2"/>
    <s v="Nos"/>
    <s v="L &amp; T"/>
    <n v="2130"/>
    <n v="4.26E-4"/>
    <m/>
  </r>
  <r>
    <n v="233"/>
    <s v="G10-46003"/>
    <x v="5"/>
    <x v="10"/>
    <s v="MCCB"/>
    <s v="100A 4P"/>
    <n v="1"/>
    <s v="Nos"/>
    <s v="L &amp; T"/>
    <n v="3250"/>
    <n v="3.2499999999999999E-4"/>
    <m/>
  </r>
  <r>
    <n v="234"/>
    <s v="G10-46003"/>
    <x v="5"/>
    <x v="10"/>
    <s v="MCCB"/>
    <s v="125A 4P"/>
    <n v="4"/>
    <s v="Nos"/>
    <s v="L &amp; T"/>
    <n v="3250"/>
    <n v="1.2999999999999999E-3"/>
    <m/>
  </r>
  <r>
    <n v="235"/>
    <s v="G10-46003"/>
    <x v="5"/>
    <x v="10"/>
    <s v="MCCB"/>
    <s v="200A 4P"/>
    <n v="1"/>
    <s v="Nos"/>
    <s v="L &amp; T"/>
    <n v="3250"/>
    <n v="3.2499999999999999E-4"/>
    <m/>
  </r>
  <r>
    <n v="236"/>
    <s v="G10-46003"/>
    <x v="5"/>
    <x v="6"/>
    <s v="RCCB"/>
    <s v="100 mA 4P"/>
    <n v="1"/>
    <s v="Nos"/>
    <s v="L &amp; T"/>
    <n v="2136"/>
    <n v="2.1359999999999999E-4"/>
    <m/>
  </r>
  <r>
    <n v="237"/>
    <s v="G10-46003"/>
    <x v="5"/>
    <x v="6"/>
    <s v="LED Light"/>
    <s v="18W"/>
    <n v="5"/>
    <s v="Nos"/>
    <s v="Mollisi SMI"/>
    <n v="1100"/>
    <n v="5.5000000000000003E-4"/>
    <m/>
  </r>
  <r>
    <n v="238"/>
    <s v="G10-46003"/>
    <x v="5"/>
    <x v="6"/>
    <s v="Back Box - PVC"/>
    <s v="2 M"/>
    <n v="16"/>
    <s v="Nos"/>
    <s v="MK"/>
    <n v="34.4"/>
    <n v="5.5039999999999995E-5"/>
    <m/>
  </r>
  <r>
    <n v="239"/>
    <s v="G10-46003"/>
    <x v="5"/>
    <x v="6"/>
    <s v="Water Flow Switch"/>
    <s v="100 mm Dia"/>
    <n v="1"/>
    <s v="Nos"/>
    <s v="System Sensor"/>
    <n v="3852"/>
    <n v="3.8519999999999998E-4"/>
    <m/>
  </r>
  <r>
    <n v="240"/>
    <s v="G10-46003"/>
    <x v="5"/>
    <x v="6"/>
    <s v="Thermostat"/>
    <m/>
    <n v="7"/>
    <s v="Nos"/>
    <s v="Blue Star"/>
    <n v="550"/>
    <n v="3.8499999999999998E-4"/>
    <m/>
  </r>
  <r>
    <n v="241"/>
    <s v="G10-46003"/>
    <x v="5"/>
    <x v="6"/>
    <s v="Hooter"/>
    <m/>
    <n v="1"/>
    <s v="Nos"/>
    <s v="Siemens"/>
    <n v="4314"/>
    <n v="4.3140000000000002E-4"/>
    <m/>
  </r>
  <r>
    <n v="242"/>
    <s v="G10-46003"/>
    <x v="5"/>
    <x v="6"/>
    <s v="G I Pipe"/>
    <s v="200 mm Dia, 5.1 mm Wall thick."/>
    <n v="520"/>
    <s v="Mtr"/>
    <s v="Jindal Star"/>
    <n v="2855"/>
    <n v="0.14846000000000001"/>
    <m/>
  </r>
  <r>
    <n v="243"/>
    <s v="G10-46003"/>
    <x v="5"/>
    <x v="6"/>
    <s v="Ceiling Fan"/>
    <s v="1200 mm 1 Star"/>
    <n v="120"/>
    <s v="Nos"/>
    <s v="Bajaj"/>
    <n v="1200"/>
    <n v="1.44E-2"/>
    <m/>
  </r>
  <r>
    <n v="244"/>
    <s v="G10-46009"/>
    <x v="6"/>
    <x v="6"/>
    <s v="600 x 600 x 3 mm Cu. plate "/>
    <m/>
    <n v="2"/>
    <s v="Nos"/>
    <s v="OBO"/>
    <n v="582"/>
    <n v="1.164E-4"/>
    <m/>
  </r>
  <r>
    <n v="245"/>
    <s v="G10-46009"/>
    <x v="6"/>
    <x v="6"/>
    <s v="Cabinet type exhaust fan(1500 CFM)"/>
    <m/>
    <n v="1"/>
    <s v="Nos"/>
    <s v="Kruger"/>
    <n v="18839"/>
    <n v="1.8839E-3"/>
    <m/>
  </r>
  <r>
    <n v="247"/>
    <s v="G10-46009"/>
    <x v="6"/>
    <x v="6"/>
    <s v="Y strainer 200 mm dia"/>
    <m/>
    <n v="2"/>
    <s v="Nos"/>
    <s v="SANT"/>
    <n v="32010"/>
    <n v="6.4019999999999997E-3"/>
    <m/>
  </r>
  <r>
    <n v="248"/>
    <s v="G10-46009"/>
    <x v="6"/>
    <x v="6"/>
    <s v="Y strainer 100 mm dia"/>
    <m/>
    <n v="2"/>
    <s v="Nos"/>
    <s v="SANT"/>
    <n v="6296"/>
    <n v="1.2592E-3"/>
    <m/>
  </r>
  <r>
    <n v="249"/>
    <s v="G10-46009"/>
    <x v="6"/>
    <x v="1"/>
    <s v="Butter fly valve 300 mm dia"/>
    <m/>
    <n v="2"/>
    <s v="Nos"/>
    <s v="Advance "/>
    <n v="16874"/>
    <n v="3.3747999999999998E-3"/>
    <m/>
  </r>
  <r>
    <n v="250"/>
    <s v="G10-46009"/>
    <x v="6"/>
    <x v="1"/>
    <s v="Butter fly valve 250 mm dia"/>
    <m/>
    <n v="3"/>
    <s v="Nos"/>
    <s v="Advance "/>
    <n v="12235"/>
    <n v="3.6705000000000002E-3"/>
    <m/>
  </r>
  <r>
    <n v="251"/>
    <s v="G10-46009"/>
    <x v="6"/>
    <x v="1"/>
    <s v="Butter fly valve 125 mm dia"/>
    <m/>
    <n v="3"/>
    <s v="Nos"/>
    <s v="Advance "/>
    <n v="3456"/>
    <n v="1.0368E-3"/>
    <m/>
  </r>
  <r>
    <n v="252"/>
    <s v="G10-46009"/>
    <x v="6"/>
    <x v="1"/>
    <s v="Butter fly valve 100 mm dia"/>
    <m/>
    <n v="2"/>
    <s v="Nos"/>
    <s v="Advance "/>
    <n v="2865"/>
    <n v="5.7300000000000005E-4"/>
    <m/>
  </r>
  <r>
    <n v="253"/>
    <s v="G10-46009"/>
    <x v="6"/>
    <x v="6"/>
    <s v="Butter fly valve 100 mm dia"/>
    <m/>
    <n v="7"/>
    <s v="Nos"/>
    <s v="AUDCO"/>
    <n v="2650"/>
    <n v="1.8550000000000001E-3"/>
    <m/>
  </r>
  <r>
    <n v="254"/>
    <s v="G10-46009"/>
    <x v="6"/>
    <x v="6"/>
    <s v="Water meter (Brass type) 25mm dia"/>
    <m/>
    <n v="2"/>
    <s v="Nos"/>
    <s v="Kranti"/>
    <n v="4200"/>
    <n v="8.4000000000000003E-4"/>
    <m/>
  </r>
  <r>
    <n v="255"/>
    <s v="G10-46012"/>
    <x v="7"/>
    <x v="6"/>
    <s v="6 ''   FLOW SWITCH"/>
    <m/>
    <n v="7"/>
    <s v="Nos"/>
    <s v="System Sensor"/>
    <n v="4070"/>
    <n v="2.849E-3"/>
    <m/>
  </r>
  <r>
    <n v="256"/>
    <s v="G10-46012"/>
    <x v="7"/>
    <x v="6"/>
    <s v="ORIFACE  PLATE"/>
    <m/>
    <n v="3"/>
    <s v="Nos"/>
    <m/>
    <n v="949.96"/>
    <n v="2.8498800000000002E-4"/>
    <m/>
  </r>
  <r>
    <n v="257"/>
    <s v="G10-46012"/>
    <x v="7"/>
    <x v="6"/>
    <s v="FLEXIBLE SPRINCKLER CONNECTION 1000 MM"/>
    <m/>
    <n v="65"/>
    <s v="Nos"/>
    <s v="NewAge"/>
    <n v="810"/>
    <n v="5.2649999999999997E-3"/>
    <m/>
  </r>
  <r>
    <n v="258"/>
    <s v="G10-46012"/>
    <x v="7"/>
    <x v="6"/>
    <s v="UPRIGHT SPRINCKLER"/>
    <m/>
    <n v="60"/>
    <s v="Nos"/>
    <s v="NewAge"/>
    <n v="150"/>
    <n v="8.9999999999999998E-4"/>
    <m/>
  </r>
  <r>
    <n v="259"/>
    <s v="G10-46012"/>
    <x v="7"/>
    <x v="6"/>
    <s v="PENDANT SPRINCKLER"/>
    <m/>
    <n v="23"/>
    <s v="Nos"/>
    <s v="NewAge"/>
    <n v="150"/>
    <n v="3.4499999999999998E-4"/>
    <m/>
  </r>
  <r>
    <n v="260"/>
    <s v="G10-46012"/>
    <x v="7"/>
    <x v="6"/>
    <s v="SIDE WALL SPRINCKLER"/>
    <m/>
    <n v="27"/>
    <s v="Nos"/>
    <s v="NewAge"/>
    <n v="160"/>
    <n v="4.3199999999999998E-4"/>
    <m/>
  </r>
  <r>
    <n v="261"/>
    <s v="G10-46012"/>
    <x v="7"/>
    <x v="1"/>
    <s v="DUAL PLATE CHECK VALVE  65 MM"/>
    <m/>
    <n v="1"/>
    <s v="Nos"/>
    <s v="LEHRY"/>
    <n v="3372.35"/>
    <n v="3.3723499999999997E-4"/>
    <m/>
  </r>
  <r>
    <n v="262"/>
    <s v="G10-46012"/>
    <x v="7"/>
    <x v="1"/>
    <s v="DUAL PLATE CHECK VALVE  50 MM"/>
    <m/>
    <n v="2"/>
    <s v="Nos"/>
    <s v="LEHRY"/>
    <n v="1462.06"/>
    <n v="2.9241199999999998E-4"/>
    <m/>
  </r>
  <r>
    <n v="263"/>
    <s v="G10-46012"/>
    <x v="7"/>
    <x v="4"/>
    <s v="CI  COUPLING 100 MM"/>
    <m/>
    <n v="12"/>
    <s v="Nos"/>
    <s v="Neco"/>
    <n v="313.45999999999998"/>
    <n v="3.7615199999999993E-4"/>
    <m/>
  </r>
  <r>
    <n v="264"/>
    <s v="G10-46012"/>
    <x v="7"/>
    <x v="4"/>
    <s v="CI  COUPLING   75 MM"/>
    <m/>
    <n v="40"/>
    <s v="Nos"/>
    <s v="Neco"/>
    <n v="321.89999999999998"/>
    <n v="1.2876000000000001E-3"/>
    <m/>
  </r>
  <r>
    <n v="265"/>
    <s v="G10-46012"/>
    <x v="7"/>
    <x v="0"/>
    <s v="CPVC PIPE  3''  SCH40  80   MM"/>
    <m/>
    <n v="135"/>
    <s v="Mtr"/>
    <s v="TRUFLO"/>
    <n v="775.33"/>
    <n v="1.0466955E-2"/>
    <m/>
  </r>
  <r>
    <n v="266"/>
    <s v="G10-46012"/>
    <x v="7"/>
    <x v="0"/>
    <s v="CPVC PIPE  2''  11SDR  50   MM"/>
    <m/>
    <n v="402"/>
    <s v="Mtr"/>
    <s v="TRUFLO"/>
    <n v="330.98"/>
    <n v="1.3305396000000002E-2"/>
    <m/>
  </r>
  <r>
    <n v="267"/>
    <s v="G10-46012"/>
    <x v="7"/>
    <x v="6"/>
    <s v="1''  FTA"/>
    <m/>
    <n v="4"/>
    <s v="Nos"/>
    <s v="TRUFLO"/>
    <n v="198.77"/>
    <n v="7.9507999999999998E-5"/>
    <m/>
  </r>
  <r>
    <n v="268"/>
    <s v="G10-46012"/>
    <x v="7"/>
    <x v="3"/>
    <s v="CPVC  4 ''  ELBOW "/>
    <m/>
    <n v="2"/>
    <s v="Nos"/>
    <s v="TRUFLO"/>
    <n v="1595.78"/>
    <n v="3.1915600000000002E-4"/>
    <m/>
  </r>
  <r>
    <n v="269"/>
    <s v="G10-46012"/>
    <x v="7"/>
    <x v="8"/>
    <s v="CPVC  4''  FLANGE"/>
    <m/>
    <n v="1"/>
    <s v="Nos"/>
    <s v="TRUFLO"/>
    <n v="1059.3800000000001"/>
    <n v="1.0593800000000001E-4"/>
    <m/>
  </r>
  <r>
    <n v="270"/>
    <s v="G10-46012"/>
    <x v="7"/>
    <x v="1"/>
    <s v="80 MM  BUTTERFLY VALVE"/>
    <m/>
    <n v="1"/>
    <s v="Nos"/>
    <s v="L&amp;T"/>
    <n v="2043"/>
    <n v="2.0430000000000001E-4"/>
    <m/>
  </r>
  <r>
    <n v="271"/>
    <s v="G10-46012"/>
    <x v="7"/>
    <x v="6"/>
    <s v="6W    TPN DB"/>
    <m/>
    <n v="3"/>
    <s v="Nos"/>
    <s v="VGUARD"/>
    <n v="3561.02"/>
    <n v="1.068306E-3"/>
    <m/>
  </r>
  <r>
    <n v="272"/>
    <s v="G10-46012"/>
    <x v="7"/>
    <x v="6"/>
    <s v="8W    TPN DB"/>
    <m/>
    <n v="1"/>
    <s v="Nos"/>
    <s v="VGUARD"/>
    <n v="3877.12"/>
    <n v="3.8771199999999996E-4"/>
    <m/>
  </r>
  <r>
    <n v="273"/>
    <s v="G10-46012"/>
    <x v="7"/>
    <x v="6"/>
    <s v="25A  DP MCB"/>
    <m/>
    <n v="12"/>
    <s v="Nos"/>
    <s v="VGUARD"/>
    <n v="612.26"/>
    <n v="7.34712E-4"/>
    <m/>
  </r>
  <r>
    <n v="274"/>
    <s v="G10-46012"/>
    <x v="7"/>
    <x v="6"/>
    <s v="40A  30MA  2P  RCCB"/>
    <m/>
    <n v="3"/>
    <s v="Nos"/>
    <s v="VGUARD"/>
    <n v="1136.32"/>
    <n v="3.4089599999999998E-4"/>
    <m/>
  </r>
  <r>
    <n v="275"/>
    <s v="G10-46012"/>
    <x v="7"/>
    <x v="6"/>
    <s v="63A  100MA  4P  RCCB"/>
    <m/>
    <n v="4"/>
    <s v="Nos"/>
    <s v="VGUARD"/>
    <n v="3033"/>
    <n v="1.2132E-3"/>
    <m/>
  </r>
  <r>
    <n v="276"/>
    <s v="G10-46012"/>
    <x v="7"/>
    <x v="6"/>
    <s v="external weather proof box     300 x 300"/>
    <m/>
    <n v="2"/>
    <s v="Nos"/>
    <m/>
    <n v="4225.8999999999996"/>
    <n v="8.4517999999999995E-4"/>
    <m/>
  </r>
  <r>
    <n v="277"/>
    <s v="G10-46012"/>
    <x v="7"/>
    <x v="6"/>
    <s v="external weather proof box     150 x 300"/>
    <m/>
    <n v="1"/>
    <s v="Nos"/>
    <m/>
    <n v="4225.8999999999996"/>
    <n v="4.2258999999999998E-4"/>
    <m/>
  </r>
  <r>
    <n v="278"/>
    <s v="G10-46012"/>
    <x v="7"/>
    <x v="6"/>
    <s v="8M   COVER PLATE"/>
    <m/>
    <n v="180"/>
    <s v="Nos"/>
    <s v="VGUARD"/>
    <n v="122"/>
    <n v="2.196E-3"/>
    <m/>
  </r>
  <r>
    <n v="279"/>
    <s v="G10-46012"/>
    <x v="7"/>
    <x v="6"/>
    <s v="6M   COVER PLATE"/>
    <m/>
    <n v="33"/>
    <s v="Nos"/>
    <s v="VGUARD"/>
    <n v="85"/>
    <n v="2.8049999999999999E-4"/>
    <m/>
  </r>
  <r>
    <n v="280"/>
    <s v="G10-46012"/>
    <x v="7"/>
    <x v="6"/>
    <s v="2M   COVER PLATE"/>
    <m/>
    <n v="10"/>
    <s v="Nos"/>
    <s v="VGUARD"/>
    <n v="50.15"/>
    <n v="5.0149999999999999E-5"/>
    <m/>
  </r>
  <r>
    <n v="281"/>
    <s v="G10-46012"/>
    <x v="7"/>
    <x v="6"/>
    <s v="1M   COVER PLATE"/>
    <m/>
    <n v="400"/>
    <s v="Nos"/>
    <s v="VGUARD"/>
    <n v="50.15"/>
    <n v="2.006E-3"/>
    <m/>
  </r>
  <r>
    <n v="282"/>
    <s v="G10-46012"/>
    <x v="7"/>
    <x v="7"/>
    <s v="6/16A  SHUTTER TYPE SOCKET"/>
    <m/>
    <n v="240"/>
    <s v="Nos"/>
    <s v="VGUARD"/>
    <n v="138"/>
    <n v="3.3119999999999998E-3"/>
    <m/>
  </r>
  <r>
    <n v="283"/>
    <s v="G10-46012"/>
    <x v="7"/>
    <x v="7"/>
    <s v="6A  3 PIN SOCKET"/>
    <m/>
    <n v="70"/>
    <s v="Nos"/>
    <s v="VGUARD"/>
    <n v="77"/>
    <n v="5.3899999999999998E-4"/>
    <m/>
  </r>
  <r>
    <n v="284"/>
    <s v="G10-46012"/>
    <x v="7"/>
    <x v="6"/>
    <s v="10A  1 WAY  SWITCH"/>
    <m/>
    <n v="55"/>
    <s v="Nos"/>
    <s v="VGUARD"/>
    <n v="47"/>
    <n v="2.5849999999999999E-4"/>
    <m/>
  </r>
  <r>
    <n v="285"/>
    <s v="G10-46012"/>
    <x v="7"/>
    <x v="6"/>
    <s v="8M   METAL   BOX"/>
    <m/>
    <n v="25"/>
    <s v="Nos"/>
    <s v="VGUARD"/>
    <n v="85"/>
    <n v="2.1249999999999999E-4"/>
    <m/>
  </r>
  <r>
    <n v="286"/>
    <s v="G10-46012"/>
    <x v="7"/>
    <x v="6"/>
    <s v="6M   METAL   BOX"/>
    <m/>
    <n v="66"/>
    <s v="Nos"/>
    <s v="VGUARD"/>
    <n v="66"/>
    <n v="4.3560000000000002E-4"/>
    <m/>
  </r>
  <r>
    <n v="287"/>
    <s v="G10-46012"/>
    <x v="7"/>
    <x v="6"/>
    <s v="4M   METAL   BOX"/>
    <m/>
    <n v="30"/>
    <s v="Nos"/>
    <s v="VGUARD"/>
    <n v="52"/>
    <n v="1.56E-4"/>
    <m/>
  </r>
  <r>
    <n v="288"/>
    <s v="G10-46012"/>
    <x v="7"/>
    <x v="6"/>
    <s v="3M   METAL BOX"/>
    <m/>
    <n v="210"/>
    <s v="Nos"/>
    <s v="VGUARD"/>
    <n v="42"/>
    <n v="8.8199999999999997E-4"/>
    <m/>
  </r>
  <r>
    <n v="289"/>
    <s v="G10-46012"/>
    <x v="7"/>
    <x v="6"/>
    <s v="3M   METAL BOX"/>
    <m/>
    <n v="88"/>
    <s v="Nos"/>
    <s v="SCHNEIDER"/>
    <n v="42"/>
    <n v="3.6959999999999998E-4"/>
    <m/>
  </r>
  <r>
    <n v="290"/>
    <s v="G10-46012"/>
    <x v="7"/>
    <x v="6"/>
    <s v="A9HKS316 -  16A  3P  ACT  9  P&amp;S  PROVISION"/>
    <m/>
    <n v="1"/>
    <s v="Nos"/>
    <s v="SCHNEIDER"/>
    <n v="847.11"/>
    <n v="8.4710999999999996E-5"/>
    <m/>
  </r>
  <r>
    <n v="291"/>
    <s v="G10-46012"/>
    <x v="7"/>
    <x v="6"/>
    <s v="PKF16F423 - PANEL SOCKET 16/2"/>
    <m/>
    <n v="1"/>
    <s v="Nos"/>
    <s v="SCHNEIDER"/>
    <n v="351.19"/>
    <n v="3.5119E-5"/>
    <m/>
  </r>
  <r>
    <n v="292"/>
    <s v="G10-46012"/>
    <x v="7"/>
    <x v="6"/>
    <s v="A9HKS332 -  32A  3P  ACT  9  P&amp;S  PROVISION"/>
    <m/>
    <n v="3"/>
    <s v="Nos"/>
    <s v="SCHNEIDER"/>
    <n v="1449.77"/>
    <n v="4.3493099999999995E-4"/>
    <m/>
  </r>
  <r>
    <n v="293"/>
    <s v="G10-46012"/>
    <x v="7"/>
    <x v="6"/>
    <s v="A9KF71232 - MCB 2P 32A"/>
    <m/>
    <n v="3"/>
    <s v="Nos"/>
    <s v="SCHNEIDER"/>
    <n v="357.03"/>
    <n v="1.0710899999999999E-4"/>
    <m/>
  </r>
  <r>
    <n v="294"/>
    <s v="G10-46012"/>
    <x v="7"/>
    <x v="6"/>
    <s v="PKF32F434  PANEL SOCKET  ANGLED"/>
    <m/>
    <n v="3"/>
    <s v="Nos"/>
    <s v="SCHNEIDER"/>
    <n v="655.69"/>
    <n v="1.9670700000000001E-4"/>
    <m/>
  </r>
  <r>
    <n v="295"/>
    <s v="G10-46012"/>
    <x v="7"/>
    <x v="6"/>
    <s v="PKF32F434  PANEL SOCKET  ANGLED"/>
    <m/>
    <n v="2"/>
    <s v="Nos"/>
    <s v="SCHNEIDER"/>
    <n v="655.69"/>
    <n v="1.3113800000000002E-4"/>
    <m/>
  </r>
  <r>
    <n v="296"/>
    <s v="G10-46012"/>
    <x v="7"/>
    <x v="6"/>
    <s v="A9HKS332 -  32A  3P  ACT  9  P&amp;S  PROVISION"/>
    <m/>
    <n v="2"/>
    <s v="Nos"/>
    <s v="SCHNEIDER"/>
    <n v="1449.77"/>
    <n v="2.8995399999999998E-4"/>
    <m/>
  </r>
  <r>
    <n v="297"/>
    <s v="G10-46012"/>
    <x v="7"/>
    <x v="6"/>
    <s v="25A  2P  MCB"/>
    <m/>
    <n v="2"/>
    <s v="Nos"/>
    <s v="SCHNEIDER"/>
    <n v="357.03"/>
    <n v="7.1406E-5"/>
    <m/>
  </r>
  <r>
    <n v="298"/>
    <s v="G10-46012"/>
    <x v="7"/>
    <x v="6"/>
    <s v="A9HKS332 -  32A  3P  ACT  9  P&amp;S  PROVISION"/>
    <m/>
    <n v="3"/>
    <s v="Nos"/>
    <s v="SCHNEIDER"/>
    <n v="1449.77"/>
    <n v="4.3493099999999995E-4"/>
    <m/>
  </r>
  <r>
    <n v="299"/>
    <s v="G10-46012"/>
    <x v="7"/>
    <x v="6"/>
    <s v="     - 32A 4P  MCB"/>
    <m/>
    <n v="3"/>
    <s v="Nos"/>
    <s v="SCHNEIDER"/>
    <n v="579.73"/>
    <n v="1.73919E-4"/>
    <m/>
  </r>
  <r>
    <n v="300"/>
    <s v="G10-46012"/>
    <x v="7"/>
    <x v="6"/>
    <s v="PKF32F434  PANEL SOCKET  ANGLED"/>
    <m/>
    <n v="3"/>
    <s v="Nos"/>
    <s v="SCHNEIDER"/>
    <n v="655.69"/>
    <n v="1.9670700000000001E-4"/>
    <m/>
  </r>
  <r>
    <n v="301"/>
    <s v="G10-46012"/>
    <x v="7"/>
    <x v="6"/>
    <s v="A9KF71440   MCB  4P  40 A"/>
    <m/>
    <n v="1"/>
    <s v="Nos"/>
    <s v="SCHNEIDER"/>
    <n v="1133.96"/>
    <n v="1.1339600000000001E-4"/>
    <m/>
  </r>
  <r>
    <n v="302"/>
    <s v="G10-46012"/>
    <x v="7"/>
    <x v="6"/>
    <s v="81283 - SOCLE  PRISE  ENC. INC  63A  3 PNT"/>
    <m/>
    <n v="1"/>
    <s v="Nos"/>
    <s v="SCHNEIDER"/>
    <n v="2767.64"/>
    <n v="2.7676399999999998E-4"/>
    <m/>
  </r>
  <r>
    <n v="303"/>
    <s v="G10-46012"/>
    <x v="7"/>
    <x v="6"/>
    <s v="A9HKS563  - 5P  63A  Acti  9 Provision"/>
    <m/>
    <n v="1"/>
    <s v="Nos"/>
    <s v="SCHNEIDER"/>
    <n v="3359.53"/>
    <n v="3.35953E-4"/>
    <m/>
  </r>
  <r>
    <n v="304"/>
    <s v="G10-46012"/>
    <x v="7"/>
    <x v="6"/>
    <s v="A9HKS563  - 5P  63A  Acti  9 Provision"/>
    <m/>
    <n v="7"/>
    <s v="Nos"/>
    <s v="SCHNEIDER"/>
    <n v="3359.53"/>
    <n v="2.3516710000000005E-3"/>
    <m/>
  </r>
  <r>
    <n v="305"/>
    <s v="G10-46012"/>
    <x v="7"/>
    <x v="6"/>
    <s v="A9HK71263  63 A  2P  MCB"/>
    <m/>
    <n v="6"/>
    <s v="Nos"/>
    <s v="SCHNEIDER"/>
    <n v="610.4"/>
    <n v="3.6623999999999999E-4"/>
    <m/>
  </r>
  <r>
    <n v="306"/>
    <s v="G10-46012"/>
    <x v="7"/>
    <x v="6"/>
    <s v="81278  SOCLE  PRISE ENC 63A  2PT"/>
    <m/>
    <n v="7"/>
    <s v="Nos"/>
    <s v="SCHNEIDER"/>
    <n v="2767.64"/>
    <n v="1.937348E-3"/>
    <m/>
  </r>
  <r>
    <n v="307"/>
    <s v="G10-46012"/>
    <x v="7"/>
    <x v="6"/>
    <s v="A9HKS563  - 5P  63A  Acti  9 Provision"/>
    <m/>
    <n v="5"/>
    <s v="Nos"/>
    <s v="SCHNEIDER"/>
    <n v="3359.53"/>
    <n v="1.6797650000000002E-3"/>
    <m/>
  </r>
  <r>
    <n v="308"/>
    <s v="G10-46012"/>
    <x v="7"/>
    <x v="6"/>
    <s v="81283  SOCLE PRISE  ENC 63A 3 PNT"/>
    <m/>
    <n v="5"/>
    <s v="Nos"/>
    <s v="SCHNEIDER"/>
    <n v="2767.64"/>
    <n v="1.3838199999999998E-3"/>
    <m/>
  </r>
  <r>
    <n v="309"/>
    <s v="G10-46012"/>
    <x v="7"/>
    <x v="6"/>
    <s v="13442  -  6 M   MINI  KAEDRA  "/>
    <m/>
    <n v="1"/>
    <s v="Nos"/>
    <s v="SCHNEIDER"/>
    <n v="2773.59"/>
    <n v="2.7735900000000003E-4"/>
    <m/>
  </r>
  <r>
    <n v="310"/>
    <s v="G10-46012"/>
    <x v="7"/>
    <x v="6"/>
    <s v="A9N18374  -  4P  100 A   415V   MCB"/>
    <m/>
    <n v="1"/>
    <s v="Nos"/>
    <s v="SCHNEIDER"/>
    <n v="9988.4500000000007"/>
    <n v="9.9884500000000016E-4"/>
    <m/>
  </r>
  <r>
    <n v="311"/>
    <s v="G10-46012"/>
    <x v="7"/>
    <x v="6"/>
    <s v="125A  INDUSTRIAL SOCKET"/>
    <m/>
    <n v="1"/>
    <s v="Nos"/>
    <s v="SCHNEIDER"/>
    <n v="13210.99"/>
    <n v="1.3210990000000001E-3"/>
    <m/>
  </r>
  <r>
    <n v="312"/>
    <s v="G10-46012"/>
    <x v="7"/>
    <x v="11"/>
    <s v="3.5C  X  70 SQ.MM  AL  AR. CABLE"/>
    <m/>
    <n v="184"/>
    <s v="Mtr"/>
    <s v="POLYCAB"/>
    <n v="295"/>
    <n v="5.4279999999999997E-3"/>
    <m/>
  </r>
  <r>
    <n v="313"/>
    <s v="G10-46012"/>
    <x v="7"/>
    <x v="11"/>
    <s v="3.5C  X  50 SQ.MM  AL  AR. CABLE"/>
    <m/>
    <n v="190"/>
    <s v="Mtr"/>
    <s v="POLYCAB"/>
    <n v="214"/>
    <n v="4.0660000000000002E-3"/>
    <m/>
  </r>
  <r>
    <n v="314"/>
    <s v="G10-46012"/>
    <x v="7"/>
    <x v="11"/>
    <s v="3C  X  16 SQ. MM CU AR. CABLE"/>
    <m/>
    <n v="573"/>
    <s v="Mtr"/>
    <s v="POLYCAB"/>
    <n v="443"/>
    <n v="2.5383900000000001E-2"/>
    <m/>
  </r>
  <r>
    <n v="315"/>
    <s v="G10-46012"/>
    <x v="7"/>
    <x v="11"/>
    <s v="3C  X 10 SQ. MM  CU  AR. CABLE"/>
    <m/>
    <n v="131"/>
    <s v="Mtr"/>
    <s v="POLYCAB"/>
    <n v="334.35"/>
    <n v="4.3799850000000003E-3"/>
    <m/>
  </r>
  <r>
    <n v="316"/>
    <s v="G10-46012"/>
    <x v="7"/>
    <x v="11"/>
    <s v="3.5C  X  185 SQ.MM  AL  AR. CABLE ( FRESH)"/>
    <m/>
    <n v="92"/>
    <s v="Mtr"/>
    <s v="POLYCAB"/>
    <n v="696"/>
    <n v="6.4032000000000004E-3"/>
    <m/>
  </r>
  <r>
    <n v="317"/>
    <s v="G10-46012"/>
    <x v="7"/>
    <x v="12"/>
    <s v="50X6 CU strip"/>
    <m/>
    <n v="50"/>
    <s v="Mtr"/>
    <m/>
    <n v="2257.92"/>
    <n v="1.12896E-2"/>
    <m/>
  </r>
  <r>
    <n v="318"/>
    <s v="G10-46012"/>
    <x v="7"/>
    <x v="12"/>
    <s v="50X10 Cu strip"/>
    <m/>
    <n v="60"/>
    <s v="Mtr"/>
    <m/>
    <n v="3763.19"/>
    <n v="2.2579140000000001E-2"/>
    <m/>
  </r>
  <r>
    <n v="319"/>
    <s v="G10-46010"/>
    <x v="8"/>
    <x v="6"/>
    <s v="FOAMCORE 160 mm dia"/>
    <s v="SN-04"/>
    <n v="48"/>
    <s v="Mtr"/>
    <s v="Supreme"/>
    <n v="366.81"/>
    <n v="1.7606880000000001E-3"/>
    <m/>
  </r>
  <r>
    <n v="320"/>
    <s v="G10-46010"/>
    <x v="8"/>
    <x v="6"/>
    <s v="FOAMCORE 200 mm dia"/>
    <s v="SN-04"/>
    <n v="24"/>
    <s v="Mtr"/>
    <s v="Supreme"/>
    <n v="694.12"/>
    <n v="1.6658880000000001E-3"/>
    <m/>
  </r>
  <r>
    <n v="321"/>
    <s v="G10-46010"/>
    <x v="8"/>
    <x v="0"/>
    <s v="110 mm UPVC Pipe"/>
    <s v="Type B"/>
    <n v="42"/>
    <s v="Mtr"/>
    <s v="Supreme"/>
    <n v="181.25"/>
    <n v="7.6124999999999999E-4"/>
    <m/>
  </r>
  <r>
    <n v="322"/>
    <s v="G10-46010"/>
    <x v="8"/>
    <x v="0"/>
    <s v="200 mm UPVC Pipe"/>
    <s v="6 KG/CM2"/>
    <n v="96"/>
    <s v="Mtr"/>
    <s v="Supreme"/>
    <n v="478.19"/>
    <n v="4.5906239999999997E-3"/>
    <m/>
  </r>
  <r>
    <n v="323"/>
    <s v="C10-46030"/>
    <x v="9"/>
    <x v="1"/>
    <s v="PIBCV WITH ACTUATOR, DIA 125"/>
    <m/>
    <n v="7"/>
    <s v="Nos"/>
    <s v="Danfoss"/>
    <n v="103000"/>
    <n v="7.2099999999999997E-2"/>
    <m/>
  </r>
  <r>
    <n v="324"/>
    <s v="G10-24005"/>
    <x v="10"/>
    <x v="0"/>
    <s v="MS ERW PIPE IS:3589 - 200NB X HEAVY-Class C"/>
    <s v="MS Pipe"/>
    <n v="60"/>
    <s v="Rmt"/>
    <s v="Jindal"/>
    <n v="2044"/>
    <n v="1.2264000000000001E-2"/>
    <m/>
  </r>
  <r>
    <n v="325"/>
    <s v="G10-24005"/>
    <x v="10"/>
    <x v="0"/>
    <s v="MS ERW PIPE IS:1239 - 25NB X HEAVY-Class C"/>
    <s v="MS Pipe"/>
    <n v="1002"/>
    <s v="Rmt"/>
    <s v="Jindal"/>
    <n v="176"/>
    <n v="1.76352E-2"/>
    <m/>
  </r>
  <r>
    <n v="326"/>
    <s v="G10-24005"/>
    <x v="10"/>
    <x v="6"/>
    <s v="GI Sloted channel 41 mm x 21mm x 2.5 mm"/>
    <s v="GI"/>
    <n v="2000"/>
    <s v="Rmt"/>
    <s v="Fluid Valve Co "/>
    <n v="355"/>
    <n v="7.0999999999999994E-2"/>
    <m/>
  </r>
  <r>
    <n v="327"/>
    <s v="G10-24005"/>
    <x v="10"/>
    <x v="6"/>
    <s v="Motorized Fire Damper with out actuator &amp; control panel(1000mm x 1300 mm)"/>
    <s v="GI"/>
    <n v="13"/>
    <s v="Sqmtr"/>
    <s v="Tristar"/>
    <n v="6950"/>
    <n v="9.0349999999999996E-3"/>
    <m/>
  </r>
  <r>
    <n v="328"/>
    <s v="G10-24005"/>
    <x v="10"/>
    <x v="11"/>
    <s v="3.5C X 300 Sqmm XLPE LT Cable "/>
    <s v="Al"/>
    <n v="16"/>
    <s v="Rmt"/>
    <s v="Polycab"/>
    <n v="1054"/>
    <n v="1.6864E-3"/>
    <m/>
  </r>
  <r>
    <n v="329"/>
    <s v="G10-24005"/>
    <x v="10"/>
    <x v="11"/>
    <s v="3.5C X 240 Sqmm FS LT cable"/>
    <s v="Al"/>
    <n v="135"/>
    <s v="Rmt"/>
    <s v="KEI"/>
    <n v="1112.8"/>
    <n v="1.5022799999999999E-2"/>
    <m/>
  </r>
  <r>
    <n v="330"/>
    <s v="G10-24005"/>
    <x v="10"/>
    <x v="11"/>
    <s v="3.5C X 400 Sqmm FS LT cable"/>
    <s v="Al"/>
    <n v="72"/>
    <s v="Rmt"/>
    <s v="KEI"/>
    <n v="1730.25"/>
    <n v="1.24578E-2"/>
    <m/>
  </r>
  <r>
    <n v="331"/>
    <s v="G10-24005"/>
    <x v="10"/>
    <x v="11"/>
    <s v="3.5C X 400 Sqmm FS LT cable"/>
    <s v="Al"/>
    <n v="37"/>
    <s v="Rmt"/>
    <s v="KEI"/>
    <n v="1730.25"/>
    <n v="6.4019250000000002E-3"/>
    <m/>
  </r>
  <r>
    <n v="332"/>
    <s v="G10-44027"/>
    <x v="11"/>
    <x v="6"/>
    <s v="Temperature Gauge"/>
    <s v="6&quot; (150mm dial)"/>
    <n v="90"/>
    <s v="No.s"/>
    <s v="H guru"/>
    <n v="2350"/>
    <n v="2.1149999999999999E-2"/>
    <m/>
  </r>
  <r>
    <n v="333"/>
    <s v="G10-44027"/>
    <x v="11"/>
    <x v="1"/>
    <s v="Butterfly Valve"/>
    <s v="50mm dia"/>
    <n v="10"/>
    <s v="No.s"/>
    <s v="Lehry"/>
    <n v="1265"/>
    <n v="1.2650000000000001E-3"/>
    <m/>
  </r>
  <r>
    <n v="334"/>
    <s v="G10-44027"/>
    <x v="11"/>
    <x v="1"/>
    <s v="Butterfly Valve"/>
    <s v="50mm dia"/>
    <n v="2"/>
    <s v="No.s"/>
    <s v="ADVANCE"/>
    <m/>
    <n v="0"/>
    <m/>
  </r>
  <r>
    <n v="335"/>
    <s v="G10-44027"/>
    <x v="11"/>
    <x v="1"/>
    <s v="Butterfly Valve"/>
    <s v="100mm dia"/>
    <n v="2"/>
    <s v="No.s"/>
    <s v="Lehry"/>
    <n v="2008.8"/>
    <n v="4.0175999999999998E-4"/>
    <m/>
  </r>
  <r>
    <n v="336"/>
    <s v="G10-44027"/>
    <x v="11"/>
    <x v="1"/>
    <s v="Butterfly Valve"/>
    <s v="100mm dia"/>
    <n v="2"/>
    <s v="No.s"/>
    <s v="Sendhamarai Engineering"/>
    <n v="2157.6"/>
    <n v="4.3151999999999996E-4"/>
    <m/>
  </r>
  <r>
    <n v="337"/>
    <s v="G10-44027"/>
    <x v="11"/>
    <x v="1"/>
    <s v="Butterfly Valve"/>
    <s v="200mm dia"/>
    <n v="2"/>
    <s v="No.s"/>
    <s v="Lehry"/>
    <n v="6291"/>
    <n v="1.2581999999999999E-3"/>
    <m/>
  </r>
  <r>
    <n v="338"/>
    <s v="G10-44027"/>
    <x v="11"/>
    <x v="1"/>
    <s v="Brass Ball Valve"/>
    <s v="20mm dia"/>
    <n v="180"/>
    <s v="No.s"/>
    <s v="Lehry"/>
    <n v="473"/>
    <n v="8.5140000000000007E-3"/>
    <m/>
  </r>
  <r>
    <n v="339"/>
    <s v="G10-44027"/>
    <x v="11"/>
    <x v="1"/>
    <s v="Brass Ball Valve"/>
    <s v="15mm dia"/>
    <n v="50"/>
    <s v="No.s"/>
    <s v="Sant"/>
    <m/>
    <n v="0"/>
    <m/>
  </r>
  <r>
    <n v="340"/>
    <s v="G10-44027"/>
    <x v="11"/>
    <x v="0"/>
    <s v="MS PIPE "/>
    <s v="400mm dia"/>
    <n v="30"/>
    <s v="Mtr"/>
    <s v="Pioneer tubes"/>
    <n v="4680"/>
    <n v="1.404E-2"/>
    <m/>
  </r>
  <r>
    <n v="341"/>
    <s v="G10-44027"/>
    <x v="11"/>
    <x v="0"/>
    <s v="MS PIPE "/>
    <s v="300mm dia"/>
    <n v="30"/>
    <s v="Mtr"/>
    <s v="Pioneer tubes"/>
    <n v="3470"/>
    <n v="1.0410000000000001E-2"/>
    <m/>
  </r>
  <r>
    <n v="342"/>
    <s v="G10-44027"/>
    <x v="11"/>
    <x v="0"/>
    <s v="MS PIPE "/>
    <s v="250mm dia"/>
    <n v="12"/>
    <s v="Mtr"/>
    <s v="Pioneer tubes"/>
    <n v="2955"/>
    <n v="3.5460000000000001E-3"/>
    <m/>
  </r>
  <r>
    <n v="343"/>
    <s v="G10-44027"/>
    <x v="11"/>
    <x v="0"/>
    <s v="MS PIPE "/>
    <s v="200mm dia"/>
    <n v="50"/>
    <s v="Mtr"/>
    <s v="Pioneer tubes"/>
    <n v="2280"/>
    <n v="1.14E-2"/>
    <m/>
  </r>
  <r>
    <n v="344"/>
    <s v="G10-44027"/>
    <x v="11"/>
    <x v="0"/>
    <s v="MS PIPE "/>
    <s v="150mm dia"/>
    <n v="150"/>
    <s v="Mtr"/>
    <s v="Pioneer tubes"/>
    <n v="1147"/>
    <n v="1.7205000000000002E-2"/>
    <m/>
  </r>
  <r>
    <n v="345"/>
    <s v="G10-44027"/>
    <x v="11"/>
    <x v="0"/>
    <s v="MS PIPE "/>
    <s v="100mm dia"/>
    <n v="40"/>
    <s v="Mtr"/>
    <s v="Pioneer tubes"/>
    <n v="797"/>
    <n v="3.1879999999999999E-3"/>
    <m/>
  </r>
  <r>
    <n v="346"/>
    <s v="G10-44027"/>
    <x v="11"/>
    <x v="0"/>
    <s v="MS PIPE "/>
    <s v="80mm dia"/>
    <n v="60"/>
    <s v="Mtr"/>
    <s v="Pioneer tubes"/>
    <n v="537"/>
    <n v="3.222E-3"/>
    <m/>
  </r>
  <r>
    <n v="347"/>
    <s v="G10-44027"/>
    <x v="11"/>
    <x v="0"/>
    <s v="MS PIPE "/>
    <s v="65mm dia"/>
    <n v="40"/>
    <s v="Mtr"/>
    <s v="Pioneer tubes"/>
    <n v="541"/>
    <n v="2.1640000000000001E-3"/>
    <m/>
  </r>
  <r>
    <n v="348"/>
    <s v="G10-44027"/>
    <x v="11"/>
    <x v="0"/>
    <s v="MS PIPE "/>
    <s v="50mm dia "/>
    <n v="50"/>
    <s v="Mtr"/>
    <s v="Pioneer tubes"/>
    <n v="340"/>
    <n v="1.6999999999999999E-3"/>
    <m/>
  </r>
  <r>
    <n v="349"/>
    <s v="G10-44027"/>
    <x v="11"/>
    <x v="6"/>
    <s v="Ventilation Fan Model-VFL-C"/>
    <s v="Inline fan (rectangular)"/>
    <n v="7"/>
    <s v="No.s"/>
    <s v="Caryaire"/>
    <n v="10475"/>
    <n v="7.3324999999999996E-3"/>
    <m/>
  </r>
  <r>
    <n v="350"/>
    <s v="G10-44027"/>
    <x v="11"/>
    <x v="6"/>
    <s v="ASPEN pump"/>
    <s v="HI flow"/>
    <n v="6"/>
    <s v="No.s"/>
    <s v="Max- HI flow"/>
    <m/>
    <n v="0"/>
    <m/>
  </r>
  <r>
    <n v="351"/>
    <s v="G10-44027"/>
    <x v="11"/>
    <x v="13"/>
    <s v="EPS Insulation"/>
    <s v="250mm dia"/>
    <n v="12"/>
    <s v="Mtr"/>
    <s v="Beardsell"/>
    <n v="102.6"/>
    <n v="1.2311999999999997E-4"/>
    <m/>
  </r>
  <r>
    <n v="352"/>
    <s v="G10-44027"/>
    <x v="11"/>
    <x v="13"/>
    <s v="EPS Insulation"/>
    <s v="500mm dia"/>
    <n v="6"/>
    <s v="Mtr"/>
    <s v="Beardsell"/>
    <n v="930"/>
    <n v="5.5800000000000001E-4"/>
    <m/>
  </r>
  <r>
    <n v="353"/>
    <s v="G10-44027"/>
    <x v="11"/>
    <x v="13"/>
    <s v="EPS Insulation"/>
    <s v="50mm dia"/>
    <n v="50"/>
    <s v="Mtr"/>
    <s v="Beardsell"/>
    <n v="295"/>
    <n v="1.475E-3"/>
    <m/>
  </r>
  <r>
    <n v="354"/>
    <s v="G10-44027"/>
    <x v="11"/>
    <x v="13"/>
    <s v="EPS Insulation"/>
    <s v="125mm dia"/>
    <n v="60"/>
    <s v="Mtr"/>
    <s v="Beardsell"/>
    <n v="176.13"/>
    <n v="1.05678E-3"/>
    <m/>
  </r>
  <r>
    <n v="355"/>
    <s v="G10-44027"/>
    <x v="11"/>
    <x v="13"/>
    <s v="EPS Insulation"/>
    <s v="80mm dia"/>
    <n v="20"/>
    <s v="Mtr"/>
    <s v="Beardsell"/>
    <n v="129.96"/>
    <n v="2.5992000000000002E-4"/>
    <m/>
  </r>
  <r>
    <n v="356"/>
    <s v="G10-44027"/>
    <x v="11"/>
    <x v="13"/>
    <s v="EPS Insulation"/>
    <s v="25mm dia"/>
    <n v="5"/>
    <s v="Mtr"/>
    <s v="Beardsell"/>
    <n v="79.23"/>
    <n v="3.9615000000000006E-5"/>
    <m/>
  </r>
  <r>
    <n v="357"/>
    <s v="G10-44027"/>
    <x v="11"/>
    <x v="13"/>
    <s v="Acoustic insulation for duct"/>
    <s v="10mm thick x 1mtr x 1mtr "/>
    <n v="30"/>
    <s v="Sqmt"/>
    <s v="K-flex"/>
    <n v="402.04"/>
    <n v="1.20612E-3"/>
    <m/>
  </r>
  <r>
    <n v="358"/>
    <s v="G10-44027"/>
    <x v="11"/>
    <x v="14"/>
    <s v="Fusible link fire damper"/>
    <s v="1400 x 450"/>
    <n v="1"/>
    <s v="No.s"/>
    <s v="Air master"/>
    <n v="4347"/>
    <n v="4.347E-4"/>
    <m/>
  </r>
  <r>
    <n v="359"/>
    <s v="G10-44027"/>
    <x v="11"/>
    <x v="14"/>
    <s v="Fusible link fire damper"/>
    <s v="1050 x 300"/>
    <n v="1"/>
    <s v="No.s"/>
    <s v="Air master"/>
    <n v="2173.5"/>
    <n v="2.1735E-4"/>
    <m/>
  </r>
  <r>
    <n v="360"/>
    <s v="G10-44027"/>
    <x v="11"/>
    <x v="14"/>
    <s v="Fusible link fire damper"/>
    <s v="600 x 250"/>
    <n v="1"/>
    <s v="No.s"/>
    <s v="Air master"/>
    <n v="1035"/>
    <n v="1.0349999999999999E-4"/>
    <m/>
  </r>
  <r>
    <n v="361"/>
    <s v="G10-44027"/>
    <x v="11"/>
    <x v="14"/>
    <s v="Fusible link fire damper"/>
    <s v="350 x 250"/>
    <n v="1"/>
    <s v="No.s"/>
    <s v="Air master"/>
    <n v="690"/>
    <n v="6.8999999999999997E-5"/>
    <m/>
  </r>
  <r>
    <n v="362"/>
    <s v="G10-44027"/>
    <x v="11"/>
    <x v="14"/>
    <s v="Fusible link fire damper"/>
    <s v="550 x 250"/>
    <n v="1"/>
    <s v="No.s"/>
    <s v="Air master"/>
    <n v="948.75000000000011"/>
    <n v="9.4875000000000016E-5"/>
    <m/>
  </r>
  <r>
    <n v="363"/>
    <s v="G10-44027"/>
    <x v="11"/>
    <x v="14"/>
    <s v="Fusible link fire damper"/>
    <s v="500 x 300"/>
    <n v="1"/>
    <s v="No.s"/>
    <s v="Air master"/>
    <n v="1035"/>
    <n v="1.0349999999999999E-4"/>
    <m/>
  </r>
  <r>
    <n v="364"/>
    <s v="G10-44027"/>
    <x v="11"/>
    <x v="14"/>
    <s v="Fusible link fire damper"/>
    <s v="300 x 300"/>
    <n v="1"/>
    <s v="No.s"/>
    <s v="Air master"/>
    <n v="690"/>
    <n v="6.8999999999999997E-5"/>
    <m/>
  </r>
  <r>
    <n v="365"/>
    <s v="G10-44027"/>
    <x v="11"/>
    <x v="14"/>
    <s v="Fusible link fire damper"/>
    <s v="400 x 400"/>
    <n v="1"/>
    <s v="No.s"/>
    <s v="Air master"/>
    <n v="1104.0000000000002"/>
    <n v="1.1040000000000003E-4"/>
    <m/>
  </r>
  <r>
    <n v="366"/>
    <s v="G10-44027"/>
    <x v="11"/>
    <x v="14"/>
    <s v="Fusible link fire damper"/>
    <s v="150 x 150"/>
    <n v="1"/>
    <s v="No.s"/>
    <s v="Air master"/>
    <n v="690"/>
    <n v="6.8999999999999997E-5"/>
    <m/>
  </r>
  <r>
    <n v="367"/>
    <s v="G10-44027"/>
    <x v="11"/>
    <x v="14"/>
    <s v="Fusible link fire damper"/>
    <s v="450 x 200"/>
    <n v="1"/>
    <s v="No.s"/>
    <s v="Air master"/>
    <n v="690"/>
    <n v="6.8999999999999997E-5"/>
    <m/>
  </r>
  <r>
    <n v="368"/>
    <s v="G10-44027"/>
    <x v="11"/>
    <x v="14"/>
    <s v="Fusible link fire damper"/>
    <s v="500 x 350"/>
    <n v="1"/>
    <s v="No.s"/>
    <s v="Air master"/>
    <n v="1207.5"/>
    <n v="1.2074999999999999E-4"/>
    <m/>
  </r>
  <r>
    <n v="369"/>
    <s v="G10-44027"/>
    <x v="11"/>
    <x v="14"/>
    <s v="Fusible link fire damper"/>
    <s v="800 x 400"/>
    <n v="1"/>
    <s v="No.s"/>
    <s v="Air master"/>
    <n v="2208.0000000000005"/>
    <n v="2.2080000000000005E-4"/>
    <m/>
  </r>
  <r>
    <n v="370"/>
    <s v="G10-44027"/>
    <x v="11"/>
    <x v="14"/>
    <s v="Fusible link fire damper"/>
    <s v="450 x 200"/>
    <n v="1"/>
    <s v="No.s"/>
    <s v="Air master"/>
    <n v="690"/>
    <n v="6.8999999999999997E-5"/>
    <m/>
  </r>
  <r>
    <n v="371"/>
    <s v="G10-44027"/>
    <x v="11"/>
    <x v="14"/>
    <s v="Fusible link fire damper"/>
    <s v="600 x 250"/>
    <n v="1"/>
    <s v="No.s"/>
    <s v="Air master"/>
    <n v="1035"/>
    <n v="1.0349999999999999E-4"/>
    <m/>
  </r>
  <r>
    <n v="372"/>
    <s v="G10-44027"/>
    <x v="11"/>
    <x v="14"/>
    <s v="Fusible link fire damper"/>
    <s v="300 x 150"/>
    <n v="1"/>
    <s v="No.s"/>
    <s v="Air master"/>
    <n v="690"/>
    <n v="6.8999999999999997E-5"/>
    <m/>
  </r>
  <r>
    <n v="373"/>
    <s v="G10-44027"/>
    <x v="11"/>
    <x v="14"/>
    <s v="Fusible link fire damper"/>
    <s v="400 x 300"/>
    <n v="1"/>
    <s v="No.s"/>
    <s v="Air master"/>
    <n v="828"/>
    <n v="8.2799999999999993E-5"/>
    <m/>
  </r>
  <r>
    <n v="374"/>
    <s v="G10-44027"/>
    <x v="11"/>
    <x v="14"/>
    <s v="Fusible link fire damper"/>
    <s v="400 x 250"/>
    <n v="1"/>
    <s v="No.s"/>
    <s v="Air master"/>
    <n v="690"/>
    <n v="6.8999999999999997E-5"/>
    <m/>
  </r>
  <r>
    <n v="375"/>
    <s v="G10-44027"/>
    <x v="11"/>
    <x v="14"/>
    <s v="Fusible link fire damper"/>
    <s v="300 x 300"/>
    <n v="1"/>
    <s v="No.s"/>
    <s v="Air master"/>
    <n v="690"/>
    <n v="6.8999999999999997E-5"/>
    <m/>
  </r>
  <r>
    <n v="376"/>
    <s v="G10-44027"/>
    <x v="11"/>
    <x v="14"/>
    <s v="Fusible link fire damper"/>
    <s v="450 x 250"/>
    <n v="1"/>
    <s v="No.s"/>
    <s v="Air master"/>
    <n v="776.25"/>
    <n v="7.7625000000000003E-5"/>
    <m/>
  </r>
  <r>
    <n v="377"/>
    <s v="G10-44027"/>
    <x v="11"/>
    <x v="14"/>
    <s v="Fusible link fire damper"/>
    <s v="1450 x 450"/>
    <n v="1"/>
    <s v="No.s"/>
    <s v="Air master"/>
    <n v="4502.25"/>
    <n v="4.5022500000000001E-4"/>
    <m/>
  </r>
  <r>
    <n v="378"/>
    <s v="G10-44027"/>
    <x v="11"/>
    <x v="14"/>
    <s v="Fusible link fire damper"/>
    <s v="200 x 200"/>
    <n v="1"/>
    <s v="No.s"/>
    <s v="Air master"/>
    <n v="690"/>
    <n v="6.8999999999999997E-5"/>
    <m/>
  </r>
  <r>
    <n v="379"/>
    <s v="G10-44027"/>
    <x v="11"/>
    <x v="14"/>
    <s v="Fusible link fire damper"/>
    <s v="450 x 200"/>
    <n v="1"/>
    <s v="No.s"/>
    <s v="Air master"/>
    <n v="690"/>
    <n v="6.8999999999999997E-5"/>
    <m/>
  </r>
  <r>
    <n v="380"/>
    <s v="G10-44027"/>
    <x v="11"/>
    <x v="14"/>
    <s v="Fusible link fire damper"/>
    <s v="200 x 200"/>
    <n v="1"/>
    <s v="No.s"/>
    <s v="Air master"/>
    <n v="690"/>
    <n v="6.8999999999999997E-5"/>
    <m/>
  </r>
  <r>
    <n v="381"/>
    <s v="G10-44027"/>
    <x v="11"/>
    <x v="14"/>
    <s v="Fusible link fire damper"/>
    <s v="2400 x 450"/>
    <n v="1"/>
    <s v="No.s"/>
    <s v="Air master"/>
    <n v="7452.0000000000009"/>
    <n v="7.4520000000000012E-4"/>
    <m/>
  </r>
  <r>
    <n v="382"/>
    <s v="G10-44027"/>
    <x v="11"/>
    <x v="14"/>
    <s v="Fusible link fire damper"/>
    <s v="350 x 300"/>
    <n v="1"/>
    <s v="No.s"/>
    <s v="Air master"/>
    <n v="724.5"/>
    <n v="7.2449999999999999E-5"/>
    <m/>
  </r>
  <r>
    <n v="383"/>
    <s v="G10-44027"/>
    <x v="11"/>
    <x v="14"/>
    <s v="Fusible link fire damper"/>
    <s v="400 x 250"/>
    <n v="1"/>
    <s v="No.s"/>
    <s v="Air master"/>
    <n v="690"/>
    <n v="6.8999999999999997E-5"/>
    <m/>
  </r>
  <r>
    <n v="384"/>
    <s v="G10-44027"/>
    <x v="11"/>
    <x v="14"/>
    <s v="Fusible link fire damper"/>
    <s v="400 x 200"/>
    <n v="1"/>
    <s v="No.s"/>
    <s v="Air master"/>
    <n v="690"/>
    <n v="6.8999999999999997E-5"/>
    <m/>
  </r>
  <r>
    <n v="385"/>
    <s v="G10-44027"/>
    <x v="11"/>
    <x v="14"/>
    <s v="Fusible link fire damper"/>
    <s v="150 x 150"/>
    <n v="1"/>
    <s v="No.s"/>
    <s v="Air master"/>
    <n v="690"/>
    <n v="6.8999999999999997E-5"/>
    <m/>
  </r>
  <r>
    <n v="386"/>
    <s v="G10-44027"/>
    <x v="11"/>
    <x v="14"/>
    <s v="Volume Control Damper"/>
    <s v="150 x 150"/>
    <n v="1"/>
    <s v="No.s"/>
    <s v="Air master"/>
    <n v="580"/>
    <n v="5.8E-5"/>
    <m/>
  </r>
  <r>
    <n v="387"/>
    <s v="G10-44027"/>
    <x v="11"/>
    <x v="14"/>
    <s v="Volume Control Damper"/>
    <s v="300 x 150"/>
    <n v="1"/>
    <s v="No.s"/>
    <s v="Air master"/>
    <n v="580"/>
    <n v="5.8E-5"/>
    <m/>
  </r>
  <r>
    <n v="388"/>
    <s v="G10-44027"/>
    <x v="11"/>
    <x v="14"/>
    <s v="Volume Control Damper"/>
    <s v="1050 X 350"/>
    <n v="1"/>
    <s v="No.s"/>
    <s v="Air master"/>
    <n v="2131.5"/>
    <n v="2.1315E-4"/>
    <m/>
  </r>
  <r>
    <n v="389"/>
    <s v="G10-44027"/>
    <x v="11"/>
    <x v="14"/>
    <s v="Volume Control Damper"/>
    <s v="1050 X 400"/>
    <n v="1"/>
    <s v="No.s"/>
    <s v="Air master"/>
    <n v="2436.0000000000005"/>
    <n v="2.4360000000000004E-4"/>
    <m/>
  </r>
  <r>
    <n v="390"/>
    <s v="G10-44027"/>
    <x v="11"/>
    <x v="14"/>
    <s v="Volume Control Damper"/>
    <s v="300 X 150"/>
    <n v="1"/>
    <s v="No.s"/>
    <s v="Air master"/>
    <n v="580"/>
    <n v="5.8E-5"/>
    <m/>
  </r>
  <r>
    <n v="391"/>
    <s v="G10-44027"/>
    <x v="11"/>
    <x v="14"/>
    <s v="Volume Control Damper"/>
    <s v="500 X 150"/>
    <n v="1"/>
    <s v="No.s"/>
    <s v="Air master"/>
    <n v="580"/>
    <n v="5.8E-5"/>
    <m/>
  </r>
  <r>
    <n v="392"/>
    <s v="G10-44027"/>
    <x v="11"/>
    <x v="14"/>
    <s v="Volume Control Damper"/>
    <s v="550 X 250"/>
    <n v="1"/>
    <s v="No.s"/>
    <s v="Air master"/>
    <n v="797.50000000000011"/>
    <n v="7.9750000000000014E-5"/>
    <m/>
  </r>
  <r>
    <n v="393"/>
    <s v="G10-44027"/>
    <x v="11"/>
    <x v="14"/>
    <s v="Volume Control Damper"/>
    <s v="450 X 250"/>
    <n v="1"/>
    <s v="No.s"/>
    <s v="Air master"/>
    <n v="652.5"/>
    <n v="6.525E-5"/>
    <m/>
  </r>
  <r>
    <n v="394"/>
    <s v="G10-44027"/>
    <x v="11"/>
    <x v="14"/>
    <s v="Volume Control Damper"/>
    <s v="450 X 150"/>
    <n v="1"/>
    <s v="No.s"/>
    <s v="Air master"/>
    <n v="580"/>
    <n v="5.8E-5"/>
    <m/>
  </r>
  <r>
    <n v="395"/>
    <s v="G10-44027"/>
    <x v="11"/>
    <x v="14"/>
    <s v="Volume Control Damper"/>
    <s v="100 X 100"/>
    <n v="1"/>
    <s v="No.s"/>
    <s v="Air master"/>
    <n v="580"/>
    <n v="5.8E-5"/>
    <m/>
  </r>
  <r>
    <n v="396"/>
    <s v="G10-44027"/>
    <x v="11"/>
    <x v="14"/>
    <s v="Volume Control Damper"/>
    <s v="350 X 300"/>
    <n v="1"/>
    <s v="No.s"/>
    <s v="Air master"/>
    <n v="609"/>
    <n v="6.0900000000000003E-5"/>
    <m/>
  </r>
  <r>
    <n v="397"/>
    <s v="G10-44027"/>
    <x v="11"/>
    <x v="14"/>
    <s v="Volume Control Damper"/>
    <s v="850 x 400"/>
    <n v="1"/>
    <s v="No.s"/>
    <s v="Air master"/>
    <n v="1972.0000000000002"/>
    <n v="1.9720000000000002E-4"/>
    <m/>
  </r>
  <r>
    <n v="398"/>
    <s v="G10-44027"/>
    <x v="11"/>
    <x v="14"/>
    <s v="Volume Control Damper"/>
    <s v="850 x 600"/>
    <n v="1"/>
    <s v="No.s"/>
    <s v="Air master"/>
    <n v="2958"/>
    <n v="2.9579999999999998E-4"/>
    <m/>
  </r>
  <r>
    <n v="399"/>
    <s v="G10-44027"/>
    <x v="11"/>
    <x v="14"/>
    <s v="Volume Control Damper"/>
    <s v="1200 x 500"/>
    <n v="1"/>
    <s v="No.s"/>
    <s v="Air master"/>
    <n v="3480"/>
    <n v="3.48E-4"/>
    <m/>
  </r>
  <r>
    <n v="400"/>
    <s v="G10-44027"/>
    <x v="11"/>
    <x v="14"/>
    <s v="Volume Control Damper"/>
    <s v="1200 x 300"/>
    <n v="1"/>
    <s v="No.s"/>
    <s v="Air master"/>
    <n v="2088"/>
    <n v="2.0880000000000001E-4"/>
    <m/>
  </r>
  <r>
    <n v="401"/>
    <s v="G10-44027"/>
    <x v="11"/>
    <x v="14"/>
    <s v="Volume Control Damper"/>
    <s v="1000 x 500"/>
    <n v="1"/>
    <s v="No.s"/>
    <s v="Air master"/>
    <n v="2900"/>
    <n v="2.9E-4"/>
    <m/>
  </r>
  <r>
    <n v="402"/>
    <s v="G10-44027"/>
    <x v="11"/>
    <x v="14"/>
    <s v="Volume Control Damper"/>
    <s v="800 x 300"/>
    <n v="1"/>
    <s v="No.s"/>
    <s v="Air master"/>
    <n v="1392"/>
    <n v="1.392E-4"/>
    <m/>
  </r>
  <r>
    <n v="403"/>
    <s v="G10-44027"/>
    <x v="11"/>
    <x v="14"/>
    <s v="Volume Control Damper"/>
    <s v="600 x 250"/>
    <n v="1"/>
    <s v="No.s"/>
    <s v="Air master"/>
    <n v="870"/>
    <n v="8.7000000000000001E-5"/>
    <m/>
  </r>
  <r>
    <n v="404"/>
    <s v="G10-44027"/>
    <x v="11"/>
    <x v="14"/>
    <s v="Volume Control Damper"/>
    <s v="500 x 150"/>
    <n v="1"/>
    <s v="No.s"/>
    <s v="Air master"/>
    <n v="435"/>
    <n v="4.35E-5"/>
    <m/>
  </r>
  <r>
    <n v="405"/>
    <s v="G10-44027"/>
    <x v="11"/>
    <x v="14"/>
    <s v="Volume Control Damper"/>
    <s v="550 x 200"/>
    <n v="1"/>
    <s v="No.s"/>
    <s v="Air master"/>
    <n v="580"/>
    <n v="5.8E-5"/>
    <m/>
  </r>
  <r>
    <n v="406"/>
    <s v="G10-44027"/>
    <x v="11"/>
    <x v="14"/>
    <s v="Volume Control Damper"/>
    <s v="650 x 150"/>
    <n v="1"/>
    <s v="No.s"/>
    <s v="Air master"/>
    <n v="580"/>
    <n v="5.8E-5"/>
    <m/>
  </r>
  <r>
    <n v="407"/>
    <s v="G10-44027"/>
    <x v="11"/>
    <x v="14"/>
    <s v="Volume Control Damper"/>
    <s v="300 x 200"/>
    <n v="1"/>
    <s v="No.s"/>
    <s v="Air master"/>
    <n v="580"/>
    <n v="5.8E-5"/>
    <m/>
  </r>
  <r>
    <n v="408"/>
    <s v="G10-44027"/>
    <x v="11"/>
    <x v="14"/>
    <s v="Volume Control Damper"/>
    <s v="650 x 250"/>
    <n v="1"/>
    <s v="No.s"/>
    <s v="Air master"/>
    <n v="942.5"/>
    <n v="9.4250000000000001E-5"/>
    <m/>
  </r>
  <r>
    <n v="409"/>
    <s v="G10-44027"/>
    <x v="11"/>
    <x v="14"/>
    <s v="Volume Control Damper"/>
    <s v="150 x 100"/>
    <n v="1"/>
    <s v="No.s"/>
    <s v="Air master"/>
    <n v="580"/>
    <n v="5.8E-5"/>
    <m/>
  </r>
  <r>
    <n v="410"/>
    <s v="G10-44027"/>
    <x v="11"/>
    <x v="14"/>
    <s v="Volume Control Damper"/>
    <s v="500 x 400"/>
    <n v="1"/>
    <s v="No.s"/>
    <s v="Air master"/>
    <n v="1160"/>
    <n v="1.16E-4"/>
    <m/>
  </r>
  <r>
    <n v="411"/>
    <s v="G10-44027"/>
    <x v="11"/>
    <x v="14"/>
    <s v="Volume Control Damper"/>
    <s v="100 x 100"/>
    <n v="1"/>
    <s v="No.s"/>
    <s v="Air master"/>
    <n v="580"/>
    <n v="5.8E-5"/>
    <m/>
  </r>
  <r>
    <n v="412"/>
    <s v="G10-44027"/>
    <x v="11"/>
    <x v="14"/>
    <s v="Volume Control Damper"/>
    <s v="450 x 200"/>
    <n v="1"/>
    <s v="No.s"/>
    <s v="Air master"/>
    <n v="580"/>
    <n v="5.8E-5"/>
    <m/>
  </r>
  <r>
    <n v="413"/>
    <s v="G10-44027"/>
    <x v="11"/>
    <x v="14"/>
    <s v="Volume Control Damper"/>
    <s v="300 x 150"/>
    <n v="1"/>
    <s v="No.s"/>
    <s v="Air master"/>
    <n v="580"/>
    <n v="5.8E-5"/>
    <m/>
  </r>
  <r>
    <n v="414"/>
    <s v="G10-44027"/>
    <x v="11"/>
    <x v="14"/>
    <s v="Volume Control Damper"/>
    <s v="300 x 300"/>
    <n v="1"/>
    <s v="No.s"/>
    <s v="Air master"/>
    <n v="580"/>
    <n v="5.8E-5"/>
    <m/>
  </r>
  <r>
    <n v="415"/>
    <s v="G10-44027"/>
    <x v="11"/>
    <x v="14"/>
    <s v="Volume Control Damper"/>
    <s v="400 x 300"/>
    <n v="1"/>
    <s v="No.s"/>
    <s v="Air master"/>
    <n v="696"/>
    <n v="6.9599999999999998E-5"/>
    <m/>
  </r>
  <r>
    <n v="416"/>
    <s v="G10-44027"/>
    <x v="11"/>
    <x v="14"/>
    <s v="Volume Control Damper"/>
    <s v="100 X 100"/>
    <n v="1"/>
    <s v="No.s"/>
    <s v="Air master"/>
    <n v="580"/>
    <n v="5.8E-5"/>
    <m/>
  </r>
  <r>
    <n v="417"/>
    <s v="G10-44027"/>
    <x v="11"/>
    <x v="14"/>
    <s v="Volume Control Damper"/>
    <s v="500 x 400"/>
    <n v="1"/>
    <s v="No.s"/>
    <s v="Air master"/>
    <n v="1160"/>
    <n v="1.16E-4"/>
    <m/>
  </r>
  <r>
    <n v="418"/>
    <s v="G10-44027"/>
    <x v="11"/>
    <x v="14"/>
    <s v="Volume Control Damper"/>
    <s v="600 x 500"/>
    <n v="1"/>
    <s v="No.s"/>
    <s v="Air master"/>
    <n v="1740"/>
    <n v="1.74E-4"/>
    <m/>
  </r>
  <r>
    <n v="419"/>
    <s v="G10-44027"/>
    <x v="11"/>
    <x v="14"/>
    <s v="Volume Control Damper"/>
    <s v="500 x 500"/>
    <n v="1"/>
    <s v="No.s"/>
    <s v="Air master"/>
    <n v="1450"/>
    <n v="1.45E-4"/>
    <m/>
  </r>
  <r>
    <n v="420"/>
    <s v="G10-44027"/>
    <x v="11"/>
    <x v="14"/>
    <s v="Volume Control Damper"/>
    <s v="600 x 250"/>
    <n v="1"/>
    <s v="No.s"/>
    <s v="Air master"/>
    <n v="870"/>
    <n v="8.7000000000000001E-5"/>
    <m/>
  </r>
  <r>
    <n v="421"/>
    <s v="G10-44027"/>
    <x v="11"/>
    <x v="15"/>
    <s v="Continuous grill"/>
    <s v="2440 x 100"/>
    <n v="8"/>
    <s v="No.s"/>
    <s v="Air master"/>
    <n v="829.6"/>
    <n v="6.6368000000000004E-4"/>
    <m/>
  </r>
  <r>
    <n v="422"/>
    <s v="G10-44027"/>
    <x v="11"/>
    <x v="15"/>
    <s v="Continuous grill"/>
    <s v="850 x 100"/>
    <n v="4"/>
    <s v="No.s"/>
    <s v="Air master"/>
    <n v="340"/>
    <n v="1.36E-4"/>
    <m/>
  </r>
  <r>
    <n v="423"/>
    <s v="G10-44027"/>
    <x v="11"/>
    <x v="15"/>
    <s v="Continuous grill"/>
    <s v="1550 x 100"/>
    <n v="3"/>
    <s v="No.s"/>
    <s v="Air master"/>
    <n v="527.00000000000011"/>
    <n v="1.5810000000000005E-4"/>
    <m/>
  </r>
  <r>
    <n v="424"/>
    <s v="G10-44027"/>
    <x v="11"/>
    <x v="15"/>
    <s v="Continuous grill"/>
    <s v="950 x 100"/>
    <n v="1"/>
    <s v="No.s"/>
    <s v="Air master"/>
    <n v="340"/>
    <n v="3.4E-5"/>
    <m/>
  </r>
  <r>
    <n v="425"/>
    <s v="G10-44027"/>
    <x v="11"/>
    <x v="15"/>
    <s v="Continuous grill"/>
    <s v="750 x 100"/>
    <n v="1"/>
    <s v="No.s"/>
    <s v="Air master"/>
    <n v="340"/>
    <n v="3.4E-5"/>
    <m/>
  </r>
  <r>
    <n v="426"/>
    <s v="G10-44027"/>
    <x v="11"/>
    <x v="15"/>
    <s v="Continuous grill"/>
    <s v="800 x 100"/>
    <n v="1"/>
    <s v="No.s"/>
    <s v="Air master"/>
    <n v="340"/>
    <n v="3.4E-5"/>
    <m/>
  </r>
  <r>
    <n v="427"/>
    <s v="G10-44027"/>
    <x v="11"/>
    <x v="15"/>
    <s v="Continuous grill"/>
    <s v="850 x 150"/>
    <n v="1"/>
    <s v="No.s"/>
    <s v="Air master"/>
    <n v="433.5"/>
    <n v="4.3350000000000003E-5"/>
    <m/>
  </r>
  <r>
    <n v="428"/>
    <s v="G10-44027"/>
    <x v="11"/>
    <x v="15"/>
    <s v="Continuous grill"/>
    <s v="1250 x 150"/>
    <n v="1"/>
    <s v="No.s"/>
    <s v="Air master"/>
    <n v="637.5"/>
    <n v="6.3750000000000005E-5"/>
    <m/>
  </r>
  <r>
    <n v="429"/>
    <s v="G10-44027"/>
    <x v="11"/>
    <x v="15"/>
    <s v="Continuous grill"/>
    <s v="2440 x 150"/>
    <n v="4"/>
    <s v="No.s"/>
    <s v="Air master"/>
    <n v="1244.3999999999999"/>
    <n v="4.9775999999999998E-4"/>
    <m/>
  </r>
  <r>
    <n v="430"/>
    <s v="G10-44027"/>
    <x v="11"/>
    <x v="15"/>
    <s v="Continuous grill"/>
    <s v="1250 x 290"/>
    <n v="2"/>
    <s v="No.s"/>
    <s v="Air master"/>
    <n v="1232.5"/>
    <n v="2.4649999999999997E-4"/>
    <m/>
  </r>
  <r>
    <n v="431"/>
    <s v="G10-44027"/>
    <x v="11"/>
    <x v="15"/>
    <s v="Linear spot grills"/>
    <s v="1800 X 150"/>
    <n v="3"/>
    <s v="No.s"/>
    <s v="Air master"/>
    <n v="918.00000000000011"/>
    <n v="2.7540000000000003E-4"/>
    <m/>
  </r>
  <r>
    <n v="432"/>
    <s v="G10-44027"/>
    <x v="11"/>
    <x v="15"/>
    <s v="Linear spot grills"/>
    <s v="850 x 300"/>
    <n v="12"/>
    <s v="No.s"/>
    <s v="Air master"/>
    <n v="867"/>
    <n v="1.0403999999999999E-3"/>
    <m/>
  </r>
  <r>
    <n v="433"/>
    <s v="G10-44027"/>
    <x v="11"/>
    <x v="15"/>
    <s v="Linear spot grills"/>
    <s v="1250 x 450"/>
    <n v="1"/>
    <s v="No.s"/>
    <s v="Air master"/>
    <n v="1912.5"/>
    <n v="1.9124999999999999E-4"/>
    <m/>
  </r>
  <r>
    <n v="434"/>
    <s v="G10-44027"/>
    <x v="11"/>
    <x v="15"/>
    <s v="Linear spot grills"/>
    <s v="1400 x 150"/>
    <n v="3"/>
    <s v="No.s"/>
    <s v="Air master"/>
    <n v="714"/>
    <n v="2.142E-4"/>
    <m/>
  </r>
  <r>
    <n v="435"/>
    <s v="G10-44027"/>
    <x v="11"/>
    <x v="15"/>
    <s v="Linear spot grills"/>
    <s v="1450 x 150"/>
    <n v="1"/>
    <s v="No.s"/>
    <s v="Air master"/>
    <n v="739.5"/>
    <n v="7.3949999999999995E-5"/>
    <m/>
  </r>
  <r>
    <n v="436"/>
    <s v="G10-44027"/>
    <x v="11"/>
    <x v="15"/>
    <s v="Linear spot grills"/>
    <s v="1000 x 150"/>
    <n v="10"/>
    <s v="No.s"/>
    <s v="Air master"/>
    <n v="510"/>
    <n v="5.1000000000000004E-4"/>
    <m/>
  </r>
  <r>
    <n v="437"/>
    <s v="G10-44027"/>
    <x v="11"/>
    <x v="15"/>
    <s v="Linear spot grills"/>
    <s v="900 x 150"/>
    <n v="4"/>
    <s v="No.s"/>
    <s v="Air master"/>
    <n v="459.00000000000006"/>
    <n v="1.8360000000000002E-4"/>
    <m/>
  </r>
  <r>
    <n v="438"/>
    <s v="G10-44027"/>
    <x v="11"/>
    <x v="15"/>
    <s v="Linear spot grills"/>
    <s v="1800 x 150"/>
    <n v="19"/>
    <s v="No.s"/>
    <s v="Air master"/>
    <n v="918.00000000000011"/>
    <n v="1.7442000000000004E-3"/>
    <m/>
  </r>
  <r>
    <n v="439"/>
    <s v="G10-44027"/>
    <x v="11"/>
    <x v="15"/>
    <s v="Linear spot grills"/>
    <s v="1200 x 150"/>
    <n v="29"/>
    <s v="No.s"/>
    <s v="Air master"/>
    <n v="612"/>
    <n v="1.7748E-3"/>
    <m/>
  </r>
  <r>
    <n v="440"/>
    <s v="G10-44027"/>
    <x v="11"/>
    <x v="15"/>
    <s v="Linear spot grills"/>
    <s v="1800 x 350"/>
    <n v="4"/>
    <s v="No.s"/>
    <s v="Air master"/>
    <n v="2142"/>
    <n v="8.5680000000000001E-4"/>
    <m/>
  </r>
  <r>
    <n v="441"/>
    <s v="G10-44027"/>
    <x v="11"/>
    <x v="15"/>
    <s v="Linear spot grills"/>
    <s v="1400 x 350"/>
    <n v="1"/>
    <s v="No.s"/>
    <s v="Air master"/>
    <n v="1665.9999999999998"/>
    <n v="1.6659999999999998E-4"/>
    <m/>
  </r>
  <r>
    <n v="442"/>
    <s v="G10-44027"/>
    <x v="11"/>
    <x v="15"/>
    <s v="Linear spot grills"/>
    <s v="1200 x 350"/>
    <n v="2"/>
    <s v="No.s"/>
    <s v="Air master"/>
    <n v="1428"/>
    <n v="2.856E-4"/>
    <m/>
  </r>
  <r>
    <n v="443"/>
    <s v="G10-44027"/>
    <x v="11"/>
    <x v="14"/>
    <s v="Collar dampers"/>
    <s v="450 x 150"/>
    <n v="30"/>
    <s v="No.s"/>
    <s v="Air master"/>
    <n v="340"/>
    <n v="1.0200000000000001E-3"/>
    <m/>
  </r>
  <r>
    <n v="444"/>
    <s v="G10-44027"/>
    <x v="11"/>
    <x v="14"/>
    <s v="Collar dampers"/>
    <s v="850 x 300"/>
    <n v="12"/>
    <s v="No.s"/>
    <s v="Air master"/>
    <n v="867"/>
    <n v="1.0403999999999999E-3"/>
    <m/>
  </r>
  <r>
    <n v="445"/>
    <s v="G10-44027"/>
    <x v="11"/>
    <x v="14"/>
    <s v="Collar dampers"/>
    <s v="600 x 150"/>
    <n v="35"/>
    <s v="No.s"/>
    <s v="Air master"/>
    <n v="340"/>
    <n v="1.1900000000000001E-3"/>
    <m/>
  </r>
  <r>
    <n v="446"/>
    <s v="G10-44027"/>
    <x v="11"/>
    <x v="14"/>
    <s v="Collar dampers"/>
    <s v="450 x 150"/>
    <n v="15"/>
    <s v="No.s"/>
    <s v="Air master"/>
    <n v="340"/>
    <n v="5.1000000000000004E-4"/>
    <m/>
  </r>
  <r>
    <n v="447"/>
    <s v="G10-44027"/>
    <x v="11"/>
    <x v="14"/>
    <s v="Collar dampers"/>
    <s v="900 x 450"/>
    <n v="4"/>
    <s v="No.s"/>
    <s v="Air master"/>
    <n v="1377"/>
    <n v="5.5080000000000005E-4"/>
    <m/>
  </r>
  <r>
    <n v="448"/>
    <s v="G10-44027"/>
    <x v="11"/>
    <x v="14"/>
    <s v="Collar dampers"/>
    <s v="300 x 300"/>
    <n v="1"/>
    <s v="No.s"/>
    <s v="Air master"/>
    <n v="340"/>
    <n v="3.4E-5"/>
    <m/>
  </r>
  <r>
    <n v="449"/>
    <s v="G10-44027"/>
    <x v="11"/>
    <x v="11"/>
    <s v="Al Armoured cable"/>
    <s v="3cx35 Sqmm"/>
    <n v="836"/>
    <s v="Rmt"/>
    <s v="KEI"/>
    <n v="138"/>
    <n v="1.15368E-2"/>
    <m/>
  </r>
  <r>
    <n v="450"/>
    <s v="G10-44027"/>
    <x v="11"/>
    <x v="11"/>
    <s v="Al Armoured cable-FRLS"/>
    <s v="3.5C X 300sqmm"/>
    <n v="79"/>
    <s v="Rmt"/>
    <s v="KEI"/>
    <n v="1101"/>
    <n v="8.6978999999999997E-3"/>
    <m/>
  </r>
  <r>
    <n v="451"/>
    <s v="G10-44027"/>
    <x v="11"/>
    <x v="11"/>
    <s v="Al Armoured cable-FRLS"/>
    <s v="3.5C X 300sqmm"/>
    <n v="90"/>
    <s v="Rmt"/>
    <s v="KEI"/>
    <n v="1101"/>
    <n v="9.9089999999999994E-3"/>
    <m/>
  </r>
  <r>
    <n v="452"/>
    <s v="G10-44027"/>
    <x v="11"/>
    <x v="11"/>
    <s v="Al Armoured cable-FRLS"/>
    <s v="3.5C X 240sqmm"/>
    <n v="214"/>
    <s v="Rmt"/>
    <s v="KEI"/>
    <n v="870"/>
    <n v="1.8617999999999999E-2"/>
    <m/>
  </r>
  <r>
    <n v="453"/>
    <s v="G10-44027"/>
    <x v="11"/>
    <x v="11"/>
    <s v="Al Armoured cable-FRLS"/>
    <s v="3.5C X 150sqmm"/>
    <n v="40"/>
    <s v="Rmt"/>
    <s v="KEI"/>
    <n v="575"/>
    <n v="2.3E-3"/>
    <m/>
  </r>
  <r>
    <n v="454"/>
    <s v="G10-44027"/>
    <x v="11"/>
    <x v="11"/>
    <s v="Al Armoured cable-FRLS"/>
    <s v="3.5C X 70sqmm"/>
    <n v="54"/>
    <s v="Rmt"/>
    <s v="KEI"/>
    <n v="310"/>
    <n v="1.6739999999999999E-3"/>
    <m/>
  </r>
  <r>
    <n v="455"/>
    <s v="G10-44027"/>
    <x v="11"/>
    <x v="11"/>
    <s v="Al Armoured cable-FRLS"/>
    <s v="3.5C X 50sqmm"/>
    <n v="34"/>
    <s v="Rmt"/>
    <s v="KEI"/>
    <n v="231"/>
    <n v="7.8540000000000001E-4"/>
    <m/>
  </r>
  <r>
    <n v="456"/>
    <s v="G10-30013"/>
    <x v="12"/>
    <x v="0"/>
    <s v="150 mm dia MS pipe"/>
    <s v="150mm"/>
    <n v="600"/>
    <s v="M"/>
    <s v="Jindal Hissar"/>
    <n v="1064"/>
    <n v="6.3839999999999994E-2"/>
    <m/>
  </r>
  <r>
    <n v="457"/>
    <s v="G10-30013"/>
    <x v="12"/>
    <x v="0"/>
    <s v="40 mm GI pipe"/>
    <s v="40mm"/>
    <n v="800"/>
    <s v="M"/>
    <s v="Jindal Hissar"/>
    <n v="222.48"/>
    <n v="1.7798399999999999E-2"/>
    <m/>
  </r>
  <r>
    <n v="458"/>
    <s v="G10-30013"/>
    <x v="12"/>
    <x v="0"/>
    <s v="32 mm GI pipe"/>
    <s v="32mm"/>
    <n v="200"/>
    <s v="M"/>
    <s v="Jindal Hissar"/>
    <n v="254.34"/>
    <n v="5.0867999999999998E-3"/>
    <m/>
  </r>
  <r>
    <n v="459"/>
    <s v="G10-30013"/>
    <x v="12"/>
    <x v="0"/>
    <s v="25mm uPVC pipe"/>
    <s v="25mm"/>
    <n v="900"/>
    <s v="M"/>
    <s v="Prince"/>
    <n v="80.98"/>
    <n v="7.2881999999999999E-3"/>
    <m/>
  </r>
  <r>
    <n v="460"/>
    <s v="G10-30013"/>
    <x v="12"/>
    <x v="6"/>
    <s v="Duct Acostic 10mm"/>
    <s v="10mm"/>
    <n v="2000"/>
    <s v="Sqmtr"/>
    <s v="ALP"/>
    <n v="345"/>
    <n v="6.9000000000000006E-2"/>
    <m/>
  </r>
  <r>
    <n v="461"/>
    <s v="G10-30013"/>
    <x v="12"/>
    <x v="11"/>
    <s v="3.5CX120 Sqmm  Al Arm."/>
    <s v="3.5CX120sqmm"/>
    <n v="120"/>
    <s v="M"/>
    <s v="KEI Cables"/>
    <n v="455.09"/>
    <n v="5.4610799999999992E-3"/>
    <m/>
  </r>
  <r>
    <n v="462"/>
    <s v="G10-30013"/>
    <x v="12"/>
    <x v="11"/>
    <s v="3.5CX70 Sqmm FS Al Arm."/>
    <s v="3.5CX70sqmm"/>
    <n v="95"/>
    <s v="M"/>
    <s v="KEI Cables"/>
    <n v="546.25"/>
    <n v="5.1893750000000004E-3"/>
    <m/>
  </r>
  <r>
    <n v="463"/>
    <s v="G10-30013"/>
    <x v="12"/>
    <x v="11"/>
    <s v="3.5CX50 Sqmm FS Al. Arm"/>
    <s v="3.5CX50sqmm"/>
    <n v="445"/>
    <s v="M"/>
    <s v="KEI Cables"/>
    <n v="411.01"/>
    <n v="1.8289944999999998E-2"/>
    <m/>
  </r>
  <r>
    <n v="464"/>
    <s v="G10-30013"/>
    <x v="12"/>
    <x v="11"/>
    <s v="3.5CX240 Sqmm  Al Arm."/>
    <s v="3.5CX240sqmm"/>
    <n v="105"/>
    <s v="M"/>
    <s v="KEI Cables"/>
    <n v="985.32"/>
    <n v="1.034586E-2"/>
    <m/>
  </r>
  <r>
    <n v="465"/>
    <s v="G10-30013"/>
    <x v="12"/>
    <x v="11"/>
    <s v="3.5CX240 Sqmm FS Al Arm."/>
    <s v="3.5CX240sqmm"/>
    <n v="74"/>
    <s v="M"/>
    <s v="KEI Cables"/>
    <n v="1367.48"/>
    <n v="1.0119352E-2"/>
    <m/>
  </r>
  <r>
    <n v="466"/>
    <s v="G10-30013"/>
    <x v="12"/>
    <x v="6"/>
    <s v="Y Strainer 100mm"/>
    <s v="100mm"/>
    <n v="3"/>
    <s v="EA"/>
    <s v="Zoloto"/>
    <n v="6794.55"/>
    <n v="2.0383650000000003E-3"/>
    <m/>
  </r>
  <r>
    <n v="467"/>
    <s v="G10-30013"/>
    <x v="12"/>
    <x v="6"/>
    <s v="Y Strainer 200mm"/>
    <s v="200mm"/>
    <n v="1"/>
    <s v="EA"/>
    <s v="Zoloto"/>
    <n v="24606.75"/>
    <n v="2.4606749999999998E-3"/>
    <m/>
  </r>
  <r>
    <n v="468"/>
    <s v="G28-44006"/>
    <x v="13"/>
    <x v="11"/>
    <s v="1C X 300 Sqmm Cu YY"/>
    <s v="Cu. Flexyble "/>
    <n v="842"/>
    <s v="M"/>
    <s v="KEI"/>
    <n v="2580"/>
    <n v="0.21723600000000001"/>
    <m/>
  </r>
  <r>
    <n v="469"/>
    <s v="G28-44006"/>
    <x v="13"/>
    <x v="11"/>
    <s v="1C X 240 Sqmm Cu YY Black"/>
    <s v="Cu. Flexyble "/>
    <n v="425"/>
    <s v="M"/>
    <s v="KEI"/>
    <n v="1979.66"/>
    <n v="8.4135550000000003E-2"/>
    <m/>
  </r>
  <r>
    <n v="470"/>
    <s v="G28-44006"/>
    <x v="13"/>
    <x v="11"/>
    <s v="4C X 4 Sqmm Cu Armd"/>
    <s v="Cu.Armoured"/>
    <n v="90"/>
    <s v="M"/>
    <s v="KEI"/>
    <n v="151"/>
    <n v="1.359E-3"/>
    <m/>
  </r>
  <r>
    <n v="471"/>
    <s v="G28-44006"/>
    <x v="13"/>
    <x v="11"/>
    <s v="5C X 6 Sqmm Cu Flexible"/>
    <s v="Cu. Flexyble "/>
    <n v="360"/>
    <s v="M"/>
    <s v="KEI"/>
    <n v="267.45"/>
    <n v="9.6282E-3"/>
    <m/>
  </r>
  <r>
    <n v="472"/>
    <s v="G28-44006"/>
    <x v="13"/>
    <x v="11"/>
    <s v="3C X 6 Sqmm Cu Flexible"/>
    <s v="Cu. Flexyble "/>
    <n v="1823"/>
    <s v="M"/>
    <s v="KEI"/>
    <n v="162.09"/>
    <n v="2.9549007000000002E-2"/>
    <m/>
  </r>
  <r>
    <n v="473"/>
    <s v="G28-44006"/>
    <x v="13"/>
    <x v="11"/>
    <s v="1C X 240 Sqmm Al Un- Armd"/>
    <s v="Al. Un-Armd"/>
    <n v="364"/>
    <s v="M"/>
    <s v="KEI"/>
    <n v="235"/>
    <n v="8.5540000000000008E-3"/>
    <m/>
  </r>
  <r>
    <n v="474"/>
    <s v="G28-44006"/>
    <x v="13"/>
    <x v="11"/>
    <s v="3.5C X 95 Sqmm Al Armd"/>
    <s v="Al-Armd"/>
    <n v="183"/>
    <s v="M"/>
    <s v="KEI"/>
    <n v="351"/>
    <n v="6.4232999999999998E-3"/>
    <m/>
  </r>
  <r>
    <n v="475"/>
    <s v="G28-44006"/>
    <x v="13"/>
    <x v="11"/>
    <s v="3.5C X 120 Sqmm Al Armd"/>
    <s v="Al-Armd"/>
    <n v="132"/>
    <s v="M"/>
    <s v="KEI"/>
    <n v="435"/>
    <n v="5.7419999999999997E-3"/>
    <m/>
  </r>
  <r>
    <n v="476"/>
    <s v="G28-44006"/>
    <x v="13"/>
    <x v="11"/>
    <s v="4C X 25 Sqmm Al Armd"/>
    <s v="Al-Armd"/>
    <n v="59"/>
    <s v="M"/>
    <s v="KEI"/>
    <n v="150"/>
    <n v="8.8500000000000004E-4"/>
    <m/>
  </r>
  <r>
    <n v="477"/>
    <s v="G28-44006"/>
    <x v="13"/>
    <x v="11"/>
    <s v="3.5C X 240 Sqmm Al Armd"/>
    <s v="Al-Armd"/>
    <n v="150"/>
    <s v="M"/>
    <s v="KEI"/>
    <n v="831"/>
    <n v="1.2465E-2"/>
    <m/>
  </r>
  <r>
    <n v="478"/>
    <s v="G28-44006"/>
    <x v="13"/>
    <x v="11"/>
    <s v="3C X 300 Sqmm Al UE HT Cable "/>
    <s v="11KV, Al.UE cable"/>
    <n v="27"/>
    <s v="M"/>
    <s v="Polycab"/>
    <n v="1692"/>
    <n v="4.5684000000000002E-3"/>
    <m/>
  </r>
  <r>
    <n v="479"/>
    <s v="G28-44006"/>
    <x v="13"/>
    <x v="11"/>
    <s v="1C X 4 Sqmm Cu Black"/>
    <s v="Cu. Flexyble "/>
    <n v="164"/>
    <s v="M"/>
    <s v="KEI"/>
    <n v="31.27"/>
    <n v="5.12828E-4"/>
    <m/>
  </r>
  <r>
    <n v="480"/>
    <s v="G28-44006"/>
    <x v="13"/>
    <x v="11"/>
    <s v="1C X 185 Sqmm Al.un-Armd"/>
    <s v="Al.un-Armd"/>
    <n v="428"/>
    <s v="M"/>
    <s v="KEI"/>
    <n v="1495.13"/>
    <n v="6.3991564000000001E-2"/>
    <m/>
  </r>
  <r>
    <n v="481"/>
    <s v="G28-44006"/>
    <x v="13"/>
    <x v="11"/>
    <s v="1C X 630 Sqmm Al E HT Cable "/>
    <s v="11KV, Al.E cable"/>
    <n v="23"/>
    <s v="M"/>
    <s v="KEI"/>
    <n v="818"/>
    <n v="1.8814000000000001E-3"/>
    <m/>
  </r>
  <r>
    <n v="482"/>
    <s v="G28-44006"/>
    <x v="13"/>
    <x v="11"/>
    <s v="3.5C X 35 Sqmm Cu Armd"/>
    <s v="Cu.Armoured"/>
    <n v="178"/>
    <s v="M"/>
    <s v="KEI"/>
    <n v="1058"/>
    <n v="1.8832399999999999E-2"/>
    <m/>
  </r>
  <r>
    <n v="483"/>
    <s v="G28-44006"/>
    <x v="13"/>
    <x v="16"/>
    <s v="1000*100 GI Lader Type"/>
    <s v="2mm, GI Ladder Tray"/>
    <n v="240"/>
    <s v="M"/>
    <s v="Niedax"/>
    <n v="641"/>
    <n v="1.5384E-2"/>
    <m/>
  </r>
  <r>
    <n v="484"/>
    <s v="G28-44006"/>
    <x v="13"/>
    <x v="16"/>
    <s v="900*100mm GI Perf Tray"/>
    <s v="2mm, GI Perforated Tray"/>
    <n v="450"/>
    <s v="M"/>
    <s v="Electrofab"/>
    <n v="1625"/>
    <n v="7.3124999999999996E-2"/>
    <m/>
  </r>
  <r>
    <n v="485"/>
    <s v="G28-44006"/>
    <x v="13"/>
    <x v="16"/>
    <s v="600*100mm GI Perf Tray"/>
    <s v="2mm, GI Perforated Tray"/>
    <n v="400"/>
    <s v="M"/>
    <s v="Niedax"/>
    <n v="1103"/>
    <n v="4.4119999999999999E-2"/>
    <m/>
  </r>
  <r>
    <n v="486"/>
    <s v="G28-28003"/>
    <x v="14"/>
    <x v="0"/>
    <s v="MS ERW PIPE IS:1239 - 25NB X HEAVY (6.35MM)"/>
    <s v="MS ERW"/>
    <n v="360"/>
    <s v="Mtr"/>
    <s v="JINDAL"/>
    <n v="169"/>
    <n v="6.084E-3"/>
    <m/>
  </r>
  <r>
    <n v="487"/>
    <s v="G28-28003"/>
    <x v="14"/>
    <x v="0"/>
    <s v="MS ERW PIPE IS:1239 - 32NB X HEAVY (6.35MM)"/>
    <s v="MS ERW"/>
    <n v="72"/>
    <s v="Mtr"/>
    <s v="JINDAL"/>
    <n v="202.6"/>
    <n v="1.4587199999999999E-3"/>
    <m/>
  </r>
  <r>
    <n v="488"/>
    <s v="G28-28003"/>
    <x v="14"/>
    <x v="0"/>
    <s v="MS ERW PIPE IS:1239 - 40NB X HEAVY (6.35MM)"/>
    <s v="MS ERW"/>
    <n v="72"/>
    <s v="Mtr"/>
    <s v="JINDAL"/>
    <n v="253"/>
    <n v="1.8216E-3"/>
    <m/>
  </r>
  <r>
    <n v="489"/>
    <s v="G28-28003"/>
    <x v="14"/>
    <x v="0"/>
    <s v="MS ERW PIPE IS:3589 - 250NB X HEAVY (8MM)"/>
    <s v="MS ERW"/>
    <n v="180.5"/>
    <s v="Mtr"/>
    <s v="JINDAL"/>
    <n v="3152"/>
    <n v="5.6893600000000003E-2"/>
    <m/>
  </r>
  <r>
    <n v="490"/>
    <s v="G28-28003"/>
    <x v="14"/>
    <x v="0"/>
    <s v="MS ERW PIPE IS:3589 - 300NB X HEAVY (8MM)"/>
    <s v="MS ERW"/>
    <n v="6"/>
    <s v="Mtr"/>
    <s v="JINDAL"/>
    <n v="3560"/>
    <n v="2.1359999999999999E-3"/>
    <m/>
  </r>
  <r>
    <n v="491"/>
    <s v="G28-28003"/>
    <x v="14"/>
    <x v="0"/>
    <s v="MS ERW PIPE IS:3589 - 350NB X HEAVY (8MM)"/>
    <s v="MS ERW"/>
    <n v="2"/>
    <s v="Mtr"/>
    <s v="JINDAL"/>
    <n v="3929"/>
    <n v="7.8580000000000002E-4"/>
    <m/>
  </r>
  <r>
    <n v="492"/>
    <s v="G28-28003"/>
    <x v="14"/>
    <x v="0"/>
    <s v="MS ERW PIPE IS:3589 - 400NB X HEAVY (8MM)"/>
    <s v="MS ERW"/>
    <n v="17.600000000000001"/>
    <s v="Mtr"/>
    <s v="JINDAL"/>
    <n v="4400"/>
    <n v="7.744E-3"/>
    <m/>
  </r>
  <r>
    <n v="493"/>
    <s v="G28-28003"/>
    <x v="14"/>
    <x v="6"/>
    <s v="150 x 75mm (EPS PIPE SECTION )"/>
    <m/>
    <n v="140"/>
    <s v="Rmt"/>
    <s v="STYRENE PACKINGS"/>
    <n v="583.53"/>
    <n v="8.1694200000000002E-3"/>
    <m/>
  </r>
  <r>
    <n v="494"/>
    <s v="G28-28003"/>
    <x v="14"/>
    <x v="6"/>
    <s v="200 x 75mm (EPS PIPE SECTION )"/>
    <m/>
    <n v="125"/>
    <s v="Rmt"/>
    <m/>
    <n v="628.04999999999995"/>
    <n v="7.850625E-3"/>
    <m/>
  </r>
  <r>
    <n v="495"/>
    <s v="G28-28003"/>
    <x v="14"/>
    <x v="6"/>
    <s v="PIR Duct 30 mm (Uncut Sheet)"/>
    <m/>
    <n v="288"/>
    <s v="SQM"/>
    <s v="ASAWA INSULATION"/>
    <n v="1111"/>
    <n v="3.1996799999999999E-2"/>
    <m/>
  </r>
  <r>
    <n v="496"/>
    <s v="G28-28003"/>
    <x v="14"/>
    <x v="6"/>
    <s v="PIR Duct 20 mm  (Uncut Sheet)"/>
    <m/>
    <n v="48"/>
    <s v="SQM"/>
    <m/>
    <n v="940"/>
    <n v="4.5120000000000004E-3"/>
    <m/>
  </r>
  <r>
    <n v="497"/>
    <s v="G28-28003"/>
    <x v="14"/>
    <x v="6"/>
    <s v="25 mm Nitrile Rubber sheet"/>
    <s v="9.6 SQM/Roll"/>
    <n v="10"/>
    <s v="Roll"/>
    <s v="ARMACELL"/>
    <n v="480"/>
    <n v="4.8000000000000001E-4"/>
    <m/>
  </r>
  <r>
    <n v="498"/>
    <s v="G28-28003"/>
    <x v="14"/>
    <x v="6"/>
    <s v="15 mm Acoustic Insulation(Nitrile Rubber)"/>
    <m/>
    <n v="105"/>
    <s v="SQM"/>
    <s v="MITZVAH"/>
    <n v="151"/>
    <n v="1.5855000000000001E-3"/>
    <m/>
  </r>
  <r>
    <n v="499"/>
    <s v="G28-28003"/>
    <x v="14"/>
    <x v="6"/>
    <s v="MITZVAH AIR CURTAIN ( ASP 2120 AP)  "/>
    <m/>
    <n v="12"/>
    <s v="Nos"/>
    <m/>
    <n v="17706"/>
    <n v="2.1247200000000001E-2"/>
    <m/>
  </r>
  <r>
    <n v="500"/>
    <s v="G28-28003"/>
    <x v="14"/>
    <x v="6"/>
    <s v="MITZVAH AIR CURTAIN ( ASP 3180 AP) "/>
    <m/>
    <n v="4"/>
    <s v="Nos"/>
    <m/>
    <n v="23010"/>
    <n v="9.2040000000000004E-3"/>
    <m/>
  </r>
  <r>
    <n v="501"/>
    <s v="G28-28003"/>
    <x v="14"/>
    <x v="6"/>
    <s v="MITZVAH AIR CURTAIN ( ASP 3150 AP)"/>
    <m/>
    <n v="20"/>
    <s v="Nos"/>
    <m/>
    <n v="23010"/>
    <n v="4.6019999999999998E-2"/>
    <m/>
  </r>
  <r>
    <n v="502"/>
    <s v="G28-28003"/>
    <x v="14"/>
    <x v="6"/>
    <s v="MITZVAH AIR CURTAIN ( ASP 2090 AP)"/>
    <m/>
    <n v="7"/>
    <s v="Nos"/>
    <m/>
    <n v="15366"/>
    <n v="1.07562E-2"/>
    <m/>
  </r>
  <r>
    <n v="503"/>
    <s v="G28-28003"/>
    <x v="14"/>
    <x v="15"/>
    <s v="Grill(600 X600)"/>
    <s v="4.88 Sqm"/>
    <n v="8"/>
    <s v="Nos"/>
    <s v="Tristar"/>
    <n v="2800"/>
    <n v="2.2399999999999998E-3"/>
    <m/>
  </r>
  <r>
    <n v="504"/>
    <s v="G28-28003"/>
    <x v="14"/>
    <x v="15"/>
    <s v="Grill(600 X150)"/>
    <m/>
    <n v="4"/>
    <s v="Nos"/>
    <m/>
    <n v="580"/>
    <n v="2.32E-4"/>
    <m/>
  </r>
  <r>
    <n v="505"/>
    <s v="G28-28003"/>
    <x v="14"/>
    <x v="15"/>
    <s v="Grill(300 X150)"/>
    <m/>
    <n v="4"/>
    <s v="Nos"/>
    <m/>
    <n v="580"/>
    <n v="2.32E-4"/>
    <m/>
  </r>
  <r>
    <n v="506"/>
    <s v="G28-28003"/>
    <x v="14"/>
    <x v="15"/>
    <s v="Grill(600 X150)"/>
    <m/>
    <n v="12"/>
    <s v="Nos"/>
    <m/>
    <n v="580"/>
    <n v="6.96E-4"/>
    <m/>
  </r>
  <r>
    <n v="507"/>
    <s v="G28-28003"/>
    <x v="14"/>
    <x v="17"/>
    <s v="Louver(700 X200)"/>
    <s v="2.535 Sqm"/>
    <n v="5"/>
    <s v="Nos"/>
    <m/>
    <n v="823.5"/>
    <n v="4.1175000000000001E-4"/>
    <m/>
  </r>
  <r>
    <n v="508"/>
    <s v="G28-28003"/>
    <x v="14"/>
    <x v="17"/>
    <s v="Louver(350 X150)"/>
    <m/>
    <n v="1"/>
    <s v="Nos"/>
    <m/>
    <n v="823.5"/>
    <n v="8.2349999999999996E-5"/>
    <m/>
  </r>
  <r>
    <n v="509"/>
    <s v="G28-28003"/>
    <x v="14"/>
    <x v="17"/>
    <s v="Louver(350 X200)"/>
    <m/>
    <n v="1"/>
    <s v="Nos"/>
    <m/>
    <n v="823.5"/>
    <n v="8.2349999999999996E-5"/>
    <m/>
  </r>
  <r>
    <n v="510"/>
    <s v="G28-28003"/>
    <x v="14"/>
    <x v="17"/>
    <s v="Louver(300 X300)"/>
    <m/>
    <n v="1"/>
    <s v="Nos"/>
    <m/>
    <n v="823.5"/>
    <n v="8.2349999999999996E-5"/>
    <m/>
  </r>
  <r>
    <n v="511"/>
    <s v="G28-28003"/>
    <x v="14"/>
    <x v="17"/>
    <s v="Louver(250 X250)"/>
    <m/>
    <n v="1"/>
    <s v="Nos"/>
    <m/>
    <n v="823.5"/>
    <n v="8.2349999999999996E-5"/>
    <m/>
  </r>
  <r>
    <n v="512"/>
    <s v="G28-28003"/>
    <x v="14"/>
    <x v="17"/>
    <s v="Louver(500 X250)"/>
    <m/>
    <n v="1"/>
    <s v="Nos"/>
    <m/>
    <n v="823.5"/>
    <n v="8.2349999999999996E-5"/>
    <m/>
  </r>
  <r>
    <n v="513"/>
    <s v="G28-28003"/>
    <x v="14"/>
    <x v="17"/>
    <s v="Louver(750 X 600)"/>
    <m/>
    <n v="1"/>
    <s v="Nos"/>
    <m/>
    <n v="3705.75"/>
    <n v="3.70575E-4"/>
    <m/>
  </r>
  <r>
    <n v="514"/>
    <s v="G28-28003"/>
    <x v="14"/>
    <x v="17"/>
    <s v="Louver(750 x 500)"/>
    <m/>
    <n v="1"/>
    <s v="Nos"/>
    <m/>
    <n v="2882.25"/>
    <n v="2.8822500000000003E-4"/>
    <m/>
  </r>
  <r>
    <n v="515"/>
    <s v="G28-28003"/>
    <x v="14"/>
    <x v="17"/>
    <s v="Louver(800 x 200)"/>
    <m/>
    <n v="1"/>
    <s v="Nos"/>
    <m/>
    <n v="1317.6"/>
    <n v="1.3176E-4"/>
    <m/>
  </r>
  <r>
    <n v="516"/>
    <s v="G28-28003"/>
    <x v="14"/>
    <x v="17"/>
    <s v="Louver(500 x 250)"/>
    <m/>
    <n v="1"/>
    <s v="Nos"/>
    <m/>
    <n v="1029.375"/>
    <n v="1.029375E-4"/>
    <m/>
  </r>
  <r>
    <n v="517"/>
    <s v="G28-28003"/>
    <x v="14"/>
    <x v="17"/>
    <s v="Louver(450 x 200)"/>
    <m/>
    <n v="2"/>
    <s v="Nos"/>
    <m/>
    <n v="823.5"/>
    <n v="1.6469999999999999E-4"/>
    <m/>
  </r>
  <r>
    <n v="518"/>
    <s v="G28-28003"/>
    <x v="14"/>
    <x v="14"/>
    <s v="VCD(200 X150)"/>
    <s v="9.74 Sqm"/>
    <n v="7"/>
    <s v="Nos"/>
    <m/>
    <n v="823.5"/>
    <n v="5.7645000000000005E-4"/>
    <m/>
  </r>
  <r>
    <n v="519"/>
    <s v="G28-28003"/>
    <x v="14"/>
    <x v="14"/>
    <s v="VCD(350 X350)"/>
    <m/>
    <n v="2"/>
    <s v="Nos"/>
    <m/>
    <n v="1008.788"/>
    <n v="2.0175760000000001E-4"/>
    <m/>
  </r>
  <r>
    <n v="520"/>
    <s v="G28-28003"/>
    <x v="14"/>
    <x v="14"/>
    <s v="VCD(400 X200)"/>
    <m/>
    <n v="2"/>
    <s v="Nos"/>
    <m/>
    <n v="823.5"/>
    <n v="1.6469999999999999E-4"/>
    <m/>
  </r>
  <r>
    <n v="521"/>
    <s v="G28-28003"/>
    <x v="14"/>
    <x v="14"/>
    <s v="VCD(1250 X400)"/>
    <m/>
    <n v="9"/>
    <s v="Nos"/>
    <m/>
    <n v="4117.5"/>
    <n v="3.7057499999999998E-3"/>
    <m/>
  </r>
  <r>
    <n v="522"/>
    <s v="G28-28003"/>
    <x v="14"/>
    <x v="14"/>
    <s v="VCD(1300 X400)"/>
    <m/>
    <n v="1"/>
    <s v="Nos"/>
    <m/>
    <n v="4282.2"/>
    <n v="4.2821999999999999E-4"/>
    <m/>
  </r>
  <r>
    <n v="523"/>
    <s v="G28-28003"/>
    <x v="14"/>
    <x v="14"/>
    <s v="VCD(700 X400)"/>
    <m/>
    <n v="1"/>
    <s v="Nos"/>
    <m/>
    <n v="2305.8000000000002"/>
    <n v="2.3058E-4"/>
    <m/>
  </r>
  <r>
    <n v="524"/>
    <s v="G28-28003"/>
    <x v="14"/>
    <x v="14"/>
    <s v="VCD(1400 X400)"/>
    <m/>
    <n v="4"/>
    <s v="Nos"/>
    <m/>
    <n v="4611.6000000000004"/>
    <n v="1.84464E-3"/>
    <m/>
  </r>
  <r>
    <n v="525"/>
    <s v="G28-28003"/>
    <x v="14"/>
    <x v="6"/>
    <s v="Diffuser (300 x 300/600 x 600)"/>
    <s v="2.16 Sqm"/>
    <n v="5"/>
    <s v="Nos"/>
    <m/>
    <n v="1350"/>
    <n v="6.7500000000000004E-4"/>
    <m/>
  </r>
  <r>
    <n v="526"/>
    <s v="G28-28003"/>
    <x v="14"/>
    <x v="6"/>
    <s v="Diffuser (375 x 375/600 x 600)"/>
    <m/>
    <n v="1"/>
    <s v="Nos"/>
    <m/>
    <n v="1687.5"/>
    <n v="1.6875000000000001E-4"/>
    <m/>
  </r>
  <r>
    <n v="527"/>
    <s v="G28-28003"/>
    <x v="14"/>
    <x v="6"/>
    <s v="300 MM MOTORISED BUTTERFLY VALVE"/>
    <m/>
    <n v="1"/>
    <s v="Nos"/>
    <s v="CASTLE"/>
    <n v="46831"/>
    <n v="4.6830999999999999E-3"/>
    <m/>
  </r>
  <r>
    <n v="528"/>
    <s v="G28-28003"/>
    <x v="14"/>
    <x v="6"/>
    <s v="200MM BUTTERFLY VALVE (MOTORISED)"/>
    <m/>
    <n v="4"/>
    <s v="Nos"/>
    <m/>
    <n v="42873"/>
    <n v="1.71492E-2"/>
    <m/>
  </r>
  <r>
    <n v="529"/>
    <s v="G28-28003"/>
    <x v="14"/>
    <x v="6"/>
    <s v="32MM BALL VALVE BRASS"/>
    <m/>
    <n v="8"/>
    <s v="Nos"/>
    <m/>
    <n v="746"/>
    <n v="5.9679999999999998E-4"/>
    <m/>
  </r>
  <r>
    <n v="530"/>
    <s v="G28-28003"/>
    <x v="14"/>
    <x v="6"/>
    <s v="AIR VENT 32MM"/>
    <m/>
    <n v="12"/>
    <s v="Nos"/>
    <m/>
    <n v="332"/>
    <n v="3.9839999999999998E-4"/>
    <m/>
  </r>
  <r>
    <n v="531"/>
    <s v="G28-28003"/>
    <x v="14"/>
    <x v="16"/>
    <s v="450 MM P. TRAY HDG"/>
    <m/>
    <n v="85"/>
    <s v="Nos"/>
    <s v="NEHA ELECTRICAL _x000a_AND MECHANICAL WORKS ( ANANT POWER)"/>
    <n v="780"/>
    <n v="6.6299999999999996E-3"/>
    <m/>
  </r>
  <r>
    <n v="532"/>
    <s v="G28-28003"/>
    <x v="14"/>
    <x v="16"/>
    <s v="300 MM P.TRAY HDG"/>
    <m/>
    <n v="145"/>
    <s v="Nos"/>
    <m/>
    <n v="561"/>
    <n v="8.1344999999999994E-3"/>
    <m/>
  </r>
  <r>
    <n v="533"/>
    <s v="G28-28003"/>
    <x v="14"/>
    <x v="16"/>
    <s v="100 MM P.TRAY HDG"/>
    <m/>
    <n v="34"/>
    <s v="Nos"/>
    <m/>
    <n v="233"/>
    <n v="7.9219999999999996E-4"/>
    <m/>
  </r>
  <r>
    <n v="534"/>
    <s v="G28-28003"/>
    <x v="14"/>
    <x v="16"/>
    <s v="150 MM TRAY COVER"/>
    <m/>
    <n v="110"/>
    <s v="Nos"/>
    <m/>
    <n v="233"/>
    <n v="2.5630000000000002E-3"/>
    <m/>
  </r>
  <r>
    <n v="535"/>
    <s v="G28-28003"/>
    <x v="14"/>
    <x v="16"/>
    <s v="50MM TRAY COVER"/>
    <m/>
    <n v="200"/>
    <s v="Nos"/>
    <m/>
    <n v="233"/>
    <n v="4.6600000000000001E-3"/>
    <m/>
  </r>
  <r>
    <n v="536"/>
    <s v="G28-28003"/>
    <x v="14"/>
    <x v="16"/>
    <s v="150 MM P.TRAY GP"/>
    <m/>
    <n v="100"/>
    <s v="Nos"/>
    <m/>
    <n v="260"/>
    <n v="2.5999999999999999E-3"/>
    <m/>
  </r>
  <r>
    <n v="537"/>
    <s v="G28-28003"/>
    <x v="14"/>
    <x v="16"/>
    <s v="150 MM P.TRAY HDG"/>
    <m/>
    <n v="17"/>
    <s v="Nos"/>
    <m/>
    <n v="342"/>
    <n v="5.8140000000000004E-4"/>
    <m/>
  </r>
  <r>
    <n v="538"/>
    <s v="G28-28003"/>
    <x v="14"/>
    <x v="16"/>
    <s v="200 MM P.TRAY HDG"/>
    <m/>
    <n v="10"/>
    <s v="Nos"/>
    <m/>
    <n v="427"/>
    <n v="4.2700000000000002E-4"/>
    <m/>
  </r>
  <r>
    <n v="539"/>
    <s v="G28-28003"/>
    <x v="14"/>
    <x v="16"/>
    <s v="750MM LADDER TRAY"/>
    <m/>
    <n v="29"/>
    <s v="Nos"/>
    <m/>
    <n v="944"/>
    <n v="2.7376000000000002E-3"/>
    <m/>
  </r>
  <r>
    <n v="540"/>
    <s v="G28-28003"/>
    <x v="14"/>
    <x v="16"/>
    <s v="1000 MM LADDER TRAY"/>
    <m/>
    <n v="12"/>
    <s v="Nos"/>
    <m/>
    <n v="911"/>
    <n v="1.0931999999999999E-3"/>
    <m/>
  </r>
  <r>
    <n v="541"/>
    <s v="G28-28003"/>
    <x v="14"/>
    <x v="16"/>
    <s v="450 MM  TRAY COVER"/>
    <m/>
    <n v="7"/>
    <s v="Nos"/>
    <m/>
    <n v="428"/>
    <n v="2.9960000000000002E-4"/>
    <m/>
  </r>
  <r>
    <n v="542"/>
    <s v="G28-28003"/>
    <x v="14"/>
    <x v="5"/>
    <s v="1000X1000X750 MM TEE"/>
    <s v="LADDER TYPE"/>
    <n v="2"/>
    <s v="Nos"/>
    <m/>
    <n v="1597"/>
    <n v="3.1940000000000001E-4"/>
    <m/>
  </r>
  <r>
    <n v="543"/>
    <s v="G28-28003"/>
    <x v="14"/>
    <x v="5"/>
    <s v="1000X1000X1000 MM TEE"/>
    <s v="LADDER TYPE"/>
    <n v="7"/>
    <s v="Nos"/>
    <m/>
    <n v="1810"/>
    <n v="1.2669999999999999E-3"/>
    <m/>
  </r>
  <r>
    <n v="544"/>
    <s v="G28-28003"/>
    <x v="14"/>
    <x v="5"/>
    <s v="1000X1000X150 MM TEE"/>
    <s v="LADDER TYPE"/>
    <n v="18"/>
    <s v="Nos"/>
    <m/>
    <n v="1025.5"/>
    <n v="1.8458999999999999E-3"/>
    <m/>
  </r>
  <r>
    <n v="545"/>
    <s v="G28-28003"/>
    <x v="14"/>
    <x v="5"/>
    <s v="1000X1000X600 MM TEE"/>
    <s v="LADDER TYPE"/>
    <n v="16"/>
    <s v="Nos"/>
    <m/>
    <n v="1597.2"/>
    <n v="2.5555199999999999E-3"/>
    <m/>
  </r>
  <r>
    <n v="546"/>
    <s v="G28-28003"/>
    <x v="14"/>
    <x v="5"/>
    <s v="1000X1000X450 MM TEE"/>
    <s v="LADDER TYPE"/>
    <n v="5"/>
    <s v="Nos"/>
    <m/>
    <n v="1234.5"/>
    <n v="6.1724999999999996E-4"/>
    <m/>
  </r>
  <r>
    <n v="547"/>
    <s v="G28-28003"/>
    <x v="14"/>
    <x v="5"/>
    <s v="600x600x300 MM TEE"/>
    <s v="LADDER TYPE"/>
    <n v="2"/>
    <s v="Nos"/>
    <m/>
    <n v="1234.5"/>
    <n v="2.4689999999999998E-4"/>
    <m/>
  </r>
  <r>
    <n v="548"/>
    <s v="G28-28003"/>
    <x v="14"/>
    <x v="5"/>
    <s v="1000X300X300 MM TEE"/>
    <s v="LADDER TYPE"/>
    <n v="12"/>
    <s v="Nos"/>
    <m/>
    <n v="1597.2"/>
    <n v="1.9166400000000001E-3"/>
    <m/>
  </r>
  <r>
    <n v="549"/>
    <s v="G28-28003"/>
    <x v="14"/>
    <x v="5"/>
    <s v="150 TEE"/>
    <m/>
    <n v="103"/>
    <s v="Nos"/>
    <m/>
    <n v="2868.6"/>
    <n v="2.9546579999999999E-2"/>
    <m/>
  </r>
  <r>
    <n v="550"/>
    <s v="G28-28003"/>
    <x v="14"/>
    <x v="5"/>
    <s v="300X300X150 MM TEE"/>
    <m/>
    <n v="25"/>
    <s v="Nos"/>
    <m/>
    <n v="1425.6"/>
    <n v="3.5639999999999999E-3"/>
    <m/>
  </r>
  <r>
    <n v="551"/>
    <s v="G28-28003"/>
    <x v="14"/>
    <x v="5"/>
    <s v="450X450 MM TEE"/>
    <m/>
    <n v="9"/>
    <s v="Nos"/>
    <m/>
    <n v="1600"/>
    <n v="1.4400000000000001E-3"/>
    <m/>
  </r>
  <r>
    <n v="552"/>
    <s v="G28-28003"/>
    <x v="14"/>
    <x v="5"/>
    <s v="50 X150 TEE"/>
    <m/>
    <n v="137"/>
    <s v="Nos"/>
    <m/>
    <n v="1160"/>
    <n v="1.5892E-2"/>
    <m/>
  </r>
  <r>
    <n v="553"/>
    <s v="G28-28003"/>
    <x v="14"/>
    <x v="5"/>
    <s v="50 X 300 TEE"/>
    <m/>
    <n v="26"/>
    <s v="Nos"/>
    <m/>
    <n v="823"/>
    <n v="2.1397999999999999E-3"/>
    <m/>
  </r>
  <r>
    <n v="554"/>
    <s v="G28-28003"/>
    <x v="14"/>
    <x v="5"/>
    <s v="450 X150 TEE"/>
    <m/>
    <n v="10"/>
    <s v="Nos"/>
    <m/>
    <n v="2868.6"/>
    <n v="2.8685999999999998E-3"/>
    <m/>
  </r>
  <r>
    <n v="555"/>
    <s v="G28-28003"/>
    <x v="14"/>
    <x v="5"/>
    <s v="100X100X50 MM TEE"/>
    <m/>
    <n v="12"/>
    <s v="Nos"/>
    <m/>
    <n v="1540"/>
    <n v="1.848E-3"/>
    <m/>
  </r>
  <r>
    <n v="556"/>
    <s v="G28-28003"/>
    <x v="14"/>
    <x v="5"/>
    <s v="50 TEE"/>
    <m/>
    <n v="16"/>
    <s v="Nos"/>
    <m/>
    <n v="1160"/>
    <n v="1.856E-3"/>
    <m/>
  </r>
  <r>
    <n v="557"/>
    <s v="G28-28003"/>
    <x v="14"/>
    <x v="5"/>
    <s v="300X150 CROSS TEE"/>
    <m/>
    <n v="6"/>
    <s v="Nos"/>
    <m/>
    <n v="1425.6"/>
    <n v="8.5535999999999989E-4"/>
    <m/>
  </r>
  <r>
    <n v="558"/>
    <s v="G28-28003"/>
    <x v="14"/>
    <x v="5"/>
    <s v="50 CROSS TEE"/>
    <m/>
    <n v="30"/>
    <s v="Nos"/>
    <m/>
    <n v="1860"/>
    <n v="5.5799999999999999E-3"/>
    <m/>
  </r>
  <r>
    <n v="559"/>
    <s v="G28-28003"/>
    <x v="14"/>
    <x v="5"/>
    <s v="50X150 CROSS TEE"/>
    <m/>
    <n v="10"/>
    <s v="Nos"/>
    <m/>
    <n v="1860"/>
    <n v="1.8600000000000001E-3"/>
    <m/>
  </r>
  <r>
    <n v="560"/>
    <s v="G28-28003"/>
    <x v="14"/>
    <x v="6"/>
    <s v="1000 BEND "/>
    <m/>
    <n v="5"/>
    <s v="Nos"/>
    <m/>
    <n v="1500"/>
    <n v="7.5000000000000002E-4"/>
    <m/>
  </r>
  <r>
    <n v="561"/>
    <s v="G28-28003"/>
    <x v="14"/>
    <x v="6"/>
    <s v="50 BEND"/>
    <m/>
    <n v="100"/>
    <s v="Nos"/>
    <m/>
    <n v="480"/>
    <n v="4.7999999999999996E-3"/>
    <m/>
  </r>
  <r>
    <n v="562"/>
    <s v="G28-28003"/>
    <x v="14"/>
    <x v="6"/>
    <s v="450 BEND"/>
    <m/>
    <n v="15"/>
    <s v="Nos"/>
    <m/>
    <n v="972"/>
    <n v="1.4580000000000001E-3"/>
    <m/>
  </r>
  <r>
    <n v="563"/>
    <s v="G28-28003"/>
    <x v="14"/>
    <x v="6"/>
    <s v="150 BEND"/>
    <m/>
    <n v="80"/>
    <s v="Nos"/>
    <m/>
    <n v="426"/>
    <n v="3.408E-3"/>
    <m/>
  </r>
  <r>
    <n v="564"/>
    <s v="G28-28003"/>
    <x v="14"/>
    <x v="11"/>
    <s v="3C×4 sqmm cu"/>
    <s v="XLPE"/>
    <n v="1500"/>
    <s v="Mtr"/>
    <s v="Grandly"/>
    <n v="129"/>
    <n v="1.9349999999999999E-2"/>
    <m/>
  </r>
  <r>
    <n v="565"/>
    <s v="G28-28003"/>
    <x v="14"/>
    <x v="11"/>
    <s v="3C×6 sqmm cu"/>
    <s v="XLPE"/>
    <n v="3000"/>
    <s v="Mtr"/>
    <s v="Grandly"/>
    <n v="182"/>
    <n v="5.4600000000000003E-2"/>
    <m/>
  </r>
  <r>
    <n v="566"/>
    <s v="G28-28003"/>
    <x v="14"/>
    <x v="11"/>
    <s v="4C×2.5 sqmm cu"/>
    <s v="XLPE"/>
    <n v="400"/>
    <s v="Mtr"/>
    <s v="Grandly"/>
    <n v="115"/>
    <n v="4.5999999999999999E-3"/>
    <m/>
  </r>
  <r>
    <n v="567"/>
    <s v="G28-28003"/>
    <x v="14"/>
    <x v="11"/>
    <s v="4C×4 sqmm cu"/>
    <s v="XLPE"/>
    <n v="149"/>
    <s v="Mtr"/>
    <s v="Grandly"/>
    <n v="166"/>
    <n v="2.4734000000000002E-3"/>
    <m/>
  </r>
  <r>
    <n v="568"/>
    <s v="G28-28003"/>
    <x v="14"/>
    <x v="11"/>
    <s v="3.5C×70 sqmm Al"/>
    <s v="XLPE"/>
    <n v="79"/>
    <s v="Mtr"/>
    <s v="Grandly"/>
    <n v="288"/>
    <n v="2.2751999999999998E-3"/>
    <m/>
  </r>
  <r>
    <n v="569"/>
    <s v="G28-28003"/>
    <x v="14"/>
    <x v="11"/>
    <s v="3.5C×95 sqmm Al"/>
    <s v="XLPE"/>
    <n v="107"/>
    <s v="Mtr"/>
    <s v="Grandly"/>
    <n v="359"/>
    <n v="3.8413000000000002E-3"/>
    <m/>
  </r>
  <r>
    <n v="570"/>
    <s v="G28-28003"/>
    <x v="14"/>
    <x v="11"/>
    <s v="3.5C×150 sqmm Al"/>
    <s v="XLPE"/>
    <n v="348"/>
    <s v="Mtr"/>
    <s v="Grandly"/>
    <n v="534"/>
    <n v="1.8583200000000001E-2"/>
    <m/>
  </r>
  <r>
    <n v="571"/>
    <s v="G28-28003"/>
    <x v="14"/>
    <x v="11"/>
    <s v="3.5C×240 sqmm Al"/>
    <s v="XLPE"/>
    <n v="129"/>
    <s v="Mtr"/>
    <s v="Grandly"/>
    <n v="849"/>
    <n v="1.0952099999999999E-2"/>
    <m/>
  </r>
  <r>
    <n v="572"/>
    <s v="G28-28003"/>
    <x v="14"/>
    <x v="11"/>
    <s v="3C×4 sqmm cu"/>
    <s v="FS"/>
    <n v="49"/>
    <s v="Mtr"/>
    <s v="FUSION POLYMAR  INDUSTRIES"/>
    <n v="187"/>
    <n v="9.1629999999999999E-4"/>
    <m/>
  </r>
  <r>
    <n v="573"/>
    <s v="G28-28003"/>
    <x v="14"/>
    <x v="11"/>
    <s v="3C×6 sqmm cu"/>
    <s v="FS"/>
    <n v="100"/>
    <s v="Mtr"/>
    <s v="FUSION POLYMAR  INDUSTRIES"/>
    <n v="255"/>
    <n v="2.5500000000000002E-3"/>
    <m/>
  </r>
  <r>
    <n v="574"/>
    <s v="G28-28003"/>
    <x v="14"/>
    <x v="11"/>
    <s v="4C×4 sqmm cu"/>
    <s v="FS"/>
    <n v="50"/>
    <s v="Mtr"/>
    <s v="FUSION POLYMAR  INDUSTRIES"/>
    <n v="239"/>
    <n v="1.1950000000000001E-3"/>
    <m/>
  </r>
  <r>
    <n v="575"/>
    <s v="G28-28003"/>
    <x v="14"/>
    <x v="11"/>
    <s v="4C×6 sqmm cu"/>
    <s v="FS"/>
    <n v="201"/>
    <s v="Mtr"/>
    <s v="FUSION POLYMAR  INDUSTRIES"/>
    <n v="332"/>
    <n v="6.6731999999999998E-3"/>
    <m/>
  </r>
  <r>
    <n v="576"/>
    <s v="G28-28003"/>
    <x v="14"/>
    <x v="11"/>
    <s v="MCB"/>
    <s v="2P C 32A"/>
    <n v="31"/>
    <s v="Nos"/>
    <m/>
    <m/>
    <n v="0"/>
    <m/>
  </r>
  <r>
    <n v="577"/>
    <s v="G28-28003"/>
    <x v="14"/>
    <x v="11"/>
    <s v="MCB"/>
    <s v="4P C 63A"/>
    <n v="24"/>
    <s v="Nos"/>
    <m/>
    <m/>
    <n v="0"/>
    <m/>
  </r>
  <r>
    <n v="578"/>
    <s v="G28-28003"/>
    <x v="14"/>
    <x v="11"/>
    <s v="MCB"/>
    <s v="4P C 40A"/>
    <n v="21"/>
    <s v="Nos"/>
    <m/>
    <m/>
    <n v="0"/>
    <m/>
  </r>
  <r>
    <n v="579"/>
    <s v="G28-28003"/>
    <x v="14"/>
    <x v="11"/>
    <s v="MCB"/>
    <s v="2P C 40A"/>
    <n v="12"/>
    <s v="Nos"/>
    <m/>
    <m/>
    <n v="0"/>
    <m/>
  </r>
  <r>
    <n v="580"/>
    <s v="G28-28003"/>
    <x v="14"/>
    <x v="11"/>
    <s v="RCCB"/>
    <s v="2P 25A"/>
    <n v="12"/>
    <s v="Nos"/>
    <m/>
    <m/>
    <n v="0"/>
    <m/>
  </r>
  <r>
    <n v="581"/>
    <s v="G28-28003"/>
    <x v="14"/>
    <x v="11"/>
    <s v="RCCB"/>
    <s v="2P 63A"/>
    <n v="84"/>
    <s v="Nos"/>
    <m/>
    <m/>
    <n v="0"/>
    <m/>
  </r>
  <r>
    <n v="582"/>
    <s v="G28-28003"/>
    <x v="14"/>
    <x v="11"/>
    <s v="MCB"/>
    <s v="4P B 32A"/>
    <n v="1"/>
    <s v="Nos"/>
    <m/>
    <m/>
    <n v="0"/>
    <m/>
  </r>
  <r>
    <n v="583"/>
    <s v="G28-28003"/>
    <x v="14"/>
    <x v="6"/>
    <s v="SURGE ARRESTER"/>
    <s v="4P I MAX"/>
    <n v="66"/>
    <s v="Nos"/>
    <m/>
    <m/>
    <n v="0"/>
    <m/>
  </r>
  <r>
    <n v="584"/>
    <s v="G28-28003"/>
    <x v="14"/>
    <x v="10"/>
    <s v="MCB"/>
    <s v="1P B 10A"/>
    <n v="329"/>
    <s v="Nos"/>
    <m/>
    <m/>
    <n v="0"/>
    <m/>
  </r>
  <r>
    <n v="585"/>
    <s v="G28-28003"/>
    <x v="14"/>
    <x v="10"/>
    <s v="MCB"/>
    <s v="1P C 16A"/>
    <n v="853"/>
    <s v="Nos"/>
    <m/>
    <m/>
    <n v="0"/>
    <m/>
  </r>
  <r>
    <n v="586"/>
    <s v="G28-28003"/>
    <x v="14"/>
    <x v="10"/>
    <s v="MCB"/>
    <s v="1P C 25A"/>
    <n v="2"/>
    <s v="Nos"/>
    <m/>
    <m/>
    <n v="0"/>
    <m/>
  </r>
  <r>
    <n v="587"/>
    <s v="G28-28003"/>
    <x v="14"/>
    <x v="6"/>
    <s v="4TIER 40  DB"/>
    <m/>
    <n v="38"/>
    <s v="Nos"/>
    <m/>
    <m/>
    <n v="0"/>
    <m/>
  </r>
  <r>
    <n v="588"/>
    <s v="G28-28003"/>
    <x v="14"/>
    <x v="6"/>
    <s v="18 WAY SPN"/>
    <m/>
    <n v="3"/>
    <s v="Nos"/>
    <m/>
    <m/>
    <n v="0"/>
    <m/>
  </r>
  <r>
    <n v="589"/>
    <s v="G28-28003"/>
    <x v="14"/>
    <x v="6"/>
    <s v="12 WAY SPN"/>
    <m/>
    <n v="7"/>
    <s v="Nos"/>
    <m/>
    <m/>
    <n v="0"/>
    <m/>
  </r>
  <r>
    <n v="590"/>
    <s v="G28-28003"/>
    <x v="14"/>
    <x v="6"/>
    <s v="Chemical earth pit "/>
    <m/>
    <n v="46"/>
    <s v="Nos"/>
    <s v="JMV"/>
    <n v="4135"/>
    <n v="1.9021E-2"/>
    <m/>
  </r>
  <r>
    <n v="591"/>
    <s v="G28-28003"/>
    <x v="14"/>
    <x v="12"/>
    <s v="25 X 6 CU"/>
    <m/>
    <n v="400"/>
    <s v="Mtr"/>
    <m/>
    <n v="80"/>
    <n v="3.2000000000000002E-3"/>
    <m/>
  </r>
  <r>
    <n v="592"/>
    <s v="G28-28003"/>
    <x v="14"/>
    <x v="12"/>
    <s v="32 X6 CU"/>
    <m/>
    <n v="50"/>
    <s v="Mtr"/>
    <m/>
    <n v="102"/>
    <n v="5.1000000000000004E-4"/>
    <m/>
  </r>
  <r>
    <n v="593"/>
    <s v="G28-28003"/>
    <x v="14"/>
    <x v="6"/>
    <s v="POLYCARBONATE BOX THREE WAY"/>
    <s v="out door type"/>
    <n v="300"/>
    <s v="Nos"/>
    <s v="NEPTUNE "/>
    <n v="720"/>
    <n v="2.1600000000000001E-2"/>
    <m/>
  </r>
  <r>
    <n v="594"/>
    <s v="G28-28003"/>
    <x v="14"/>
    <x v="5"/>
    <s v="Tee"/>
    <m/>
    <n v="24"/>
    <m/>
    <m/>
    <n v="223"/>
    <n v="5.352E-4"/>
    <m/>
  </r>
  <r>
    <n v="595"/>
    <s v="G28-28003"/>
    <x v="14"/>
    <x v="5"/>
    <s v="Tee"/>
    <m/>
    <n v="6"/>
    <m/>
    <m/>
    <n v="304"/>
    <n v="1.8239999999999999E-4"/>
    <m/>
  </r>
  <r>
    <n v="596"/>
    <s v="G28-28003"/>
    <x v="14"/>
    <x v="5"/>
    <s v="Tee"/>
    <m/>
    <n v="20"/>
    <m/>
    <m/>
    <n v="445"/>
    <n v="8.8999999999999995E-4"/>
    <m/>
  </r>
  <r>
    <n v="597"/>
    <s v="G28-28003"/>
    <x v="14"/>
    <x v="5"/>
    <s v="Reducer"/>
    <m/>
    <n v="26"/>
    <m/>
    <m/>
    <n v="55.17"/>
    <n v="1.43442E-4"/>
    <m/>
  </r>
  <r>
    <n v="598"/>
    <s v="G28-28003"/>
    <x v="14"/>
    <x v="5"/>
    <s v="Reducer"/>
    <m/>
    <n v="7"/>
    <m/>
    <m/>
    <n v="1860"/>
    <n v="1.302E-3"/>
    <m/>
  </r>
  <r>
    <n v="599"/>
    <s v="G28-28003"/>
    <x v="14"/>
    <x v="5"/>
    <s v="Reducing Elbow"/>
    <m/>
    <n v="250"/>
    <m/>
    <m/>
    <n v="136.51"/>
    <n v="3.41275E-3"/>
    <m/>
  </r>
  <r>
    <n v="600"/>
    <s v="G28-28003"/>
    <x v="14"/>
    <x v="5"/>
    <s v="Reducing Tee"/>
    <m/>
    <n v="400"/>
    <m/>
    <m/>
    <n v="97"/>
    <n v="3.8800000000000002E-3"/>
    <m/>
  </r>
  <r>
    <n v="601"/>
    <s v="G28-28003"/>
    <x v="14"/>
    <x v="5"/>
    <s v="Reducing Tee"/>
    <m/>
    <n v="200"/>
    <m/>
    <m/>
    <n v="97"/>
    <n v="1.9400000000000001E-3"/>
    <m/>
  </r>
  <r>
    <n v="602"/>
    <s v="G28-28003"/>
    <x v="14"/>
    <x v="5"/>
    <s v="Cross Tee"/>
    <m/>
    <n v="4"/>
    <m/>
    <m/>
    <n v="1860"/>
    <n v="7.4399999999999998E-4"/>
    <m/>
  </r>
  <r>
    <n v="603"/>
    <s v="G28-28003"/>
    <x v="14"/>
    <x v="5"/>
    <s v="Cross Tee"/>
    <m/>
    <n v="2"/>
    <m/>
    <m/>
    <n v="1234.8"/>
    <n v="2.4696000000000001E-4"/>
    <m/>
  </r>
  <r>
    <n v="604"/>
    <s v="G28-28003"/>
    <x v="14"/>
    <x v="5"/>
    <s v="Cross Tee"/>
    <m/>
    <n v="5"/>
    <m/>
    <m/>
    <n v="1830"/>
    <n v="9.1500000000000001E-4"/>
    <m/>
  </r>
  <r>
    <n v="605"/>
    <s v="G28-28003"/>
    <x v="14"/>
    <x v="9"/>
    <s v="Reducer"/>
    <m/>
    <n v="5"/>
    <m/>
    <m/>
    <n v="476"/>
    <n v="2.3800000000000001E-4"/>
    <m/>
  </r>
  <r>
    <n v="606"/>
    <s v="G28-28003"/>
    <x v="14"/>
    <x v="9"/>
    <s v="Reducer"/>
    <m/>
    <n v="3"/>
    <m/>
    <m/>
    <n v="1118.18"/>
    <n v="3.35454E-4"/>
    <m/>
  </r>
  <r>
    <n v="607"/>
    <s v="G28-28003"/>
    <x v="14"/>
    <x v="9"/>
    <s v="Reducer"/>
    <m/>
    <n v="5"/>
    <m/>
    <m/>
    <n v="253.13"/>
    <n v="1.2656500000000001E-4"/>
    <m/>
  </r>
  <r>
    <n v="608"/>
    <s v="G28-28003"/>
    <x v="14"/>
    <x v="9"/>
    <s v="Reducer"/>
    <m/>
    <n v="9"/>
    <m/>
    <m/>
    <n v="1863"/>
    <n v="1.6766999999999999E-3"/>
    <m/>
  </r>
  <r>
    <n v="609"/>
    <s v="G28-28003"/>
    <x v="14"/>
    <x v="9"/>
    <s v="Reducer"/>
    <m/>
    <n v="5"/>
    <m/>
    <m/>
    <n v="1400"/>
    <n v="6.9999999999999999E-4"/>
    <m/>
  </r>
  <r>
    <n v="610"/>
    <s v="G28-28003"/>
    <x v="14"/>
    <x v="3"/>
    <s v="Elbow"/>
    <m/>
    <n v="5"/>
    <m/>
    <m/>
    <n v="1283"/>
    <n v="6.4150000000000003E-4"/>
    <m/>
  </r>
  <r>
    <n v="611"/>
    <s v="G28-28003"/>
    <x v="14"/>
    <x v="5"/>
    <s v="Equal Tee"/>
    <m/>
    <n v="10"/>
    <m/>
    <m/>
    <n v="780.5"/>
    <n v="7.8050000000000005E-4"/>
    <m/>
  </r>
  <r>
    <n v="612"/>
    <s v="G28-28003"/>
    <x v="14"/>
    <x v="5"/>
    <s v="Equal Tee"/>
    <m/>
    <n v="20"/>
    <m/>
    <m/>
    <n v="1029"/>
    <n v="2.0579999999999999E-3"/>
    <m/>
  </r>
  <r>
    <n v="613"/>
    <s v="G28-28003"/>
    <x v="14"/>
    <x v="5"/>
    <s v="Equal Tee"/>
    <m/>
    <n v="6"/>
    <m/>
    <m/>
    <n v="1201.9000000000001"/>
    <n v="7.2114000000000011E-4"/>
    <m/>
  </r>
  <r>
    <n v="614"/>
    <s v="G28-28003"/>
    <x v="14"/>
    <x v="5"/>
    <s v="Equal Tee"/>
    <m/>
    <n v="16"/>
    <m/>
    <m/>
    <n v="1000"/>
    <n v="1.6000000000000001E-3"/>
    <m/>
  </r>
  <r>
    <n v="615"/>
    <s v="G28-28003"/>
    <x v="14"/>
    <x v="5"/>
    <s v="Equal Tee"/>
    <m/>
    <n v="7"/>
    <m/>
    <m/>
    <n v="4347"/>
    <n v="3.0428999999999999E-3"/>
    <m/>
  </r>
  <r>
    <n v="616"/>
    <s v="G28-28003"/>
    <x v="14"/>
    <x v="5"/>
    <s v="Reducing Tee"/>
    <m/>
    <n v="13"/>
    <m/>
    <m/>
    <n v="624"/>
    <n v="8.1119999999999999E-4"/>
    <m/>
  </r>
  <r>
    <n v="617"/>
    <s v="G28-28003"/>
    <x v="14"/>
    <x v="5"/>
    <s v="Reducing Tee"/>
    <m/>
    <n v="2"/>
    <m/>
    <m/>
    <n v="1202"/>
    <n v="2.4039999999999999E-4"/>
    <m/>
  </r>
  <r>
    <n v="618"/>
    <s v="G28-28003"/>
    <x v="14"/>
    <x v="5"/>
    <s v="Reducing Tee"/>
    <m/>
    <n v="5"/>
    <m/>
    <m/>
    <n v="1202"/>
    <n v="6.0099999999999997E-4"/>
    <m/>
  </r>
  <r>
    <n v="619"/>
    <s v="G28-28003"/>
    <x v="14"/>
    <x v="5"/>
    <s v="Reducing Tee"/>
    <m/>
    <n v="1"/>
    <m/>
    <m/>
    <n v="823"/>
    <n v="8.2299999999999995E-5"/>
    <m/>
  </r>
  <r>
    <n v="620"/>
    <s v="G28-28003"/>
    <x v="14"/>
    <x v="5"/>
    <s v="Reducing Tee"/>
    <m/>
    <n v="1"/>
    <m/>
    <m/>
    <n v="823"/>
    <n v="8.2299999999999995E-5"/>
    <m/>
  </r>
  <r>
    <n v="621"/>
    <s v="G28-28003"/>
    <x v="14"/>
    <x v="5"/>
    <s v="Reducing Tee"/>
    <m/>
    <n v="2"/>
    <m/>
    <m/>
    <n v="780.5"/>
    <n v="1.561E-4"/>
    <m/>
  </r>
  <r>
    <n v="622"/>
    <s v="G28-28003"/>
    <x v="14"/>
    <x v="5"/>
    <s v="Reducing Tee"/>
    <m/>
    <n v="4"/>
    <m/>
    <m/>
    <n v="780.5"/>
    <n v="3.122E-4"/>
    <m/>
  </r>
  <r>
    <n v="623"/>
    <s v="G28-28003"/>
    <x v="14"/>
    <x v="5"/>
    <s v="Reducing Tee"/>
    <m/>
    <n v="1"/>
    <m/>
    <m/>
    <n v="1029"/>
    <n v="1.0289999999999999E-4"/>
    <m/>
  </r>
  <r>
    <n v="624"/>
    <s v="G79-36001"/>
    <x v="15"/>
    <x v="18"/>
    <s v="B-175 MAST"/>
    <s v="GI MAST"/>
    <n v="2"/>
    <s v="Nos"/>
    <s v="RUKMANI/MARUTI NANDAN"/>
    <n v="80500"/>
    <n v="1.61E-2"/>
    <m/>
  </r>
  <r>
    <n v="625"/>
    <s v="G79-36001"/>
    <x v="15"/>
    <x v="6"/>
    <s v="OCT POLE"/>
    <s v="GI LIGHT POLE"/>
    <n v="5"/>
    <s v="Nos"/>
    <s v="UNEEFY"/>
    <n v="7850"/>
    <n v="3.9249999999999997E-3"/>
    <m/>
  </r>
  <r>
    <n v="626"/>
    <s v="G79-36001"/>
    <x v="15"/>
    <x v="18"/>
    <s v="DWARF MAST 4.75 MTR"/>
    <s v="GI MAST"/>
    <n v="2"/>
    <s v="Nos"/>
    <s v="RUKMANI/MARUTI NANDAN"/>
    <n v="79000"/>
    <n v="1.5800000000000002E-2"/>
    <m/>
  </r>
  <r>
    <n v="627"/>
    <s v="G79-36001"/>
    <x v="15"/>
    <x v="18"/>
    <s v="RI NO 361 MAST FOR CT"/>
    <s v="GI MAST"/>
    <n v="2"/>
    <s v="Nos"/>
    <s v="RUKMANI/MARUTI NANDAN"/>
    <n v="79000"/>
    <n v="1.5800000000000002E-2"/>
    <m/>
  </r>
  <r>
    <n v="628"/>
    <s v="G79-36001"/>
    <x v="15"/>
    <x v="18"/>
    <s v="RI NO 381  MAST FOR SP ISOLATOR"/>
    <s v="GI MAST"/>
    <n v="6"/>
    <s v="Nos"/>
    <s v="RUKMANI/MARUTI NANDAN"/>
    <n v="79000"/>
    <n v="4.7399999999999998E-2"/>
    <m/>
  </r>
  <r>
    <n v="629"/>
    <s v="G79-36001"/>
    <x v="15"/>
    <x v="18"/>
    <s v="RI NO 371-2 MAST FOR SUPPORT INSULATOR"/>
    <s v="GI MAST"/>
    <n v="35"/>
    <s v="Nos"/>
    <s v="RUKMANI/MARUTI NANDAN"/>
    <n v="79000"/>
    <n v="0.27650000000000002"/>
    <m/>
  </r>
  <r>
    <n v="630"/>
    <s v="G79-36001"/>
    <x v="15"/>
    <x v="18"/>
    <s v="RI NO S-100 MAST FOR AT"/>
    <s v="GI MAST"/>
    <n v="3"/>
    <s v="Nos"/>
    <s v="RUKMANI/MARUTI NANDAN"/>
    <n v="79000"/>
    <n v="2.3699999999999999E-2"/>
    <m/>
  </r>
  <r>
    <n v="631"/>
    <s v="G79-36001"/>
    <x v="15"/>
    <x v="18"/>
    <s v="RI NO 331 MAST FOR 132 KV CT"/>
    <s v="GI MAST"/>
    <n v="4"/>
    <s v="Nos"/>
    <s v="RUKMANI/MARUTI NANDAN"/>
    <n v="79000"/>
    <n v="3.1600000000000003E-2"/>
    <m/>
  </r>
  <r>
    <n v="632"/>
    <s v="G79-36001"/>
    <x v="15"/>
    <x v="18"/>
    <s v="RI NO 341 MAST  FOR LA"/>
    <s v="GI MAST"/>
    <n v="11"/>
    <s v="Nos"/>
    <s v="RUKMANI/MARUTI NANDAN"/>
    <n v="79000"/>
    <n v="8.6900000000000005E-2"/>
    <m/>
  </r>
  <r>
    <n v="633"/>
    <s v="G79-36001"/>
    <x v="15"/>
    <x v="18"/>
    <s v="RI NO 441 MAST FOR 100 KVA , 25 KV AT"/>
    <s v="GI MAST"/>
    <n v="3"/>
    <s v="Nos"/>
    <s v="RUKMANI/MARUTI NANDAN"/>
    <n v="79000"/>
    <n v="2.3699999999999999E-2"/>
    <m/>
  </r>
  <r>
    <n v="634"/>
    <s v="G79-36001"/>
    <x v="15"/>
    <x v="19"/>
    <s v="11 KV DISC INSULATORS 280MM 70KN"/>
    <s v="HIGH VOLTAGE INSULATOR"/>
    <n v="280"/>
    <s v="Nos"/>
    <s v="ADITYA BIRLA GRASIM"/>
    <n v="640"/>
    <n v="1.7919999999999998E-2"/>
    <m/>
  </r>
  <r>
    <n v="635"/>
    <s v="G79-36001"/>
    <x v="15"/>
    <x v="19"/>
    <s v="28.62 MM ACSR ZEBRA CONDUCTOR"/>
    <s v="HIGH VOLTAGE INSULATOR OVERHEAD TRANSMISSION CABLE"/>
    <n v="60"/>
    <s v="Mtr"/>
    <s v="AJANMA INDUSTRIES LLP"/>
    <n v="3300"/>
    <n v="1.9800000000000002E-2"/>
    <m/>
  </r>
  <r>
    <n v="636"/>
    <s v="G79-36001"/>
    <x v="15"/>
    <x v="19"/>
    <s v="38.25 MM DIA AAC BULL CONDUCTOR"/>
    <s v="OVERHEAD POWER LINE CONDUCTOR"/>
    <n v="450"/>
    <s v="Mtr"/>
    <s v="AJANMA INDUSTRIES LLP"/>
    <n v="6000"/>
    <n v="0.27"/>
    <m/>
  </r>
  <r>
    <n v="637"/>
    <s v="G79-36001"/>
    <x v="15"/>
    <x v="20"/>
    <s v="19/2.5 MM GS STRANDED EARTH WIRE"/>
    <s v="HIGH TENSILE OVERHEAD EARTHING WIRE"/>
    <n v="200"/>
    <s v="Mtr"/>
    <s v="AJANMA INDUSTRIES LLP"/>
    <n v="191"/>
    <n v="3.82E-3"/>
    <m/>
  </r>
  <r>
    <n v="638"/>
    <s v="G79-36001"/>
    <x v="15"/>
    <x v="20"/>
    <s v="19/4 MM BEC GALVANIZED STEEL WIRE"/>
    <s v="BURIED EARTH CONDUCTOR"/>
    <n v="540"/>
    <s v="Mtr"/>
    <s v="AJANMA INDUSTRIES LLP"/>
    <n v="191"/>
    <n v="1.0314E-2"/>
    <m/>
  </r>
  <r>
    <n v="639"/>
    <s v="G79-36001"/>
    <x v="15"/>
    <x v="20"/>
    <s v="150 SQ MM COPPER CROSS FEEDER WIRE"/>
    <s v="COPPER CROSS FEEDER WIRE"/>
    <n v="350"/>
    <s v="Mtr"/>
    <s v="JK CABLE LTD &amp; KMG WIRE LTD"/>
    <n v="1207.49"/>
    <n v="4.2262149999999998E-2"/>
    <m/>
  </r>
  <r>
    <n v="640"/>
    <s v="G79-36001"/>
    <x v="15"/>
    <x v="20"/>
    <s v="160 SQ MM COPPER JUMPER WIRE"/>
    <s v="COPPER JUMPER WIRE"/>
    <n v="800"/>
    <s v="Mtr"/>
    <s v="JK CABLE LTD &amp; KMG WIRE LTD"/>
    <n v="1372.49"/>
    <n v="0.1097992"/>
    <m/>
  </r>
  <r>
    <n v="641"/>
    <s v="G79-36001"/>
    <x v="15"/>
    <x v="21"/>
    <s v="GI M 16X50 BOLT"/>
    <s v="16 DIAMETER  AND 50 MM LENGTH"/>
    <n v="8000"/>
    <s v="Nos"/>
    <s v="ROYAL BALAJI ENGINEERING LIMITED"/>
    <n v="16.02"/>
    <n v="1.2815999999999999E-2"/>
    <m/>
  </r>
  <r>
    <n v="642"/>
    <s v="G79-36001"/>
    <x v="15"/>
    <x v="11"/>
    <s v="2 C X 25 SQ MM PVC ALUMINIUM CABLE"/>
    <s v="LOW TENSION POWER CABLE"/>
    <n v="484"/>
    <s v="Mtr"/>
    <s v="AJANMA INDUSTRIES LLP AND CHANDRESH CABLE LTD"/>
    <n v="359.7"/>
    <n v="1.7409479999999998E-2"/>
    <m/>
  </r>
  <r>
    <n v="643"/>
    <s v="G79-36001"/>
    <x v="15"/>
    <x v="11"/>
    <s v="7 C X 2.5 SQ MM COPPER CABLE"/>
    <s v="LOW VOLTAGE UPTO 1100 V CONTROL CABLE"/>
    <n v="600"/>
    <s v="Mtr"/>
    <s v="AJANMA INDUSTRIES LLP AND CHANDRESH CABLE LTD"/>
    <n v="152.66"/>
    <n v="9.1596000000000004E-3"/>
    <m/>
  </r>
  <r>
    <n v="644"/>
    <s v="G79-36001"/>
    <x v="15"/>
    <x v="11"/>
    <s v="2 C X 4 SQ MM COPPER CABLE"/>
    <s v="LOW VOLTAGE UPTO 1100 V COOPER CABLE"/>
    <n v="2000"/>
    <s v="Mtr"/>
    <s v="AJANMA INDUSTRIES LLP AND CHANDRESH CABLE LTD"/>
    <n v="30.71"/>
    <n v="6.1419999999999999E-3"/>
    <m/>
  </r>
  <r>
    <n v="645"/>
    <s v="G79-36001"/>
    <x v="15"/>
    <x v="11"/>
    <s v="4 C X 16 SQ MM AL ARM CABLE"/>
    <s v="1100 V GRADE POWER CABLE"/>
    <n v="2500"/>
    <s v="Mtr"/>
    <s v="AJANMA INDUSTRIES LLP AND CHANDRESH CABLE LTD"/>
    <n v="87.22"/>
    <n v="2.1805000000000001E-2"/>
    <m/>
  </r>
  <r>
    <n v="646"/>
    <s v="G79-36001"/>
    <x v="15"/>
    <x v="11"/>
    <s v="2 C X 70 SQ MM PVC ALUMINIUM CABLE"/>
    <s v="1100 V LT POWER CABLE"/>
    <n v="175"/>
    <s v="Mtr"/>
    <s v="AJANMA INDUSTRIES LLP AND CHANDRESH CABLE LTD"/>
    <n v="157.91999999999999"/>
    <n v="2.7635999999999997E-3"/>
    <m/>
  </r>
  <r>
    <n v="647"/>
    <s v="G79-36001"/>
    <x v="15"/>
    <x v="11"/>
    <s v="MEC CONTROL CABLE 3CX4 COPPER"/>
    <s v="CONTROL AND POWER CABLE"/>
    <n v="450"/>
    <s v="Mtr"/>
    <s v="VIZTECH INDUSTRIAL SYSYTEMS"/>
    <n v="78"/>
    <n v="3.5100000000000001E-3"/>
    <m/>
  </r>
  <r>
    <n v="648"/>
    <s v="G79-36001"/>
    <x v="15"/>
    <x v="11"/>
    <s v="10 C X 2.5 SQ MM COPPER CABLE"/>
    <s v="1100 V GRADE COPPER CABLE"/>
    <n v="370"/>
    <s v="Mtr"/>
    <s v="AJANMA INDUSTRIES LLP AND CHANDRESH CABLE LTD"/>
    <n v="220.21"/>
    <n v="8.1477700000000004E-3"/>
    <m/>
  </r>
  <r>
    <n v="649"/>
    <s v="G79-36001"/>
    <x v="15"/>
    <x v="10"/>
    <s v="MCB DISTRIBUTION BOARD 100A "/>
    <s v="MCB DISTRIBUTION BOARD 100A "/>
    <n v="1"/>
    <s v="Nos"/>
    <s v="SPN CONTROLS"/>
    <n v="24100"/>
    <n v="2.4099999999999998E-3"/>
    <m/>
  </r>
  <r>
    <n v="650"/>
    <s v="G79-36001"/>
    <x v="15"/>
    <x v="10"/>
    <s v="MCB DISTRIBUTION BOARD 63A "/>
    <s v="MCB DISTRIBUTION BOARD 100A "/>
    <n v="5"/>
    <s v="Nos"/>
    <s v="SPN CONTROLS"/>
    <n v="15600"/>
    <n v="7.7999999999999996E-3"/>
    <m/>
  </r>
  <r>
    <n v="651"/>
    <s v="G79-36002"/>
    <x v="16"/>
    <x v="18"/>
    <s v="B-175 MAST"/>
    <s v="GI MAST"/>
    <n v="7"/>
    <n v="423.79500000000002"/>
    <n v="2966.5650000000001"/>
    <n v="78800"/>
    <n v="2.3376532199999998E-2"/>
    <m/>
  </r>
  <r>
    <n v="652"/>
    <s v="G79-36002"/>
    <x v="16"/>
    <x v="18"/>
    <s v="B-150 MAST"/>
    <s v="GI MAST"/>
    <n v="4"/>
    <n v="371.16500000000002"/>
    <n v="1484.66"/>
    <n v="78800"/>
    <n v="1.1699120800000001E-2"/>
    <m/>
  </r>
  <r>
    <n v="653"/>
    <s v="G79-36002"/>
    <x v="16"/>
    <x v="18"/>
    <s v="S8 MAST"/>
    <s v="GI MAST"/>
    <n v="1"/>
    <n v="1382.972"/>
    <n v="1382.972"/>
    <n v="79000"/>
    <n v="1.0925478800000001E-2"/>
    <m/>
  </r>
  <r>
    <n v="654"/>
    <s v="G79-36002"/>
    <x v="16"/>
    <x v="18"/>
    <s v="S7 MAST"/>
    <s v="GI MAST"/>
    <n v="2"/>
    <n v="947.36"/>
    <n v="1894.72"/>
    <n v="81500"/>
    <n v="1.5441967999999999E-2"/>
    <m/>
  </r>
  <r>
    <n v="655"/>
    <s v="G79-36002"/>
    <x v="16"/>
    <x v="18"/>
    <s v="RI NO 381  MAST FOR SP ISOLATOR"/>
    <s v="GI MAST"/>
    <n v="2"/>
    <n v="86.73"/>
    <n v="173.46"/>
    <n v="79000"/>
    <n v="1.370334E-3"/>
    <m/>
  </r>
  <r>
    <n v="656"/>
    <s v="G79-36002"/>
    <x v="16"/>
    <x v="18"/>
    <s v="RI NO 371-3 MAST FOR SUPPORT INSULATOR"/>
    <s v="GI MAST"/>
    <n v="1"/>
    <n v="92.23"/>
    <n v="92.23"/>
    <n v="79000"/>
    <n v="7.2861699999999998E-4"/>
    <m/>
  </r>
  <r>
    <n v="657"/>
    <s v="G79-36002"/>
    <x v="16"/>
    <x v="18"/>
    <s v="RI NO S-113"/>
    <s v="GI MAST"/>
    <n v="8"/>
    <n v="152.25899999999999"/>
    <n v="1218.0719999999999"/>
    <n v="79000"/>
    <n v="9.6227687999999988E-3"/>
    <m/>
  </r>
  <r>
    <n v="658"/>
    <s v="G79-36002"/>
    <x v="16"/>
    <x v="18"/>
    <s v="RI NO 331 MAST FOR 132 KV CT"/>
    <s v="GI MAST"/>
    <n v="2"/>
    <n v="86.17"/>
    <n v="172.34"/>
    <n v="79000"/>
    <n v="1.3614860000000001E-3"/>
    <m/>
  </r>
  <r>
    <n v="659"/>
    <s v="G79-36002"/>
    <x v="16"/>
    <x v="18"/>
    <s v="RI NO 341 S MAST  FOR LA"/>
    <s v="GI MAST"/>
    <n v="17"/>
    <n v="68.61"/>
    <n v="1166.3699999999999"/>
    <n v="79000"/>
    <n v="9.2143229999999982E-3"/>
    <m/>
  </r>
  <r>
    <n v="660"/>
    <s v="G79-36002"/>
    <x v="16"/>
    <x v="18"/>
    <s v="RI NO 441 MAST FOR 100 KVA , 25 KV AT"/>
    <s v="GI MAST"/>
    <n v="20"/>
    <n v="89.06232"/>
    <n v="1781.2464"/>
    <n v="79000"/>
    <n v="1.407184656E-2"/>
    <m/>
  </r>
  <r>
    <n v="661"/>
    <s v="G79-36002"/>
    <x v="16"/>
    <x v="22"/>
    <s v="11 KV DISC INSULATORS 280MM 70KN"/>
    <s v="11 KV DISC INSULATORS 280MM 70KN"/>
    <n v="464"/>
    <m/>
    <m/>
    <n v="640"/>
    <n v="2.9696E-2"/>
    <m/>
  </r>
  <r>
    <n v="662"/>
    <s v="G79-36002"/>
    <x v="16"/>
    <x v="11"/>
    <s v="4C X 16 Sqmm pvc AL cable"/>
    <s v="4C X 16 Sqmm pvc AL cable"/>
    <n v="604"/>
    <m/>
    <m/>
    <n v="157"/>
    <n v="9.4827999999999996E-3"/>
    <m/>
  </r>
  <r>
    <n v="663"/>
    <s v="G79-36002"/>
    <x v="16"/>
    <x v="21"/>
    <s v="2C X 4 Sqmm pvc AL cable"/>
    <s v="2C X 4 Sqmm pvc AL cable"/>
    <n v="1200"/>
    <m/>
    <m/>
    <n v="23.1"/>
    <n v="2.7720000000000002E-3"/>
    <m/>
  </r>
  <r>
    <n v="664"/>
    <s v="G79-36002"/>
    <x v="16"/>
    <x v="21"/>
    <s v="Gi Bolt M 20x65 mm,N.F/W,S/W"/>
    <s v="Gi Bolt M 20x65 mm,N.F/W,S/W"/>
    <n v="5000"/>
    <m/>
    <m/>
    <n v="33"/>
    <n v="1.6500000000000001E-2"/>
    <m/>
  </r>
  <r>
    <n v="665"/>
    <s v="G79-36002"/>
    <x v="16"/>
    <x v="6"/>
    <s v="SOIL COMPACTOR"/>
    <s v="SOIL COMPACTOR"/>
    <n v="1"/>
    <m/>
    <m/>
    <m/>
    <n v="0"/>
    <m/>
  </r>
  <r>
    <n v="666"/>
    <s v="G79-36002"/>
    <x v="16"/>
    <x v="21"/>
    <s v="M16X130 GI U BOLT"/>
    <s v="M16X130 GI U BOLT"/>
    <n v="299"/>
    <m/>
    <m/>
    <n v="23.51"/>
    <n v="7.0294900000000002E-4"/>
    <m/>
  </r>
  <r>
    <n v="667"/>
    <s v="G79-36002"/>
    <x v="16"/>
    <x v="11"/>
    <s v="PVC 4CX10 Sqmm al cable"/>
    <s v="PVC 4CX10 Sqmm al cable"/>
    <n v="200"/>
    <m/>
    <m/>
    <n v="131"/>
    <n v="2.6199999999999999E-3"/>
    <m/>
  </r>
  <r>
    <n v="668"/>
    <s v="G79-36002"/>
    <x v="16"/>
    <x v="23"/>
    <s v="32A Distribution box"/>
    <s v="32A Distribution box"/>
    <n v="4"/>
    <m/>
    <m/>
    <m/>
    <n v="0"/>
    <m/>
  </r>
  <r>
    <n v="669"/>
    <s v="G79-36002"/>
    <x v="16"/>
    <x v="23"/>
    <s v="63A distribution box"/>
    <s v="63A distribution box"/>
    <n v="1"/>
    <m/>
    <m/>
    <m/>
    <n v="0"/>
    <m/>
  </r>
  <r>
    <n v="670"/>
    <s v="G28-42008"/>
    <x v="17"/>
    <x v="0"/>
    <s v="MS PIPE"/>
    <s v="150MM"/>
    <n v="17"/>
    <n v="102"/>
    <s v="JINDAL"/>
    <n v="1356"/>
    <n v="2.3051999999999999E-3"/>
    <m/>
  </r>
  <r>
    <n v="671"/>
    <s v="G28-42008"/>
    <x v="17"/>
    <x v="0"/>
    <s v="MS PIPE"/>
    <s v="200mm"/>
    <n v="6"/>
    <n v="36"/>
    <s v="JINDAL"/>
    <n v="1697"/>
    <n v="1.0181999999999999E-3"/>
    <m/>
  </r>
  <r>
    <n v="672"/>
    <s v="G28-42008"/>
    <x v="17"/>
    <x v="0"/>
    <s v="MS PIPE"/>
    <s v="250mm"/>
    <n v="18"/>
    <n v="108"/>
    <s v="JINDAL"/>
    <n v="2382"/>
    <n v="4.2875999999999999E-3"/>
    <m/>
  </r>
  <r>
    <n v="673"/>
    <s v="G28-42008"/>
    <x v="17"/>
    <x v="0"/>
    <s v="MS PIPE"/>
    <s v="300mm"/>
    <n v="1"/>
    <n v="6"/>
    <s v="JINDAL"/>
    <n v="2541"/>
    <n v="2.541E-4"/>
    <m/>
  </r>
  <r>
    <n v="674"/>
    <s v="G28-42008"/>
    <x v="17"/>
    <x v="0"/>
    <s v="MS PIPE"/>
    <s v="400MM"/>
    <n v="3"/>
    <n v="18"/>
    <s v="JINDAL"/>
    <n v="4005"/>
    <n v="1.2015000000000001E-3"/>
    <m/>
  </r>
  <r>
    <n v="675"/>
    <s v="G28-42008"/>
    <x v="17"/>
    <x v="1"/>
    <s v="MS BUTTERFLY VALVE"/>
    <s v="100mm"/>
    <n v="4"/>
    <s v="NA"/>
    <s v="ADVANCE / PN16"/>
    <n v="2839"/>
    <n v="1.1356000000000001E-3"/>
    <m/>
  </r>
  <r>
    <n v="676"/>
    <s v="G28-42008"/>
    <x v="17"/>
    <x v="1"/>
    <s v="MS BUTTERFLY VALVE"/>
    <s v="150MM"/>
    <n v="1"/>
    <s v="NA"/>
    <s v="ADVANCE / PN16"/>
    <n v="4041"/>
    <n v="4.0410000000000001E-4"/>
    <m/>
  </r>
  <r>
    <n v="677"/>
    <s v="G28-42008"/>
    <x v="17"/>
    <x v="1"/>
    <s v="MS BUTTERFLY VALVE"/>
    <s v="200mm"/>
    <n v="4"/>
    <s v="NA"/>
    <s v="ADVANCE / PN16 "/>
    <n v="8926"/>
    <n v="3.5704E-3"/>
    <m/>
  </r>
  <r>
    <n v="678"/>
    <s v="G28-42008"/>
    <x v="17"/>
    <x v="1"/>
    <s v="MS BUTTERFLY VALVE"/>
    <s v="300mm"/>
    <n v="4"/>
    <s v="NA"/>
    <s v="ADVANCE / PN16 "/>
    <n v="20870"/>
    <n v="8.3479999999999995E-3"/>
    <m/>
  </r>
  <r>
    <n v="679"/>
    <s v="G28-42008"/>
    <x v="17"/>
    <x v="1"/>
    <s v="MS BUTTERFLY VALVE"/>
    <s v="450MM"/>
    <n v="4"/>
    <s v="NA"/>
    <s v="ADVANCE / PN16 "/>
    <n v="45933"/>
    <n v="1.8373199999999999E-2"/>
    <m/>
  </r>
  <r>
    <n v="680"/>
    <s v="G28-42008"/>
    <x v="17"/>
    <x v="6"/>
    <s v="PIPE SECTION"/>
    <s v="600MM"/>
    <n v="88"/>
    <n v="44"/>
    <s v="Q-CONTROL"/>
    <n v="2255"/>
    <n v="1.9844000000000001E-2"/>
    <m/>
  </r>
  <r>
    <n v="681"/>
    <s v="G28-42008"/>
    <x v="17"/>
    <x v="8"/>
    <s v="MS SLIP ON FLANGE"/>
    <s v="100mm"/>
    <n v="18"/>
    <s v="NA"/>
    <s v="MONTEX"/>
    <n v="760"/>
    <n v="1.3680000000000001E-3"/>
    <m/>
  </r>
  <r>
    <n v="682"/>
    <s v="G28-42008"/>
    <x v="17"/>
    <x v="8"/>
    <s v="MS SLIP ON FLANGE"/>
    <s v="200mm"/>
    <n v="4"/>
    <s v="NA"/>
    <s v="MONTEX"/>
    <n v="2375"/>
    <n v="9.5E-4"/>
    <m/>
  </r>
  <r>
    <n v="683"/>
    <s v="G28-42008"/>
    <x v="17"/>
    <x v="8"/>
    <s v="MS SLIP ON FLANGE"/>
    <s v="250mm"/>
    <n v="3"/>
    <s v="NA"/>
    <s v="MONTEX"/>
    <n v="3325"/>
    <n v="9.9749999999999991E-4"/>
    <m/>
  </r>
  <r>
    <n v="684"/>
    <s v="G28-42008"/>
    <x v="17"/>
    <x v="8"/>
    <s v="MS SLIP ON FLANGE"/>
    <s v="300mm"/>
    <n v="31"/>
    <s v="NA"/>
    <s v="MONTEX"/>
    <n v="3657"/>
    <n v="1.13367E-2"/>
    <m/>
  </r>
  <r>
    <n v="685"/>
    <s v="G28-42008"/>
    <x v="17"/>
    <x v="8"/>
    <s v="MS SLIP ON FLANGE"/>
    <s v="400MM"/>
    <n v="27"/>
    <s v="NA"/>
    <s v="MONTEX"/>
    <n v="5225"/>
    <n v="1.41075E-2"/>
    <m/>
  </r>
  <r>
    <n v="686"/>
    <s v="G28-42008"/>
    <x v="17"/>
    <x v="3"/>
    <s v="MS ELBOW 90*"/>
    <s v="150MM"/>
    <n v="1"/>
    <s v="NA"/>
    <s v="MONTEX"/>
    <n v="950"/>
    <n v="9.5000000000000005E-5"/>
    <m/>
  </r>
  <r>
    <n v="687"/>
    <s v="G28-42008"/>
    <x v="17"/>
    <x v="3"/>
    <s v="MS ELBOW 90*"/>
    <s v="200mm"/>
    <n v="2"/>
    <s v="NA"/>
    <s v="MONTEX"/>
    <n v="1492"/>
    <n v="2.9839999999999999E-4"/>
    <m/>
  </r>
  <r>
    <n v="688"/>
    <s v="G28-42008"/>
    <x v="17"/>
    <x v="3"/>
    <s v="MS ELBOW 90*"/>
    <s v="250mm"/>
    <n v="3"/>
    <s v="NA"/>
    <s v="MONTEX"/>
    <n v="2285"/>
    <n v="6.8550000000000002E-4"/>
    <m/>
  </r>
  <r>
    <n v="689"/>
    <s v="G28-42008"/>
    <x v="17"/>
    <x v="3"/>
    <s v="MS ELBOW 90*"/>
    <s v="300mm"/>
    <n v="48"/>
    <s v="NA"/>
    <s v="MONTEX"/>
    <n v="3658"/>
    <n v="1.7558399999999998E-2"/>
    <m/>
  </r>
  <r>
    <n v="690"/>
    <s v="G28-42008"/>
    <x v="17"/>
    <x v="3"/>
    <s v="MS ELBOW 90*"/>
    <s v="400MM"/>
    <n v="11"/>
    <s v="NA"/>
    <s v="MONTEX"/>
    <n v="6650"/>
    <n v="7.3150000000000003E-3"/>
    <m/>
  </r>
  <r>
    <n v="691"/>
    <s v="G28-42008"/>
    <x v="17"/>
    <x v="3"/>
    <s v="MS ELBOW 90*"/>
    <s v="600MM"/>
    <n v="17"/>
    <s v="NA"/>
    <s v="MONTEX"/>
    <n v="19000"/>
    <n v="3.2300000000000002E-2"/>
    <m/>
  </r>
  <r>
    <n v="692"/>
    <s v="G28-42008"/>
    <x v="17"/>
    <x v="6"/>
    <s v="MS Y STRAINER"/>
    <s v="150MM"/>
    <n v="6"/>
    <s v="NA"/>
    <s v="DS Engg / PN16"/>
    <n v="15704"/>
    <n v="9.4223999999999992E-3"/>
    <m/>
  </r>
  <r>
    <n v="693"/>
    <s v="G28-42008"/>
    <x v="17"/>
    <x v="6"/>
    <s v="MS Y STRAINER"/>
    <s v="200mm"/>
    <n v="3"/>
    <s v="NA"/>
    <s v="DS Engg / PN16"/>
    <n v="27525"/>
    <n v="8.2574999999999992E-3"/>
    <m/>
  </r>
  <r>
    <n v="694"/>
    <s v="G20-36003"/>
    <x v="18"/>
    <x v="19"/>
    <s v="AAC Bull Conductor"/>
    <m/>
    <n v="5"/>
    <s v="Drum"/>
    <m/>
    <n v="670"/>
    <n v="3.3500000000000001E-4"/>
    <m/>
  </r>
  <r>
    <n v="695"/>
    <s v="G20-36003"/>
    <x v="18"/>
    <x v="19"/>
    <s v="ASCR Bersimis Conductor"/>
    <m/>
    <n v="4"/>
    <s v="Drum"/>
    <m/>
    <n v="556.62"/>
    <n v="2.2264800000000001E-4"/>
    <m/>
  </r>
  <r>
    <n v="696"/>
    <s v="G20-36003"/>
    <x v="18"/>
    <x v="6"/>
    <s v="Clamp and connectors"/>
    <m/>
    <n v="1"/>
    <s v="LOT"/>
    <m/>
    <n v="9491.89"/>
    <n v="9.4918899999999991E-4"/>
    <m/>
  </r>
  <r>
    <n v="697"/>
    <s v="G20-36003"/>
    <x v="18"/>
    <x v="0"/>
    <s v="HDPE Pipe"/>
    <m/>
    <n v="1.5"/>
    <s v="KM"/>
    <m/>
    <n v="105"/>
    <n v="1.575E-5"/>
    <m/>
  </r>
  <r>
    <n v="698"/>
    <s v="G20-36003"/>
    <x v="18"/>
    <x v="22"/>
    <s v="33kV Insulator"/>
    <m/>
    <n v="80"/>
    <s v="Nos"/>
    <m/>
    <n v="1850"/>
    <n v="1.4800000000000001E-2"/>
    <m/>
  </r>
  <r>
    <n v="699"/>
    <s v="G20-36003"/>
    <x v="18"/>
    <x v="24"/>
    <s v="Reinforcement Steel &quot;16mm&quot; dia"/>
    <m/>
    <n v="4.5"/>
    <s v="TON"/>
    <m/>
    <n v="53.6"/>
    <n v="2.4120000000000003E-5"/>
    <m/>
  </r>
  <r>
    <n v="700"/>
    <s v="G20-36003"/>
    <x v="18"/>
    <x v="24"/>
    <s v="Reinforcement Steel &quot;20mm&quot; dia"/>
    <m/>
    <n v="24"/>
    <s v="TON"/>
    <m/>
    <n v="53.6"/>
    <n v="1.2864000000000002E-4"/>
    <m/>
  </r>
  <r>
    <n v="701"/>
    <s v="G20-36003"/>
    <x v="18"/>
    <x v="24"/>
    <s v="Reinforcement Steel &quot;25mm&quot; dia"/>
    <m/>
    <n v="2"/>
    <s v="TON"/>
    <m/>
    <n v="53.6"/>
    <n v="1.0720000000000001E-5"/>
    <m/>
  </r>
  <r>
    <n v="702"/>
    <s v="G20-36003"/>
    <x v="18"/>
    <x v="6"/>
    <s v="Rail pole 52kg/m"/>
    <m/>
    <n v="5.2330000000000005"/>
    <s v="TON"/>
    <m/>
    <m/>
    <n v="0"/>
    <m/>
  </r>
  <r>
    <n v="703"/>
    <s v="G20-36003"/>
    <x v="18"/>
    <x v="6"/>
    <s v="Old rRail pole 52kg/m"/>
    <m/>
    <n v="31.315000000000001"/>
    <s v="TON"/>
    <m/>
    <m/>
    <n v="0"/>
    <m/>
  </r>
  <r>
    <n v="704"/>
    <s v="G20-36003"/>
    <x v="18"/>
    <x v="6"/>
    <s v="Cube Mold"/>
    <m/>
    <n v="6"/>
    <s v="Set"/>
    <m/>
    <m/>
    <n v="0"/>
    <m/>
  </r>
  <r>
    <n v="705"/>
    <s v="G20-36003"/>
    <x v="18"/>
    <x v="6"/>
    <s v="WELDING MACHINE ARC 400A"/>
    <m/>
    <n v="6"/>
    <s v="Nos"/>
    <m/>
    <m/>
    <n v="0"/>
    <m/>
  </r>
  <r>
    <n v="706"/>
    <s v="G20-36003"/>
    <x v="18"/>
    <x v="6"/>
    <s v="ROPE 20 MM DIA(220 MTR BDL)."/>
    <m/>
    <n v="10"/>
    <s v="BDL"/>
    <m/>
    <m/>
    <n v="0"/>
    <m/>
  </r>
  <r>
    <n v="707"/>
    <s v="G20-36003"/>
    <x v="18"/>
    <x v="6"/>
    <s v="ROPE 22 MM"/>
    <m/>
    <n v="3"/>
    <s v="BDL"/>
    <m/>
    <m/>
    <n v="0"/>
    <m/>
  </r>
  <r>
    <n v="708"/>
    <s v="G20-36003"/>
    <x v="18"/>
    <x v="6"/>
    <s v="FALL ARRESTOR 30 Mtr"/>
    <m/>
    <n v="6"/>
    <s v="Nos"/>
    <m/>
    <m/>
    <n v="0"/>
    <m/>
  </r>
  <r>
    <n v="709"/>
    <s v="G20-36003"/>
    <x v="18"/>
    <x v="6"/>
    <s v="SAFETY BELT"/>
    <m/>
    <n v="5"/>
    <s v="Nos"/>
    <m/>
    <m/>
    <n v="0"/>
    <m/>
  </r>
  <r>
    <n v="710"/>
    <s v="G20-36003"/>
    <x v="18"/>
    <x v="6"/>
    <s v="D Shackle Cap.5 Ton"/>
    <m/>
    <n v="5"/>
    <s v="Nos"/>
    <m/>
    <m/>
    <n v="0"/>
    <m/>
  </r>
  <r>
    <n v="711"/>
    <s v="G20-36003"/>
    <x v="18"/>
    <x v="6"/>
    <s v="SINGLE SHEAVE PULLEY OPEN TYPE CAP 5 ΤΟΝ"/>
    <m/>
    <n v="6"/>
    <s v="Nos"/>
    <m/>
    <m/>
    <n v="0"/>
    <m/>
  </r>
  <r>
    <n v="712"/>
    <s v="G20-36003"/>
    <x v="18"/>
    <x v="6"/>
    <s v="SINGLE SHEAVE PULLEY CLOSE TYPE CAP 5TON"/>
    <m/>
    <n v="9"/>
    <s v="Nos"/>
    <m/>
    <m/>
    <n v="0"/>
    <m/>
  </r>
  <r>
    <n v="713"/>
    <s v="G20-36003"/>
    <x v="18"/>
    <x v="6"/>
    <s v="DOUBLE SHEAVE PULLEY CAP 5 TON."/>
    <m/>
    <n v="9"/>
    <s v="Nos"/>
    <m/>
    <m/>
    <n v="0"/>
    <m/>
  </r>
  <r>
    <n v="714"/>
    <s v="G20-36003"/>
    <x v="18"/>
    <x v="25"/>
    <s v="MS ROD BENDING MACHINE CAP. 40 MM"/>
    <m/>
    <n v="1"/>
    <s v="Nos"/>
    <m/>
    <m/>
    <n v="0"/>
    <m/>
  </r>
  <r>
    <n v="715"/>
    <s v="G20-36003"/>
    <x v="18"/>
    <x v="25"/>
    <s v="DIGITAL MULTIMETER (FLUKE MAKE - 101)"/>
    <m/>
    <m/>
    <s v="Nos"/>
    <m/>
    <m/>
    <n v="0"/>
    <m/>
  </r>
  <r>
    <n v="716"/>
    <s v="G20-36003"/>
    <x v="18"/>
    <x v="25"/>
    <s v="CRIMPING TOOL"/>
    <m/>
    <m/>
    <s v="Nos"/>
    <m/>
    <m/>
    <n v="0"/>
    <m/>
  </r>
  <r>
    <n v="717"/>
    <s v="G20-36003"/>
    <x v="18"/>
    <x v="25"/>
    <s v="MAGNETIC DRILL MACHINE (RALLI WOLF)"/>
    <m/>
    <m/>
    <s v="Nos"/>
    <m/>
    <m/>
    <n v="0"/>
    <m/>
  </r>
  <r>
    <n v="718"/>
    <s v="G20-36003"/>
    <x v="18"/>
    <x v="25"/>
    <s v="Power Winch Machine Cap. 5 Ton"/>
    <m/>
    <m/>
    <s v="Nos"/>
    <m/>
    <m/>
    <n v="0"/>
    <m/>
  </r>
  <r>
    <n v="719"/>
    <s v="G20-36003"/>
    <x v="18"/>
    <x v="25"/>
    <s v="Canon MK300 Ferrule Printer"/>
    <m/>
    <n v="1"/>
    <s v="Nos"/>
    <m/>
    <m/>
    <n v="0"/>
    <m/>
  </r>
  <r>
    <n v="720"/>
    <s v="G20-36003"/>
    <x v="18"/>
    <x v="25"/>
    <s v="REBAR CUTTING MACHINE "/>
    <m/>
    <m/>
    <s v="Nos"/>
    <m/>
    <m/>
    <n v="0"/>
    <m/>
  </r>
  <r>
    <n v="721"/>
    <s v="G20-36003"/>
    <x v="18"/>
    <x v="25"/>
    <s v="BOSCH IMPACT WRENCH GDS 18V-1050 H"/>
    <m/>
    <n v="2"/>
    <s v="Nos"/>
    <m/>
    <m/>
    <n v="0"/>
    <m/>
  </r>
  <r>
    <n v="722"/>
    <s v="G20-36003"/>
    <x v="18"/>
    <x v="25"/>
    <s v=" MILWAUKEE IMPACT WRENCH M18 "/>
    <m/>
    <n v="6"/>
    <s v="Nos"/>
    <m/>
    <m/>
    <n v="0"/>
    <m/>
  </r>
  <r>
    <n v="723"/>
    <s v="G20-36003"/>
    <x v="18"/>
    <x v="25"/>
    <s v="RO Plant"/>
    <m/>
    <m/>
    <s v="Nos"/>
    <m/>
    <m/>
    <n v="0"/>
    <m/>
  </r>
  <r>
    <n v="724"/>
    <s v="G20-36003"/>
    <x v="18"/>
    <x v="25"/>
    <s v="Air Cooler 120L"/>
    <m/>
    <n v="20"/>
    <s v="Nos"/>
    <m/>
    <m/>
    <n v="0"/>
    <m/>
  </r>
  <r>
    <n v="725"/>
    <s v="G20-36003"/>
    <x v="18"/>
    <x v="25"/>
    <s v="Washing Machine"/>
    <m/>
    <n v="2"/>
    <s v="Nos"/>
    <m/>
    <m/>
    <n v="0"/>
    <m/>
  </r>
  <r>
    <n v="726"/>
    <s v="G20-36003"/>
    <x v="18"/>
    <x v="25"/>
    <s v="Refridgerator"/>
    <m/>
    <n v="2"/>
    <s v="Nos"/>
    <m/>
    <m/>
    <n v="0"/>
    <m/>
  </r>
  <r>
    <n v="727"/>
    <s v="G28-28001"/>
    <x v="19"/>
    <x v="6"/>
    <s v="Upright Sprinkler(K-115)"/>
    <s v="Sprinkler"/>
    <n v="495"/>
    <s v="Nos."/>
    <s v="TYCO"/>
    <n v="859.32"/>
    <n v="4.2536339999999999E-2"/>
    <m/>
  </r>
  <r>
    <n v="728"/>
    <s v="G28-28001"/>
    <x v="19"/>
    <x v="6"/>
    <s v="Pendent Sprinkler(K-80)"/>
    <s v="Sprinkler"/>
    <n v="190"/>
    <s v="Nos."/>
    <s v="TYCO"/>
    <n v="205"/>
    <n v="3.895E-3"/>
    <m/>
  </r>
  <r>
    <n v="729"/>
    <s v="G28-28001"/>
    <x v="19"/>
    <x v="6"/>
    <s v="SS Braided Flexible Hose Pipe(1500mm long)"/>
    <s v="Sprinkler"/>
    <n v="136"/>
    <s v="Nos."/>
    <s v="HD FIRE"/>
    <n v="910"/>
    <n v="1.2376E-2"/>
    <m/>
  </r>
  <r>
    <n v="730"/>
    <s v="G28-28001"/>
    <x v="19"/>
    <x v="6"/>
    <s v="Sluice Valve - 250NB"/>
    <s v="Valve"/>
    <n v="1"/>
    <s v="Nos."/>
    <s v="LEHRY"/>
    <n v="36313.800000000003"/>
    <n v="3.6313800000000005E-3"/>
    <m/>
  </r>
  <r>
    <n v="731"/>
    <s v="G28-28001"/>
    <x v="19"/>
    <x v="6"/>
    <s v="Y strainer - 200 NB"/>
    <s v="Valve"/>
    <n v="1"/>
    <s v="Nos."/>
    <s v="LEHRY"/>
    <n v="16973.25"/>
    <n v="1.697325E-3"/>
    <m/>
  </r>
  <r>
    <n v="732"/>
    <s v="G28-28001"/>
    <x v="19"/>
    <x v="1"/>
    <s v="Dual Plate Check Valve - 150 NB"/>
    <s v="Valve"/>
    <n v="3"/>
    <s v="Nos."/>
    <s v="LEHRY"/>
    <n v="5118"/>
    <n v="1.5353999999999999E-3"/>
    <m/>
  </r>
  <r>
    <n v="733"/>
    <s v="G28-28001"/>
    <x v="19"/>
    <x v="1"/>
    <s v="Dual Plate Check Valve - 50 NB"/>
    <s v="Valve"/>
    <n v="1"/>
    <s v="Nos."/>
    <s v="LEHRY"/>
    <n v="5118"/>
    <n v="5.1179999999999997E-4"/>
    <m/>
  </r>
  <r>
    <n v="734"/>
    <s v="G28-28001"/>
    <x v="19"/>
    <x v="1"/>
    <s v="Gear Operated Butterfly Valve - 200 NB"/>
    <s v="Valve"/>
    <n v="1"/>
    <s v="Nos."/>
    <s v="LEHRY"/>
    <n v="5243.2"/>
    <n v="5.2431999999999999E-4"/>
    <m/>
  </r>
  <r>
    <n v="735"/>
    <s v="G28-28001"/>
    <x v="19"/>
    <x v="1"/>
    <s v="Butterfly Valve - 200 NB"/>
    <s v="Valve"/>
    <n v="3"/>
    <s v="Nos."/>
    <s v="LEHRY"/>
    <n v="5243.2"/>
    <n v="1.5729599999999998E-3"/>
    <m/>
  </r>
  <r>
    <n v="736"/>
    <s v="G28-28001"/>
    <x v="19"/>
    <x v="1"/>
    <s v="Butterfly Valve - 150 NB"/>
    <s v="Valve"/>
    <n v="5"/>
    <s v="Nos."/>
    <s v="LEHRY"/>
    <n v="2778.2"/>
    <n v="1.3891000000000001E-3"/>
    <m/>
  </r>
  <r>
    <m/>
    <m/>
    <x v="20"/>
    <x v="26"/>
    <m/>
    <m/>
    <m/>
    <m/>
    <m/>
    <s v="Total"/>
    <n v="5.5165755212599974"/>
    <m/>
  </r>
  <r>
    <m/>
    <m/>
    <x v="20"/>
    <x v="26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1">
  <r>
    <n v="1"/>
    <s v="G10-44040"/>
    <x v="0"/>
    <x v="0"/>
    <s v="900 mm dia C class MS Pipe"/>
    <s v="10mm Thick"/>
    <n v="60"/>
    <s v="Rmt"/>
    <s v="JCO"/>
    <n v="13800"/>
    <n v="8.2799999999999999E-2"/>
  </r>
  <r>
    <n v="2"/>
    <s v="G10-44039"/>
    <x v="1"/>
    <x v="1"/>
    <s v="PIBCV Valve-25mm"/>
    <s v="PN16"/>
    <n v="17"/>
    <s v="Nos"/>
    <s v="Danfoss"/>
    <n v="9189"/>
    <n v="1.5621299999999999E-2"/>
  </r>
  <r>
    <n v="3"/>
    <s v="G10-44039"/>
    <x v="1"/>
    <x v="1"/>
    <s v="PIBCV Valve-40mm"/>
    <s v="PN16"/>
    <n v="23"/>
    <s v="Nos"/>
    <s v="Danfoss"/>
    <n v="212686"/>
    <n v="0.4891778"/>
  </r>
  <r>
    <n v="4"/>
    <s v="G10-44039"/>
    <x v="1"/>
    <x v="1"/>
    <s v="PIBCV Valve-50mm"/>
    <s v="PN16"/>
    <n v="26"/>
    <s v="Nos"/>
    <s v="Danfoss"/>
    <n v="22533"/>
    <n v="5.85858E-2"/>
  </r>
  <r>
    <n v="5"/>
    <s v="G10-44039"/>
    <x v="1"/>
    <x v="1"/>
    <s v="PIBCV Valve-65mm"/>
    <s v="PN16"/>
    <n v="7"/>
    <s v="Nos"/>
    <s v="Danfoss"/>
    <n v="42680"/>
    <n v="2.9876E-2"/>
  </r>
  <r>
    <n v="6"/>
    <s v="G10-44039"/>
    <x v="1"/>
    <x v="1"/>
    <s v="PIBCV Valve-80mm"/>
    <s v="PN16"/>
    <n v="1"/>
    <s v="Nos"/>
    <s v="Danfoss"/>
    <n v="55920"/>
    <n v="5.5919999999999997E-3"/>
  </r>
  <r>
    <n v="7"/>
    <s v="G10-44039"/>
    <x v="1"/>
    <x v="2"/>
    <s v="11KW Starter Panel"/>
    <s v="VFD Bye Pass"/>
    <n v="1"/>
    <s v="Nos "/>
    <s v="VK Power master"/>
    <n v="18204"/>
    <n v="1.8204E-3"/>
  </r>
  <r>
    <n v="8"/>
    <s v="G10-44039"/>
    <x v="1"/>
    <x v="2"/>
    <s v="5.5 Kw starter Panel"/>
    <s v="VFD Bye Pass"/>
    <n v="5"/>
    <s v="Nos "/>
    <s v="VK Power master"/>
    <n v="17461"/>
    <n v="8.7305000000000004E-3"/>
  </r>
  <r>
    <n v="9"/>
    <s v="G10-44039"/>
    <x v="1"/>
    <x v="2"/>
    <s v="3.7 kw starter panel"/>
    <s v="DOL Starter Panel"/>
    <n v="5"/>
    <s v="Nos "/>
    <s v="VK Power master"/>
    <n v="14266"/>
    <n v="7.1329999999999996E-3"/>
  </r>
  <r>
    <n v="10"/>
    <s v="G10-44039"/>
    <x v="1"/>
    <x v="2"/>
    <s v="2.2 kw starter panel"/>
    <s v="DOL Starter Panel"/>
    <n v="2"/>
    <s v="Nos "/>
    <s v="VK Power master"/>
    <n v="14117"/>
    <n v="2.8234000000000002E-3"/>
  </r>
  <r>
    <n v="11"/>
    <s v="G10-44039"/>
    <x v="1"/>
    <x v="2"/>
    <s v="1.5 kw starter panel"/>
    <s v="DOL Starter Panel"/>
    <n v="1"/>
    <s v="Nos "/>
    <s v="VK Power master"/>
    <n v="14117"/>
    <n v="1.4117000000000001E-3"/>
  </r>
  <r>
    <n v="12"/>
    <s v="G10-44039"/>
    <x v="1"/>
    <x v="2"/>
    <s v="0.75 kw starter panel"/>
    <s v="DOL Starter Panel"/>
    <n v="5"/>
    <s v="Nos "/>
    <s v="VK Power master"/>
    <n v="13000"/>
    <n v="6.4999999999999997E-3"/>
  </r>
  <r>
    <n v="13"/>
    <s v="G10-10030"/>
    <x v="2"/>
    <x v="3"/>
    <s v="SS 90 Deg. Elbow 300MM"/>
    <s v="SS Fittings"/>
    <n v="2"/>
    <s v="Nos"/>
    <s v="-"/>
    <n v="28808.68"/>
    <n v="5.7617359999999999E-3"/>
  </r>
  <r>
    <n v="14"/>
    <s v="G10-10030"/>
    <x v="2"/>
    <x v="3"/>
    <s v="SS 90 Deg. Elbow 200MM"/>
    <s v="SS Fittings"/>
    <n v="2"/>
    <s v="Nos"/>
    <s v="-"/>
    <n v="21796.25"/>
    <n v="4.3592500000000003E-3"/>
  </r>
  <r>
    <n v="15"/>
    <s v="G10-10030"/>
    <x v="2"/>
    <x v="3"/>
    <s v="SS 45 Deg. Elbow 65MM"/>
    <s v="SS Fittings"/>
    <n v="4"/>
    <s v="Nos"/>
    <s v="Shurjoint"/>
    <n v="7647"/>
    <n v="3.0588E-3"/>
  </r>
  <r>
    <n v="16"/>
    <s v="G10-10030"/>
    <x v="2"/>
    <x v="3"/>
    <s v="SS 90 Deg. Elbow 50MM"/>
    <s v="SS Fittings"/>
    <n v="2"/>
    <s v="Nos"/>
    <s v="Fitwel"/>
    <n v="3501.25"/>
    <n v="7.0025000000000003E-4"/>
  </r>
  <r>
    <n v="17"/>
    <s v="G10-10030"/>
    <x v="2"/>
    <x v="3"/>
    <s v="SS 90 Deg. Elbow 50MM"/>
    <s v="SS Fittings"/>
    <n v="1"/>
    <s v="Nos"/>
    <s v="Shurjoint"/>
    <n v="3501.25"/>
    <n v="3.5012500000000001E-4"/>
  </r>
  <r>
    <n v="18"/>
    <s v="G10-10030"/>
    <x v="2"/>
    <x v="3"/>
    <s v="SS 45 Deg. Elbow 50MM"/>
    <s v="SS Fittings"/>
    <n v="1"/>
    <s v="Nos"/>
    <s v="Shurjoint"/>
    <n v="3501.25"/>
    <n v="3.5012500000000001E-4"/>
  </r>
  <r>
    <n v="19"/>
    <s v="G10-10030"/>
    <x v="2"/>
    <x v="3"/>
    <s v="SS 90 Deg. Elbow 40MM"/>
    <s v="SS Fittings"/>
    <n v="3"/>
    <s v="Nos"/>
    <s v="-"/>
    <n v="1958.09"/>
    <n v="5.8742699999999996E-4"/>
  </r>
  <r>
    <n v="20"/>
    <s v="G10-10030"/>
    <x v="2"/>
    <x v="3"/>
    <s v="SS 90 Deg. Elbow 32MM"/>
    <s v="SS Fittings"/>
    <n v="6"/>
    <s v="Nos"/>
    <s v="Shurjoint"/>
    <n v="1958.09"/>
    <n v="1.1748539999999999E-3"/>
  </r>
  <r>
    <n v="21"/>
    <s v="G10-10030"/>
    <x v="2"/>
    <x v="3"/>
    <s v="SS 90 Deg. Elbow 32MM"/>
    <s v="SS Fittings"/>
    <n v="47"/>
    <s v="Nos"/>
    <s v="-"/>
    <n v="1958.09"/>
    <n v="9.2030229999999994E-3"/>
  </r>
  <r>
    <n v="22"/>
    <s v="G10-10030"/>
    <x v="2"/>
    <x v="3"/>
    <s v="SS 45 Deg. Elbow 20MM"/>
    <s v="SS Fittings"/>
    <n v="67"/>
    <s v="Nos"/>
    <s v="Grinnell"/>
    <n v="1538.57"/>
    <n v="1.0308419000000001E-2"/>
  </r>
  <r>
    <n v="23"/>
    <s v="G10-10030"/>
    <x v="2"/>
    <x v="3"/>
    <s v="SS 90 Deg. Elbow 20MM Threaded"/>
    <s v="SS Fittings"/>
    <n v="32"/>
    <s v="Nos"/>
    <s v="-"/>
    <n v="1538.57"/>
    <n v="4.923424E-3"/>
  </r>
  <r>
    <n v="24"/>
    <s v="G10-10030"/>
    <x v="2"/>
    <x v="3"/>
    <s v="SS 45 Deg. Elbow 15MM"/>
    <s v="SS Fittings"/>
    <n v="160"/>
    <s v="Nos"/>
    <s v="Grinnell"/>
    <n v="1538.57"/>
    <n v="2.4617119999999999E-2"/>
  </r>
  <r>
    <n v="25"/>
    <s v="G10-10030"/>
    <x v="2"/>
    <x v="3"/>
    <s v="SS 90 Deg. Elbow 15MM"/>
    <s v="SS Fittings"/>
    <n v="163"/>
    <s v="Nos"/>
    <s v="Grinnell"/>
    <n v="1538.57"/>
    <n v="2.5078691E-2"/>
  </r>
  <r>
    <n v="26"/>
    <s v="G10-10030"/>
    <x v="2"/>
    <x v="3"/>
    <s v="SS 90 Deg. Elbow 15MM Threaded"/>
    <s v="SS Fittings"/>
    <n v="15"/>
    <s v="Nos"/>
    <s v="-"/>
    <n v="1538.57"/>
    <n v="2.3078549999999997E-3"/>
  </r>
  <r>
    <n v="27"/>
    <s v="G10-10030"/>
    <x v="2"/>
    <x v="4"/>
    <s v="SS Coupling 300MM"/>
    <s v="SS Fittings"/>
    <n v="22"/>
    <s v="Nos"/>
    <s v="Shurjoint"/>
    <n v="21050.66"/>
    <n v="4.6311452000000003E-2"/>
  </r>
  <r>
    <n v="28"/>
    <s v="G10-10030"/>
    <x v="2"/>
    <x v="4"/>
    <s v="SS Coupling 200MM"/>
    <s v="SS Fittings"/>
    <n v="9"/>
    <s v="Nos"/>
    <s v="Shurjoint"/>
    <n v="14595"/>
    <n v="1.31355E-2"/>
  </r>
  <r>
    <n v="29"/>
    <s v="G10-10030"/>
    <x v="2"/>
    <x v="4"/>
    <s v="SS Coupling 150MM"/>
    <s v="SS Fittings"/>
    <n v="134"/>
    <s v="Nos"/>
    <s v="Shurjoint"/>
    <n v="21050.66"/>
    <n v="0.282078844"/>
  </r>
  <r>
    <n v="30"/>
    <s v="G10-10030"/>
    <x v="2"/>
    <x v="4"/>
    <s v="SS Coupling 100MM"/>
    <s v="SS Fittings"/>
    <n v="106"/>
    <s v="Nos"/>
    <s v="Shurjoint"/>
    <n v="6682"/>
    <n v="7.0829199999999995E-2"/>
  </r>
  <r>
    <n v="31"/>
    <s v="G10-10030"/>
    <x v="2"/>
    <x v="4"/>
    <s v="SS Coupling 100MM"/>
    <s v="SS Fittings"/>
    <n v="39"/>
    <s v="Nos"/>
    <s v="Grinnell"/>
    <n v="6682"/>
    <n v="2.6059800000000001E-2"/>
  </r>
  <r>
    <n v="32"/>
    <s v="G10-10030"/>
    <x v="2"/>
    <x v="4"/>
    <s v="SS Coupling 80MM"/>
    <s v="SS Fittings"/>
    <n v="53"/>
    <s v="Nos"/>
    <s v="Shurjoint"/>
    <n v="3674.75"/>
    <n v="1.9476174999999998E-2"/>
  </r>
  <r>
    <n v="33"/>
    <s v="G10-10030"/>
    <x v="2"/>
    <x v="4"/>
    <s v="SS Coupling 80MM"/>
    <s v="SS Fittings"/>
    <n v="131"/>
    <s v="Nos"/>
    <s v="Grinnell"/>
    <n v="3674.75"/>
    <n v="4.8139225000000001E-2"/>
  </r>
  <r>
    <n v="34"/>
    <s v="G10-10030"/>
    <x v="2"/>
    <x v="4"/>
    <s v="SS Coupling 65MM"/>
    <s v="SS Fittings"/>
    <n v="43"/>
    <s v="Nos"/>
    <s v="Grinnell"/>
    <n v="3452"/>
    <n v="1.48436E-2"/>
  </r>
  <r>
    <n v="35"/>
    <s v="G10-10030"/>
    <x v="2"/>
    <x v="4"/>
    <s v="SS Coupling 65MM"/>
    <s v="SS Fittings"/>
    <n v="25"/>
    <s v="Nos"/>
    <s v="Shurjoint"/>
    <n v="3452"/>
    <n v="8.6300000000000005E-3"/>
  </r>
  <r>
    <n v="36"/>
    <s v="G10-10030"/>
    <x v="2"/>
    <x v="4"/>
    <s v="SS Coupling 50MM"/>
    <s v="SS Fittings"/>
    <n v="171"/>
    <s v="Nos"/>
    <s v="Grinnell"/>
    <n v="2376.09"/>
    <n v="4.0631139000000004E-2"/>
  </r>
  <r>
    <n v="37"/>
    <s v="G10-10030"/>
    <x v="2"/>
    <x v="4"/>
    <s v="SS Coupling 50MM"/>
    <s v="SS Fittings"/>
    <n v="78"/>
    <s v="Nos"/>
    <s v="Shurjoint"/>
    <n v="2376.09"/>
    <n v="1.8533502E-2"/>
  </r>
  <r>
    <n v="38"/>
    <s v="G10-10030"/>
    <x v="2"/>
    <x v="4"/>
    <s v="SS Coupling 40MM"/>
    <s v="SS Fittings"/>
    <n v="85"/>
    <s v="Nos"/>
    <s v="Shurjoint"/>
    <n v="2675.97"/>
    <n v="2.2745744999999998E-2"/>
  </r>
  <r>
    <n v="39"/>
    <s v="G10-10030"/>
    <x v="2"/>
    <x v="4"/>
    <s v="SS Coupling 40MM"/>
    <s v="SS Fittings"/>
    <n v="76"/>
    <s v="Nos"/>
    <s v="Grinnell"/>
    <n v="2675.97"/>
    <n v="2.0337371999999996E-2"/>
  </r>
  <r>
    <n v="40"/>
    <s v="G10-10030"/>
    <x v="2"/>
    <x v="4"/>
    <s v="SS Coupling 32MM"/>
    <s v="SS Fittings"/>
    <n v="212"/>
    <s v="Nos"/>
    <s v="Grinnell"/>
    <n v="2675.97"/>
    <n v="5.6730564000000004E-2"/>
  </r>
  <r>
    <n v="41"/>
    <s v="G10-10030"/>
    <x v="2"/>
    <x v="5"/>
    <s v="SS Tee 200mm X 200mm"/>
    <s v="SS Fittings"/>
    <n v="1"/>
    <s v="Nos"/>
    <s v="-"/>
    <n v="10796"/>
    <n v="1.0796E-3"/>
  </r>
  <r>
    <n v="42"/>
    <s v="G10-10030"/>
    <x v="2"/>
    <x v="5"/>
    <s v="SS Tee 200mm X 100mm"/>
    <s v="SS Fittings"/>
    <n v="1"/>
    <s v="Nos"/>
    <s v="Shurjoint"/>
    <n v="6897"/>
    <n v="6.8970000000000001E-4"/>
  </r>
  <r>
    <n v="43"/>
    <s v="G10-10030"/>
    <x v="2"/>
    <x v="5"/>
    <s v="SS Tee 200mm X 80mm"/>
    <s v="SS Fittings"/>
    <n v="1"/>
    <s v="Nos"/>
    <s v="Shurjoint"/>
    <n v="6897"/>
    <n v="6.8970000000000001E-4"/>
  </r>
  <r>
    <n v="44"/>
    <s v="G10-10030"/>
    <x v="2"/>
    <x v="5"/>
    <s v="SS Tee 150mm X 150mm"/>
    <s v="SS Fittings"/>
    <n v="1"/>
    <s v="Nos"/>
    <s v="Shurjoint"/>
    <n v="13685.3"/>
    <n v="1.36853E-3"/>
  </r>
  <r>
    <n v="45"/>
    <s v="G10-10030"/>
    <x v="2"/>
    <x v="5"/>
    <s v="SS Tee 100mm X 100mm"/>
    <s v="SS Fittings"/>
    <n v="6"/>
    <s v="Nos"/>
    <s v="Shurjoint"/>
    <n v="9060.9699999999993"/>
    <n v="5.4365819999999988E-3"/>
  </r>
  <r>
    <n v="46"/>
    <s v="G10-10030"/>
    <x v="2"/>
    <x v="5"/>
    <s v="SS Tee 100mm X 40mm"/>
    <s v="SS Fittings"/>
    <n v="8"/>
    <s v="Nos"/>
    <s v="Shurjoint"/>
    <n v="1708.35"/>
    <n v="1.3666799999999999E-3"/>
  </r>
  <r>
    <n v="47"/>
    <s v="G10-10030"/>
    <x v="2"/>
    <x v="5"/>
    <s v="SS Tee 100mm X 40mm"/>
    <s v="SS Fittings"/>
    <n v="1"/>
    <s v="Nos"/>
    <s v="Grinnell"/>
    <n v="1708.35"/>
    <n v="1.7083499999999999E-4"/>
  </r>
  <r>
    <n v="48"/>
    <s v="G10-10030"/>
    <x v="2"/>
    <x v="5"/>
    <s v="SS Tee 80mm X 80mm"/>
    <s v="SS Fittings"/>
    <n v="1"/>
    <s v="Nos"/>
    <s v="Shurjoint"/>
    <n v="1708.35"/>
    <n v="1.7083499999999999E-4"/>
  </r>
  <r>
    <n v="49"/>
    <s v="G10-10030"/>
    <x v="2"/>
    <x v="5"/>
    <s v="SS Tee 80mm X 80mm"/>
    <s v="SS Fittings"/>
    <n v="1"/>
    <s v="Nos"/>
    <s v="-"/>
    <n v="1708.35"/>
    <n v="1.7083499999999999E-4"/>
  </r>
  <r>
    <n v="50"/>
    <s v="G10-10030"/>
    <x v="2"/>
    <x v="5"/>
    <s v="SS Tee 80mm X 65mm"/>
    <s v="SS Fittings"/>
    <n v="2"/>
    <s v="Nos"/>
    <s v="Grinnell"/>
    <n v="1708.35"/>
    <n v="3.4166999999999997E-4"/>
  </r>
  <r>
    <n v="51"/>
    <s v="G10-10030"/>
    <x v="2"/>
    <x v="5"/>
    <s v="SS Tee 80mm X 50mm"/>
    <s v="SS Fittings"/>
    <n v="1"/>
    <s v="Nos"/>
    <s v="Grinnell"/>
    <n v="1708.35"/>
    <n v="1.7083499999999999E-4"/>
  </r>
  <r>
    <n v="52"/>
    <s v="G10-10030"/>
    <x v="2"/>
    <x v="5"/>
    <s v="SS Tee 80mm X 50mm"/>
    <s v="SS Fittings"/>
    <n v="2"/>
    <s v="Nos"/>
    <s v="Shurjoint"/>
    <n v="1708.35"/>
    <n v="3.4166999999999997E-4"/>
  </r>
  <r>
    <n v="53"/>
    <s v="G10-10030"/>
    <x v="2"/>
    <x v="5"/>
    <s v="SS Tee 80mm X 32mm"/>
    <s v="SS Fittings"/>
    <n v="4"/>
    <s v="Nos"/>
    <s v="Shurjoint"/>
    <n v="1708.35"/>
    <n v="6.8333999999999995E-4"/>
  </r>
  <r>
    <n v="54"/>
    <s v="G10-10030"/>
    <x v="2"/>
    <x v="5"/>
    <s v="SS Tee 80mm X 32mm"/>
    <s v="SS Fittings"/>
    <n v="1"/>
    <s v="Nos"/>
    <s v="-"/>
    <n v="1708.35"/>
    <n v="1.7083499999999999E-4"/>
  </r>
  <r>
    <n v="55"/>
    <s v="G10-10030"/>
    <x v="2"/>
    <x v="5"/>
    <s v="SS Tee 80mm X 15mm"/>
    <s v="SS Fittings"/>
    <n v="2"/>
    <s v="Nos"/>
    <s v="-"/>
    <n v="1708.35"/>
    <n v="3.4166999999999997E-4"/>
  </r>
  <r>
    <n v="56"/>
    <s v="G10-10030"/>
    <x v="2"/>
    <x v="5"/>
    <s v="SS Tee 65mm X 65mm"/>
    <s v="SS Fittings"/>
    <n v="1"/>
    <s v="Nos"/>
    <s v="Shurjoint"/>
    <n v="1708.35"/>
    <n v="1.7083499999999999E-4"/>
  </r>
  <r>
    <n v="57"/>
    <s v="G10-10030"/>
    <x v="2"/>
    <x v="5"/>
    <s v="SS Tee 65mm X 50mm"/>
    <s v="SS Fittings"/>
    <n v="6"/>
    <s v="Nos"/>
    <s v="Grinnell"/>
    <n v="1708.35"/>
    <n v="1.0250099999999998E-3"/>
  </r>
  <r>
    <n v="58"/>
    <s v="G10-10030"/>
    <x v="2"/>
    <x v="5"/>
    <s v="SS Tee 65mm X 40mm"/>
    <s v="SS Fittings"/>
    <n v="10"/>
    <s v="Nos"/>
    <s v="Grinnell"/>
    <n v="1708.35"/>
    <n v="1.70835E-3"/>
  </r>
  <r>
    <n v="59"/>
    <s v="G10-10030"/>
    <x v="2"/>
    <x v="5"/>
    <s v="SS Tee 65mm X 32mm"/>
    <s v="SS Fittings"/>
    <n v="2"/>
    <s v="Nos"/>
    <s v="Shurjoint"/>
    <n v="1708.35"/>
    <n v="3.4166999999999997E-4"/>
  </r>
  <r>
    <n v="60"/>
    <s v="G10-10030"/>
    <x v="2"/>
    <x v="5"/>
    <s v="SS Tee 50mm X 32mm"/>
    <s v="SS Fittings"/>
    <n v="24"/>
    <s v="Nos"/>
    <s v="Grinnell"/>
    <n v="1708.35"/>
    <n v="4.1000399999999992E-3"/>
  </r>
  <r>
    <n v="61"/>
    <s v="G10-10030"/>
    <x v="2"/>
    <x v="5"/>
    <s v="SS Tee 50mm X 32mm"/>
    <s v="SS Fittings"/>
    <n v="6"/>
    <s v="Nos"/>
    <s v="Shurjoint"/>
    <n v="1708.35"/>
    <n v="1.0250099999999998E-3"/>
  </r>
  <r>
    <n v="62"/>
    <s v="G10-10030"/>
    <x v="2"/>
    <x v="5"/>
    <s v="SS Tee 50mm X 25mm"/>
    <s v="SS Fittings"/>
    <n v="12"/>
    <s v="Nos"/>
    <s v="-"/>
    <n v="1708.35"/>
    <n v="2.0500199999999996E-3"/>
  </r>
  <r>
    <n v="63"/>
    <s v="G10-10030"/>
    <x v="2"/>
    <x v="5"/>
    <s v="SS Tee 50mm X 25mm"/>
    <s v="SS Fittings"/>
    <n v="4"/>
    <s v="Nos"/>
    <s v="Shurjoint"/>
    <n v="1708.35"/>
    <n v="6.8333999999999995E-4"/>
  </r>
  <r>
    <n v="64"/>
    <s v="G10-10030"/>
    <x v="2"/>
    <x v="5"/>
    <s v="SS Tee 50mm X 50mm"/>
    <s v="SS Fittings"/>
    <n v="1"/>
    <s v="Nos"/>
    <s v="Shurjoint"/>
    <n v="1708.35"/>
    <n v="1.7083499999999999E-4"/>
  </r>
  <r>
    <n v="65"/>
    <s v="G10-10030"/>
    <x v="2"/>
    <x v="5"/>
    <s v="SS Tee 50mm X 40mm"/>
    <s v="SS Fittings"/>
    <n v="1"/>
    <s v="Nos"/>
    <s v="Grinnell"/>
    <n v="1708.35"/>
    <n v="1.7083499999999999E-4"/>
  </r>
  <r>
    <n v="66"/>
    <s v="G10-10030"/>
    <x v="2"/>
    <x v="5"/>
    <s v="SS Tee 40mm X 32mm"/>
    <s v="SS Fittings"/>
    <n v="24"/>
    <s v="Nos"/>
    <s v="Grinnell"/>
    <n v="1708.35"/>
    <n v="4.1000399999999992E-3"/>
  </r>
  <r>
    <n v="67"/>
    <s v="G10-10030"/>
    <x v="2"/>
    <x v="5"/>
    <s v="SS Tee 40mm X 32mm"/>
    <s v="SS Fittings"/>
    <n v="4"/>
    <s v="Nos"/>
    <s v="-"/>
    <n v="1708.35"/>
    <n v="6.8333999999999995E-4"/>
  </r>
  <r>
    <n v="68"/>
    <s v="G10-10030"/>
    <x v="2"/>
    <x v="5"/>
    <s v="SS Tee 40mm X 32mm"/>
    <s v="SS Fittings"/>
    <n v="2"/>
    <s v="Nos"/>
    <s v="Shurjoint"/>
    <n v="1708.35"/>
    <n v="3.4166999999999997E-4"/>
  </r>
  <r>
    <n v="69"/>
    <s v="G10-10030"/>
    <x v="2"/>
    <x v="5"/>
    <s v="SS Tee 40mm X 40mm"/>
    <s v="SS Fittings"/>
    <n v="3"/>
    <s v="Nos"/>
    <s v="Grinnell"/>
    <n v="1708.35"/>
    <n v="5.1250499999999991E-4"/>
  </r>
  <r>
    <n v="70"/>
    <s v="G10-10030"/>
    <x v="2"/>
    <x v="5"/>
    <s v="SS Tee 40mm X 40mm"/>
    <s v="SS Fittings"/>
    <n v="2"/>
    <s v="Nos"/>
    <s v="Shurjoint"/>
    <n v="1708.35"/>
    <n v="3.4166999999999997E-4"/>
  </r>
  <r>
    <n v="71"/>
    <s v="G10-10030"/>
    <x v="2"/>
    <x v="5"/>
    <s v="SS Tee 40mm X 25mm"/>
    <s v="SS Fittings"/>
    <n v="13"/>
    <s v="Nos"/>
    <s v="-"/>
    <n v="1708.35"/>
    <n v="2.2208549999999999E-3"/>
  </r>
  <r>
    <n v="72"/>
    <s v="G10-10030"/>
    <x v="2"/>
    <x v="5"/>
    <s v="SS Tee 32mm X 25mm"/>
    <s v="SS Fittings"/>
    <n v="1"/>
    <s v="Nos"/>
    <s v="-"/>
    <n v="1708.35"/>
    <n v="1.7083499999999999E-4"/>
  </r>
  <r>
    <n v="73"/>
    <s v="G10-10030"/>
    <x v="2"/>
    <x v="5"/>
    <s v="SS Tee 32mm X 32mm"/>
    <s v="SS Fittings"/>
    <n v="19"/>
    <s v="Nos"/>
    <s v="Grinnell"/>
    <n v="1708.35"/>
    <n v="3.2458649999999997E-3"/>
  </r>
  <r>
    <n v="74"/>
    <s v="G10-10030"/>
    <x v="2"/>
    <x v="5"/>
    <s v="SS Tee 32mm X 32mm"/>
    <s v="SS Fittings"/>
    <n v="3"/>
    <s v="Nos"/>
    <s v="Shurjoint"/>
    <n v="1708.35"/>
    <n v="5.1250499999999991E-4"/>
  </r>
  <r>
    <n v="75"/>
    <s v="G10-10030"/>
    <x v="2"/>
    <x v="5"/>
    <s v="SS Tee 32mm X 15mm"/>
    <s v="SS Fittings"/>
    <n v="7"/>
    <s v="Nos"/>
    <s v="Grinnell"/>
    <n v="1708.35"/>
    <n v="1.1958449999999999E-3"/>
  </r>
  <r>
    <n v="76"/>
    <s v="G10-10030"/>
    <x v="2"/>
    <x v="5"/>
    <s v="SS Tee 20mm X 20mm"/>
    <s v="SS Fittings"/>
    <n v="8"/>
    <s v="Nos"/>
    <s v="Grinnell"/>
    <n v="1708.35"/>
    <n v="1.3666799999999999E-3"/>
  </r>
  <r>
    <n v="77"/>
    <s v="G10-10030"/>
    <x v="2"/>
    <x v="5"/>
    <s v="SS Tee 20mm X 15mm"/>
    <s v="SS Fittings"/>
    <n v="19"/>
    <s v="Nos"/>
    <s v="Grinnell"/>
    <n v="1708.35"/>
    <n v="3.2458649999999997E-3"/>
  </r>
  <r>
    <n v="78"/>
    <s v="G10-10030"/>
    <x v="2"/>
    <x v="5"/>
    <s v="SS Tee 20mm X 15mm Threaded"/>
    <s v="SS Fittings"/>
    <n v="13"/>
    <s v="Nos"/>
    <s v="-"/>
    <n v="1708.35"/>
    <n v="2.2208549999999999E-3"/>
  </r>
  <r>
    <n v="79"/>
    <s v="G10-10030"/>
    <x v="2"/>
    <x v="5"/>
    <s v="SS Tee 15mm X 15mm"/>
    <s v="SS Fittings"/>
    <n v="17"/>
    <s v="Nos"/>
    <s v="Grinnell"/>
    <n v="1708.35"/>
    <n v="2.9041949999999996E-3"/>
  </r>
  <r>
    <n v="80"/>
    <s v="G10-10030"/>
    <x v="2"/>
    <x v="5"/>
    <s v="SS Welded Tee 200mm X 80mm"/>
    <s v="SS Fittings"/>
    <n v="1"/>
    <s v="Nos"/>
    <s v="-"/>
    <n v="6897"/>
    <n v="6.8970000000000001E-4"/>
  </r>
  <r>
    <n v="81"/>
    <s v="G10-10030"/>
    <x v="2"/>
    <x v="5"/>
    <s v="SS Welded Tee 80mm X 80mm"/>
    <s v="SS Fittings"/>
    <n v="3"/>
    <s v="Nos"/>
    <s v="-"/>
    <n v="6897"/>
    <n v="2.0690999999999999E-3"/>
  </r>
  <r>
    <n v="82"/>
    <s v="G10-10030"/>
    <x v="2"/>
    <x v="5"/>
    <s v="SS Welded Tee 80mm X 25mm"/>
    <s v="SS Fittings"/>
    <n v="12"/>
    <s v="Nos"/>
    <s v="-"/>
    <n v="6897"/>
    <n v="8.2763999999999997E-3"/>
  </r>
  <r>
    <n v="83"/>
    <s v="G10-10030"/>
    <x v="2"/>
    <x v="5"/>
    <s v="SS Welded Tee 65mm X 65mm"/>
    <s v="SS Fittings"/>
    <n v="2"/>
    <s v="Nos"/>
    <s v="-"/>
    <n v="6897"/>
    <n v="1.3794E-3"/>
  </r>
  <r>
    <n v="84"/>
    <s v="G10-10030"/>
    <x v="2"/>
    <x v="5"/>
    <s v="SS Welded Tee 65mm X 32mm"/>
    <s v="SS Fittings"/>
    <n v="7"/>
    <s v="Nos"/>
    <s v="-"/>
    <n v="6897"/>
    <n v="4.8279000000000004E-3"/>
  </r>
  <r>
    <n v="85"/>
    <s v="G10-10030"/>
    <x v="2"/>
    <x v="5"/>
    <s v="SS Welded Tee 50mm X 50mm"/>
    <s v="SS Fittings"/>
    <n v="2"/>
    <s v="Nos"/>
    <s v="-"/>
    <n v="6897"/>
    <n v="1.3794E-3"/>
  </r>
  <r>
    <n v="86"/>
    <s v="G10-10030"/>
    <x v="2"/>
    <x v="5"/>
    <s v="SS Welded Tee 32mm X 25mm"/>
    <s v="SS Fittings"/>
    <n v="1"/>
    <s v="Nos"/>
    <s v="-"/>
    <n v="6897"/>
    <n v="6.8970000000000001E-4"/>
  </r>
  <r>
    <n v="87"/>
    <s v="G10-10030"/>
    <x v="2"/>
    <x v="5"/>
    <s v="SS Welded Tee 32mm X 15mm"/>
    <s v="SS Fittings"/>
    <n v="2"/>
    <s v="Nos"/>
    <s v="-"/>
    <n v="6897"/>
    <n v="1.3794E-3"/>
  </r>
  <r>
    <n v="88"/>
    <s v="G10-10030"/>
    <x v="2"/>
    <x v="5"/>
    <s v="SS Welded Tee 25mm X 20mm"/>
    <s v="SS Fittings"/>
    <n v="1"/>
    <s v="Nos"/>
    <s v="-"/>
    <n v="6897"/>
    <n v="6.8970000000000001E-4"/>
  </r>
  <r>
    <n v="89"/>
    <s v="G10-10030"/>
    <x v="2"/>
    <x v="6"/>
    <s v="SS FTA 50mm"/>
    <s v="SS Fittings"/>
    <n v="93"/>
    <s v="Nos"/>
    <s v="-"/>
    <n v="2000"/>
    <n v="1.8599999999999998E-2"/>
  </r>
  <r>
    <n v="90"/>
    <s v="G10-10030"/>
    <x v="2"/>
    <x v="6"/>
    <s v="SS FTA 40mm"/>
    <s v="SS Fittings"/>
    <n v="34"/>
    <s v="Nos"/>
    <s v="-"/>
    <n v="1800"/>
    <n v="6.1199999999999996E-3"/>
  </r>
  <r>
    <n v="91"/>
    <s v="G10-10030"/>
    <x v="2"/>
    <x v="6"/>
    <s v="SS FTA 32mm"/>
    <s v="SS Fittings"/>
    <n v="27"/>
    <s v="Nos"/>
    <s v="-"/>
    <n v="1600"/>
    <n v="4.3200000000000001E-3"/>
  </r>
  <r>
    <n v="92"/>
    <s v="G10-10030"/>
    <x v="2"/>
    <x v="6"/>
    <s v="SS Union 25MM"/>
    <s v="SS Fittings"/>
    <n v="203"/>
    <s v="Nos"/>
    <s v="Grinnell"/>
    <n v="1600"/>
    <n v="3.2480000000000002E-2"/>
  </r>
  <r>
    <n v="93"/>
    <s v="G10-10030"/>
    <x v="2"/>
    <x v="6"/>
    <s v="SS Union 20MM"/>
    <s v="SS Fittings"/>
    <n v="3"/>
    <s v="Nos"/>
    <s v="Grinnell"/>
    <n v="1600"/>
    <n v="4.8000000000000001E-4"/>
  </r>
  <r>
    <n v="94"/>
    <s v="G10-10030"/>
    <x v="2"/>
    <x v="6"/>
    <s v="SS Union 15MM"/>
    <s v="SS Fittings"/>
    <n v="14"/>
    <s v="Nos"/>
    <s v="Grinnell"/>
    <n v="1400"/>
    <n v="1.9599999999999999E-3"/>
  </r>
  <r>
    <n v="95"/>
    <s v="G10-10030"/>
    <x v="2"/>
    <x v="7"/>
    <s v="SS Socket 15MM"/>
    <s v="SS Fittings"/>
    <n v="45"/>
    <s v="Nos"/>
    <s v="Grinnell"/>
    <n v="31"/>
    <n v="1.395E-4"/>
  </r>
  <r>
    <n v="96"/>
    <s v="G10-10030"/>
    <x v="2"/>
    <x v="7"/>
    <s v="SS Socket 25MM"/>
    <s v="SS Fittings"/>
    <n v="86"/>
    <s v="Nos"/>
    <s v="Grinnell"/>
    <n v="31"/>
    <n v="2.6659999999999998E-4"/>
  </r>
  <r>
    <n v="97"/>
    <s v="G10-10030"/>
    <x v="2"/>
    <x v="7"/>
    <s v="SS Reducer Socket 20mm X 15mm"/>
    <s v="SS Fittings"/>
    <n v="5"/>
    <s v="Nos"/>
    <s v="Grinnell"/>
    <n v="90"/>
    <n v="4.5000000000000003E-5"/>
  </r>
  <r>
    <n v="98"/>
    <s v="G10-10030"/>
    <x v="2"/>
    <x v="7"/>
    <s v="SS Reducer Socket 25mm X 20mm"/>
    <s v="SS Fittings"/>
    <n v="2"/>
    <s v="Nos"/>
    <s v="Grinnell"/>
    <n v="90"/>
    <n v="1.8E-5"/>
  </r>
  <r>
    <n v="99"/>
    <s v="G10-10030"/>
    <x v="2"/>
    <x v="7"/>
    <s v="SS Reducer Socket 25mm X 15mm"/>
    <s v="SS Fittings"/>
    <n v="2"/>
    <s v="Nos"/>
    <s v="Grinnell"/>
    <n v="6108.68"/>
    <n v="1.221736E-3"/>
  </r>
  <r>
    <n v="100"/>
    <s v="G10-10030"/>
    <x v="2"/>
    <x v="7"/>
    <s v="SS Reducer Socket 40mm X 32mm"/>
    <s v="SS Fittings"/>
    <n v="10"/>
    <s v="Nos"/>
    <s v="Grinnell"/>
    <n v="6108.68"/>
    <n v="6.10868E-3"/>
  </r>
  <r>
    <n v="101"/>
    <s v="G10-10030"/>
    <x v="2"/>
    <x v="7"/>
    <s v="SS Reducer Socket 65mm X 50mm"/>
    <s v="SS Fittings"/>
    <n v="19"/>
    <s v="Nos"/>
    <s v="Grinnell"/>
    <n v="6108.68"/>
    <n v="1.1606492000000001E-2"/>
  </r>
  <r>
    <n v="102"/>
    <s v="G10-10030"/>
    <x v="2"/>
    <x v="7"/>
    <s v="SS Reducer Socket 65mm X 50mm"/>
    <s v="SS Fittings"/>
    <n v="4"/>
    <s v="Nos"/>
    <s v="Shurjoint"/>
    <n v="6108.68"/>
    <n v="2.4434719999999999E-3"/>
  </r>
  <r>
    <n v="103"/>
    <s v="G10-10030"/>
    <x v="2"/>
    <x v="7"/>
    <s v="SS Reducer Socket 80mm X 50mm"/>
    <s v="SS Fittings"/>
    <n v="1"/>
    <s v="Nos"/>
    <s v="Shurjoint"/>
    <n v="6108.68"/>
    <n v="6.1086799999999998E-4"/>
  </r>
  <r>
    <n v="104"/>
    <s v="G10-10030"/>
    <x v="2"/>
    <x v="7"/>
    <s v="SS Reducer Socket 80mm X 50mm"/>
    <s v="SS Fittings"/>
    <n v="2"/>
    <s v="Nos"/>
    <s v="-"/>
    <n v="6108.68"/>
    <n v="1.221736E-3"/>
  </r>
  <r>
    <n v="105"/>
    <s v="G10-10030"/>
    <x v="2"/>
    <x v="7"/>
    <s v="SS Reducer Socket 50mm X 40mm"/>
    <s v="SS Fittings"/>
    <n v="1"/>
    <s v="Nos"/>
    <s v="Grinnell"/>
    <n v="6108.68"/>
    <n v="6.1086799999999998E-4"/>
  </r>
  <r>
    <n v="106"/>
    <s v="G10-10030"/>
    <x v="2"/>
    <x v="7"/>
    <s v="SS Reducer Socket 50mm X 40mm"/>
    <s v="SS Fittings"/>
    <n v="12"/>
    <s v="Nos"/>
    <s v="Shurjoint"/>
    <n v="6108.68"/>
    <n v="7.3304160000000002E-3"/>
  </r>
  <r>
    <n v="107"/>
    <s v="G10-10030"/>
    <x v="2"/>
    <x v="7"/>
    <s v="SS Reducer Socket 50mm X 25mm"/>
    <s v="SS Fittings"/>
    <n v="1"/>
    <s v="Nos"/>
    <s v="-"/>
    <n v="6108.68"/>
    <n v="6.1086799999999998E-4"/>
  </r>
  <r>
    <n v="108"/>
    <s v="G10-10030"/>
    <x v="2"/>
    <x v="7"/>
    <s v="SS Reducer Socket 40mm X 32mm"/>
    <s v="SS Fittings"/>
    <n v="2"/>
    <s v="Nos"/>
    <s v="Shurjoint"/>
    <n v="6108.68"/>
    <n v="1.221736E-3"/>
  </r>
  <r>
    <n v="109"/>
    <s v="G10-10030"/>
    <x v="2"/>
    <x v="7"/>
    <s v="SS Reducer Socket 100mm X 80mm"/>
    <s v="SS Fittings"/>
    <n v="1"/>
    <s v="Nos"/>
    <s v="Shurjoint"/>
    <n v="24817.82"/>
    <n v="2.4817820000000001E-3"/>
  </r>
  <r>
    <n v="110"/>
    <s v="G10-10030"/>
    <x v="2"/>
    <x v="7"/>
    <s v="SS Reducer Socket 100mm X 80mm"/>
    <s v="SS Fittings"/>
    <n v="1"/>
    <s v="Nos"/>
    <s v="Grinnell"/>
    <n v="24817.82"/>
    <n v="2.4817820000000001E-3"/>
  </r>
  <r>
    <n v="111"/>
    <s v="G10-10030"/>
    <x v="2"/>
    <x v="7"/>
    <s v="SS Reducer Socket 300mm X 100mm"/>
    <s v="SS Fittings"/>
    <n v="2"/>
    <s v="Nos"/>
    <s v="-"/>
    <n v="24817.82"/>
    <n v="4.9635640000000002E-3"/>
  </r>
  <r>
    <n v="112"/>
    <s v="G10-10030"/>
    <x v="2"/>
    <x v="7"/>
    <s v="SS Reducer Socket 150mm X 80mm"/>
    <s v="SS Fittings"/>
    <n v="1"/>
    <s v="Nos"/>
    <s v="Shurjoint"/>
    <n v="24817.82"/>
    <n v="2.4817820000000001E-3"/>
  </r>
  <r>
    <n v="113"/>
    <s v="G10-10030"/>
    <x v="2"/>
    <x v="7"/>
    <s v="SS Reducer Socket 150mm X 100mm"/>
    <s v="SS Fittings"/>
    <n v="2"/>
    <s v="Nos"/>
    <s v="Grinnell"/>
    <n v="24817.82"/>
    <n v="4.9635640000000002E-3"/>
  </r>
  <r>
    <n v="114"/>
    <s v="G10-10030"/>
    <x v="2"/>
    <x v="7"/>
    <s v="SS Reducer Socket 150mm X 65mm"/>
    <s v="SS Fittings"/>
    <n v="2"/>
    <s v="Nos"/>
    <s v="Shurjoint"/>
    <n v="24817.82"/>
    <n v="4.9635640000000002E-3"/>
  </r>
  <r>
    <n v="115"/>
    <s v="G10-10030"/>
    <x v="2"/>
    <x v="7"/>
    <s v="SS S/W Socket 20MM"/>
    <s v="SS Fittings"/>
    <n v="64"/>
    <s v="Nos"/>
    <s v="Grinnell"/>
    <n v="6108.68"/>
    <n v="3.9095551999999999E-2"/>
  </r>
  <r>
    <n v="116"/>
    <s v="G10-10030"/>
    <x v="2"/>
    <x v="7"/>
    <s v="SS S/W Socket 25MM"/>
    <s v="SS Fittings"/>
    <n v="59"/>
    <s v="Nos"/>
    <s v="Grinnell"/>
    <n v="6108.68"/>
    <n v="3.6041211999999996E-2"/>
  </r>
  <r>
    <n v="117"/>
    <s v="G10-10030"/>
    <x v="2"/>
    <x v="7"/>
    <s v="SS S/W Socket 15MM"/>
    <s v="SS Fittings"/>
    <n v="46"/>
    <s v="Nos"/>
    <s v="Grinnell"/>
    <n v="6108.68"/>
    <n v="2.8099928000000003E-2"/>
  </r>
  <r>
    <n v="118"/>
    <s v="G10-10030"/>
    <x v="2"/>
    <x v="7"/>
    <s v="SS S/W Reducer Socket 32mm X 15mm"/>
    <s v="SS Fittings"/>
    <n v="4"/>
    <s v="Nos"/>
    <s v="Grinnell"/>
    <n v="6108.68"/>
    <n v="2.4434719999999999E-3"/>
  </r>
  <r>
    <n v="119"/>
    <s v="G10-10030"/>
    <x v="2"/>
    <x v="7"/>
    <s v="SS S/W Reducer Socket 32mm X 20mm"/>
    <s v="SS Fittings"/>
    <n v="4"/>
    <s v="Nos"/>
    <s v="Grinnell"/>
    <n v="6108.68"/>
    <n v="2.4434719999999999E-3"/>
  </r>
  <r>
    <n v="120"/>
    <s v="G10-10030"/>
    <x v="2"/>
    <x v="8"/>
    <s v="SS Dummy Flange 300MM"/>
    <s v="SS Fittings"/>
    <n v="1"/>
    <s v="Nos"/>
    <s v="-"/>
    <n v="5286"/>
    <n v="5.2859999999999995E-4"/>
  </r>
  <r>
    <n v="121"/>
    <s v="G10-10030"/>
    <x v="2"/>
    <x v="8"/>
    <s v="SS Grooved tail piece flange 300MM"/>
    <s v="SS Fittings"/>
    <n v="2"/>
    <s v="Nos"/>
    <s v="-"/>
    <n v="5286"/>
    <n v="1.0571999999999999E-3"/>
  </r>
  <r>
    <n v="122"/>
    <s v="G10-10030"/>
    <x v="2"/>
    <x v="8"/>
    <s v="SS Grooved tail piece flange 65MM"/>
    <s v="SS Fittings"/>
    <n v="15"/>
    <s v="Nos"/>
    <s v="-"/>
    <n v="1055"/>
    <n v="1.5824999999999999E-3"/>
  </r>
  <r>
    <n v="123"/>
    <s v="G10-10030"/>
    <x v="2"/>
    <x v="8"/>
    <s v="SS Welded Flange 65MM"/>
    <s v="SS Fittings"/>
    <n v="2"/>
    <s v="Nos"/>
    <s v="-"/>
    <n v="1055"/>
    <n v="2.1100000000000001E-4"/>
  </r>
  <r>
    <n v="124"/>
    <s v="G10-10030"/>
    <x v="2"/>
    <x v="8"/>
    <s v="SS Welded Flange 65MM"/>
    <s v="SS Fittings"/>
    <n v="99"/>
    <s v="Nos"/>
    <s v="-"/>
    <n v="1055"/>
    <n v="1.0444500000000001E-2"/>
  </r>
  <r>
    <n v="125"/>
    <s v="G10-10030"/>
    <x v="2"/>
    <x v="8"/>
    <s v="SS Welded Flange 200MM"/>
    <s v="SS Fittings"/>
    <n v="4"/>
    <s v="Nos"/>
    <s v="-"/>
    <n v="13355.09"/>
    <n v="5.3420359999999997E-3"/>
  </r>
  <r>
    <n v="126"/>
    <s v="G10-10030"/>
    <x v="2"/>
    <x v="8"/>
    <s v="SS Welded Flange 100MM"/>
    <s v="SS Fittings"/>
    <n v="1"/>
    <s v="Nos"/>
    <s v="-"/>
    <n v="13355.09"/>
    <n v="1.3355089999999999E-3"/>
  </r>
  <r>
    <n v="127"/>
    <s v="G10-10030"/>
    <x v="2"/>
    <x v="8"/>
    <s v="SS Dummy Flange 100MM"/>
    <s v="SS Fittings"/>
    <n v="1"/>
    <s v="Nos"/>
    <s v="-"/>
    <n v="13355.09"/>
    <n v="1.3355089999999999E-3"/>
  </r>
  <r>
    <n v="128"/>
    <s v="G10-10030"/>
    <x v="2"/>
    <x v="8"/>
    <s v="SS Welded Flange 80MM"/>
    <s v="SS Fittings"/>
    <n v="1"/>
    <s v="Nos"/>
    <s v="-"/>
    <n v="7448.04"/>
    <n v="7.4480399999999995E-4"/>
  </r>
  <r>
    <n v="129"/>
    <s v="G10-10030"/>
    <x v="2"/>
    <x v="8"/>
    <s v="SS Grooved Flange 100MM"/>
    <s v="SS Fittings"/>
    <n v="10"/>
    <s v="Nos"/>
    <s v="-"/>
    <n v="10886.99"/>
    <n v="1.0886989999999999E-2"/>
  </r>
  <r>
    <n v="130"/>
    <s v="G10-10030"/>
    <x v="2"/>
    <x v="8"/>
    <s v="SS Grooved Flange 80MM"/>
    <s v="SS Fittings"/>
    <n v="37"/>
    <s v="Nos"/>
    <s v="-"/>
    <n v="7448.04"/>
    <n v="2.7557747999999996E-2"/>
  </r>
  <r>
    <n v="131"/>
    <s v="G10-10030"/>
    <x v="2"/>
    <x v="8"/>
    <s v="SS Grooved Flange 65MM"/>
    <s v="SS Fittings"/>
    <n v="2"/>
    <s v="Nos"/>
    <s v="-"/>
    <n v="1055"/>
    <n v="2.1100000000000001E-4"/>
  </r>
  <r>
    <n v="132"/>
    <s v="G10-10030"/>
    <x v="2"/>
    <x v="6"/>
    <s v="GI B/W Reducer 200mm x 150mm"/>
    <s v="GI Fittings "/>
    <n v="18"/>
    <s v="Nos"/>
    <s v="Metal Lloyd"/>
    <m/>
    <n v="0"/>
  </r>
  <r>
    <n v="133"/>
    <s v="G10-10030"/>
    <x v="2"/>
    <x v="3"/>
    <s v="GI 90 Deg Elbow 200MM  "/>
    <s v="GI Fittings "/>
    <n v="30"/>
    <s v="Nos"/>
    <s v="Metal Lloyd"/>
    <m/>
    <n v="0"/>
  </r>
  <r>
    <n v="134"/>
    <s v="G10-10030"/>
    <x v="2"/>
    <x v="0"/>
    <s v="GI Pipe 200MM  "/>
    <s v="GI Pipes"/>
    <n v="180"/>
    <s v="Mtr"/>
    <s v="Jindal Hissar"/>
    <n v="2568.06"/>
    <n v="4.6225080000000002E-2"/>
  </r>
  <r>
    <n v="135"/>
    <s v="G10-10030"/>
    <x v="2"/>
    <x v="0"/>
    <s v="GI Pipe 250MM  "/>
    <s v="GI Pipes"/>
    <n v="42"/>
    <s v="Mtr"/>
    <s v="Jindal Hissar"/>
    <n v="2288"/>
    <n v="9.6095999999999994E-3"/>
  </r>
  <r>
    <n v="136"/>
    <s v="G10-10030"/>
    <x v="2"/>
    <x v="0"/>
    <s v="GI Pipe 300MM  "/>
    <s v="GI Pipes"/>
    <n v="30"/>
    <s v="Mtr"/>
    <s v="Jindal Hissar"/>
    <n v="3406"/>
    <n v="1.0218E-2"/>
  </r>
  <r>
    <n v="137"/>
    <s v="G10-10030"/>
    <x v="2"/>
    <x v="0"/>
    <s v="UPVC Pipe 65MM"/>
    <s v="UPVC Piipe"/>
    <n v="60"/>
    <s v="Mtrs"/>
    <s v="Astral"/>
    <n v="100.61"/>
    <n v="6.0366E-4"/>
  </r>
  <r>
    <n v="138"/>
    <s v="G10-10030"/>
    <x v="2"/>
    <x v="3"/>
    <s v="PVC Elbow 90 Deg. 50MM"/>
    <s v="PVC Fittings"/>
    <n v="2500"/>
    <s v="Nos"/>
    <s v="Finolex"/>
    <n v="66.39"/>
    <n v="1.6597500000000001E-2"/>
  </r>
  <r>
    <n v="139"/>
    <s v="G10-10030"/>
    <x v="2"/>
    <x v="3"/>
    <s v="PVC Elbow 45 Deg. 100MM"/>
    <s v="PVC Fittings"/>
    <n v="200"/>
    <s v="Nos"/>
    <s v="Finolex"/>
    <n v="66.39"/>
    <n v="1.3278000000000001E-3"/>
  </r>
  <r>
    <n v="140"/>
    <s v="G10-10030"/>
    <x v="2"/>
    <x v="6"/>
    <s v="PVC Reducer 100MM x 75MM"/>
    <s v="PVC Fittings"/>
    <n v="70"/>
    <s v="Nos"/>
    <s v="Finolex"/>
    <n v="41.51"/>
    <n v="2.9056999999999998E-4"/>
  </r>
  <r>
    <n v="141"/>
    <s v="G10-10030"/>
    <x v="2"/>
    <x v="5"/>
    <s v="PVC Tee 150MM x 100MM"/>
    <s v="PVC Fittings"/>
    <n v="131"/>
    <s v="Nos"/>
    <s v="Wavin"/>
    <n v="181.13"/>
    <n v="2.3728029999999997E-3"/>
  </r>
  <r>
    <n v="142"/>
    <s v="G10-10030"/>
    <x v="2"/>
    <x v="6"/>
    <s v="PVC Double Y 160MM x 160MM"/>
    <s v="PVC Fittings"/>
    <n v="25"/>
    <s v="Nos"/>
    <s v="Finolex"/>
    <n v="108.6"/>
    <n v="2.7149999999999999E-4"/>
  </r>
  <r>
    <n v="143"/>
    <s v="G10-10030"/>
    <x v="2"/>
    <x v="6"/>
    <s v="PVC Single Y 110MM "/>
    <s v="PVC Fittings"/>
    <n v="1000"/>
    <s v="Nos"/>
    <s v="Finolex"/>
    <n v="108.6"/>
    <n v="1.086E-2"/>
  </r>
  <r>
    <n v="144"/>
    <s v="G10-10030"/>
    <x v="2"/>
    <x v="3"/>
    <s v="Brass 90 Deg. Elbow 15MM"/>
    <s v="Copper Fittings"/>
    <n v="710"/>
    <s v="Nos"/>
    <s v="Viega"/>
    <n v="40"/>
    <n v="2.8400000000000001E-3"/>
  </r>
  <r>
    <n v="145"/>
    <s v="G10-10030"/>
    <x v="2"/>
    <x v="5"/>
    <s v="Brass Tee 32MM"/>
    <s v="Copper Fittings"/>
    <n v="2"/>
    <s v="Nos"/>
    <s v="Viega"/>
    <n v="88"/>
    <n v="1.7600000000000001E-5"/>
  </r>
  <r>
    <n v="146"/>
    <s v="G10-10030"/>
    <x v="2"/>
    <x v="3"/>
    <s v="Copper 45 Deg. Elbow 15MM"/>
    <s v="Copper Fittings"/>
    <n v="13"/>
    <s v="Nos"/>
    <s v="Viega"/>
    <m/>
    <n v="0"/>
  </r>
  <r>
    <n v="147"/>
    <s v="G10-10030"/>
    <x v="2"/>
    <x v="3"/>
    <s v="Copper 45 Deg. Elbow 20MM"/>
    <s v="Copper Fittings"/>
    <n v="555"/>
    <s v="Nos"/>
    <s v="Viega"/>
    <m/>
    <n v="0"/>
  </r>
  <r>
    <n v="148"/>
    <s v="G10-10030"/>
    <x v="2"/>
    <x v="3"/>
    <s v="Copper 90 Deg. Elbow 15MM"/>
    <s v="Copper Fittings"/>
    <n v="2570"/>
    <s v="Nos"/>
    <s v="Viega"/>
    <m/>
    <n v="0"/>
  </r>
  <r>
    <n v="149"/>
    <s v="G10-10030"/>
    <x v="2"/>
    <x v="3"/>
    <s v="Copper 90 Deg. Elbow 20MM"/>
    <s v="Copper Fittings"/>
    <n v="445"/>
    <s v="Nos"/>
    <s v="Viega"/>
    <m/>
    <n v="0"/>
  </r>
  <r>
    <n v="150"/>
    <s v="G10-10030"/>
    <x v="2"/>
    <x v="6"/>
    <s v="Copper Reducer 20MM X 15MM"/>
    <s v="Copper Fittings"/>
    <n v="1140"/>
    <s v="Nos"/>
    <s v="Viega"/>
    <m/>
    <n v="0"/>
  </r>
  <r>
    <n v="151"/>
    <s v="G10-10030"/>
    <x v="2"/>
    <x v="6"/>
    <s v="Copper Reducer 25MM X 15MM"/>
    <s v="Copper Fittings"/>
    <n v="160"/>
    <s v="Nos"/>
    <s v="Viega"/>
    <m/>
    <n v="0"/>
  </r>
  <r>
    <n v="152"/>
    <s v="G10-10030"/>
    <x v="2"/>
    <x v="6"/>
    <s v="Copper Reducer 32MM X 20MM"/>
    <s v="Copper Fittings"/>
    <n v="8"/>
    <s v="Nos"/>
    <s v="Viega"/>
    <m/>
    <n v="0"/>
  </r>
  <r>
    <n v="153"/>
    <s v="G10-10030"/>
    <x v="2"/>
    <x v="7"/>
    <s v="Copper Socket 15MM"/>
    <s v="Copper Fittings"/>
    <n v="1640"/>
    <s v="Nos"/>
    <s v="Viega"/>
    <m/>
    <n v="0"/>
  </r>
  <r>
    <n v="154"/>
    <s v="G10-10030"/>
    <x v="2"/>
    <x v="7"/>
    <s v="Copper Socket 20MM"/>
    <s v="Copper Fittings"/>
    <n v="720"/>
    <s v="Nos"/>
    <s v="Viega"/>
    <m/>
    <n v="0"/>
  </r>
  <r>
    <n v="155"/>
    <s v="G10-10030"/>
    <x v="2"/>
    <x v="5"/>
    <s v="Copper Tee 15MM"/>
    <s v="Copper Fittings"/>
    <n v="255"/>
    <s v="Nos"/>
    <s v="Viega"/>
    <m/>
    <n v="0"/>
  </r>
  <r>
    <n v="156"/>
    <s v="G10-10030"/>
    <x v="2"/>
    <x v="5"/>
    <s v="Copper Tee 20MM"/>
    <s v="Copper Fittings"/>
    <n v="245"/>
    <s v="Nos"/>
    <s v="Viega"/>
    <m/>
    <n v="0"/>
  </r>
  <r>
    <n v="157"/>
    <s v="G10-10030"/>
    <x v="2"/>
    <x v="5"/>
    <s v="Copper Tee 20MM X 15MM"/>
    <s v="Copper Fittings"/>
    <n v="302"/>
    <s v="Nos"/>
    <s v="Viega"/>
    <m/>
    <n v="0"/>
  </r>
  <r>
    <n v="158"/>
    <s v="G10-10030"/>
    <x v="2"/>
    <x v="5"/>
    <s v="Copper Tee 25MM X 20MM"/>
    <s v="Copper Fittings"/>
    <n v="190"/>
    <s v="Nos"/>
    <s v="Viega"/>
    <m/>
    <n v="0"/>
  </r>
  <r>
    <n v="159"/>
    <s v="G10-10030"/>
    <x v="2"/>
    <x v="6"/>
    <s v="Flux (Pest for copper joint)"/>
    <s v="Copper Fittings"/>
    <n v="31"/>
    <s v="Nos"/>
    <s v="Viega"/>
    <m/>
    <n v="0"/>
  </r>
  <r>
    <n v="160"/>
    <s v="G10-10030"/>
    <x v="2"/>
    <x v="6"/>
    <s v="FTA Brass 15MM"/>
    <s v="Copper Fittings"/>
    <n v="620"/>
    <s v="Nos"/>
    <s v="Viega"/>
    <n v="90"/>
    <n v="5.5799999999999999E-3"/>
  </r>
  <r>
    <n v="161"/>
    <s v="G10-10030"/>
    <x v="2"/>
    <x v="6"/>
    <s v="MTA Brass 15MM"/>
    <s v="Copper Fittings"/>
    <n v="1389"/>
    <s v="Nos"/>
    <s v="Viega"/>
    <n v="90"/>
    <n v="1.2501E-2"/>
  </r>
  <r>
    <n v="162"/>
    <s v="G10-10030"/>
    <x v="2"/>
    <x v="6"/>
    <s v="MTA Brass 20MM"/>
    <s v="Copper Fittings"/>
    <n v="135"/>
    <s v="Nos"/>
    <s v="Viega"/>
    <n v="120"/>
    <n v="1.6199999999999999E-3"/>
  </r>
  <r>
    <n v="163"/>
    <s v="G10-10030"/>
    <x v="2"/>
    <x v="6"/>
    <s v="MTA Brass 20MM X 15MM"/>
    <s v="Copper Fittings"/>
    <n v="159"/>
    <s v="Nos"/>
    <s v="Viega"/>
    <n v="120"/>
    <n v="1.908E-3"/>
  </r>
  <r>
    <n v="164"/>
    <s v="G10-10030"/>
    <x v="2"/>
    <x v="6"/>
    <s v="MTA Brass 25MM"/>
    <s v="Copper Fittings"/>
    <n v="145"/>
    <s v="Nos"/>
    <s v="Viega"/>
    <n v="160"/>
    <n v="2.32E-3"/>
  </r>
  <r>
    <n v="165"/>
    <s v="G10-10030"/>
    <x v="2"/>
    <x v="6"/>
    <s v="MTA Brass 32MM"/>
    <s v="Copper Fittings"/>
    <n v="25"/>
    <s v="Nos"/>
    <s v="Viega"/>
    <n v="190"/>
    <n v="4.75E-4"/>
  </r>
  <r>
    <n v="166"/>
    <s v="G10-10030"/>
    <x v="2"/>
    <x v="6"/>
    <s v="Low Noise Reducer 110MM x 50MM"/>
    <s v="Low Noise Fittings"/>
    <n v="215"/>
    <s v="Nos"/>
    <s v="Wavin"/>
    <n v="328.53"/>
    <n v="7.0633950000000001E-3"/>
  </r>
  <r>
    <n v="167"/>
    <s v="G10-10030"/>
    <x v="2"/>
    <x v="3"/>
    <s v="Low Noise 90 Deg Elbow 75MM"/>
    <s v="Low Noise Fittings"/>
    <n v="11"/>
    <s v="Nos"/>
    <s v="Wavin"/>
    <n v="461.38"/>
    <n v="5.0751799999999999E-4"/>
  </r>
  <r>
    <n v="168"/>
    <s v="G10-10030"/>
    <x v="2"/>
    <x v="3"/>
    <s v="Low Noise 45 Deg Elbow 75MM"/>
    <s v="Low Noise Fittings"/>
    <n v="7"/>
    <s v="Nos"/>
    <s v="Wavin"/>
    <n v="461.38"/>
    <n v="3.22966E-4"/>
  </r>
  <r>
    <n v="169"/>
    <s v="G10-10030"/>
    <x v="2"/>
    <x v="6"/>
    <s v="Low Noise Y 110MM x 75MM"/>
    <s v="Low Noise Fittings"/>
    <n v="45"/>
    <s v="Nos"/>
    <s v="Wavin"/>
    <n v="461.38"/>
    <n v="2.0762099999999998E-3"/>
  </r>
  <r>
    <n v="170"/>
    <s v="G10-10030"/>
    <x v="2"/>
    <x v="7"/>
    <s v="Low Noise socket 50MM"/>
    <s v="Low Noise Fittings"/>
    <n v="1098"/>
    <s v="Nos"/>
    <s v="Wavin"/>
    <n v="461.38"/>
    <n v="5.0659523999999997E-2"/>
  </r>
  <r>
    <n v="171"/>
    <s v="G10-10030"/>
    <x v="2"/>
    <x v="7"/>
    <s v="Low Noise socket 70MM"/>
    <s v="Low Noise Fittings"/>
    <n v="1534"/>
    <s v="Nos"/>
    <s v="Wavin"/>
    <n v="461.38"/>
    <n v="7.0775692000000001E-2"/>
  </r>
  <r>
    <n v="172"/>
    <s v="G10-10030"/>
    <x v="2"/>
    <x v="7"/>
    <s v="Low Noise Multi Trap 110x75x50"/>
    <s v="Low Noise Fittings"/>
    <n v="69"/>
    <s v="Nos"/>
    <s v="Supreme"/>
    <n v="461.38"/>
    <n v="3.1835220000000003E-3"/>
  </r>
  <r>
    <n v="173"/>
    <s v="G10-10030"/>
    <x v="2"/>
    <x v="3"/>
    <s v="Low Noise 90 Deg Elbow 50MM"/>
    <s v="Low Noise Fittings"/>
    <n v="558"/>
    <s v="Nos"/>
    <s v="Wavin"/>
    <n v="243.46"/>
    <n v="1.3585067999999999E-2"/>
  </r>
  <r>
    <n v="174"/>
    <s v="G10-10030"/>
    <x v="2"/>
    <x v="5"/>
    <s v="Low Noise Tee 50MM"/>
    <s v="Low Noise Fittings"/>
    <n v="264"/>
    <s v="Nos"/>
    <s v="Wavin"/>
    <n v="243.46"/>
    <n v="6.4273440000000006E-3"/>
  </r>
  <r>
    <n v="175"/>
    <s v="G10-42020"/>
    <x v="3"/>
    <x v="9"/>
    <s v="Manual Balance valves Gear Type 250 mm DIA"/>
    <s v="*Globe Type Flanged End Construction PN-16"/>
    <n v="1"/>
    <s v="Nos"/>
    <s v="ADVANCE"/>
    <n v="83838"/>
    <n v="8.3838000000000003E-3"/>
  </r>
  <r>
    <n v="176"/>
    <s v="G10-42020"/>
    <x v="3"/>
    <x v="9"/>
    <s v="Manual Balance valves Gear Type 200 mm DIA"/>
    <s v="*Globe Type Flanged End Construction PN-16"/>
    <n v="1"/>
    <s v="Nos"/>
    <s v="ADVANCE"/>
    <n v="44687"/>
    <n v="4.4686999999999999E-3"/>
  </r>
  <r>
    <n v="177"/>
    <s v="G10-42020"/>
    <x v="3"/>
    <x v="6"/>
    <s v="RUBBER BELLOW Type 250 mm DIA"/>
    <s v="PN 16 "/>
    <n v="1"/>
    <s v="Nos"/>
    <s v="RESISTOFLEX"/>
    <n v="5750"/>
    <n v="5.7499999999999999E-4"/>
  </r>
  <r>
    <n v="178"/>
    <s v="G10-42020"/>
    <x v="3"/>
    <x v="6"/>
    <s v="RUBBER BELLOW Type 200 mm DIA"/>
    <s v="PN 16 "/>
    <n v="1"/>
    <s v="Nos"/>
    <s v="RESISTOFLEX"/>
    <n v="4750"/>
    <n v="4.75E-4"/>
  </r>
  <r>
    <n v="179"/>
    <s v="G10-42020"/>
    <x v="3"/>
    <x v="6"/>
    <s v="Y-STRAINER 250 MM DIA"/>
    <s v="PN 16 "/>
    <n v="1"/>
    <s v="Nos"/>
    <s v="D S ENGINEERING"/>
    <n v="18865"/>
    <n v="1.8864999999999999E-3"/>
  </r>
  <r>
    <n v="180"/>
    <s v="G10-42020"/>
    <x v="3"/>
    <x v="6"/>
    <s v="Y-STRAINER 200 MM DIA"/>
    <s v="PN 16 "/>
    <n v="1"/>
    <s v="Nos"/>
    <s v="D S ENGINEERING"/>
    <n v="13051.5"/>
    <n v="1.3051499999999999E-3"/>
  </r>
  <r>
    <n v="181"/>
    <s v="G10-34010"/>
    <x v="4"/>
    <x v="9"/>
    <s v="Pr. Indpendent Balancing+2Way Valve 40mm"/>
    <s v="40mm"/>
    <n v="10"/>
    <s v="Nos"/>
    <s v="SEIMENS"/>
    <n v="23800"/>
    <n v="2.3800000000000002E-2"/>
  </r>
  <r>
    <n v="182"/>
    <s v="G10-34010"/>
    <x v="4"/>
    <x v="9"/>
    <s v="Balancing Valve CI 25mm dia   PN16 FE"/>
    <s v="25mm"/>
    <n v="2"/>
    <s v="Nos"/>
    <s v="CASTLE VALVES PVT LTD"/>
    <n v="1398"/>
    <n v="2.7960000000000002E-4"/>
  </r>
  <r>
    <n v="183"/>
    <s v="G10-34010"/>
    <x v="4"/>
    <x v="9"/>
    <s v="B/F VALVE CI LUG TYPE 125MM DIA  PN 16"/>
    <s v="125mm"/>
    <n v="12"/>
    <s v="Nos"/>
    <s v="ADVANCE"/>
    <n v="3889"/>
    <n v="4.6667999999999996E-3"/>
  </r>
  <r>
    <n v="184"/>
    <s v="G10-34010"/>
    <x v="4"/>
    <x v="9"/>
    <s v="B/F VALVE CI LUG TYPE 100MM DIA  PN 16"/>
    <s v="100mm"/>
    <n v="6"/>
    <s v="Nos"/>
    <s v="ADVANCE"/>
    <n v="3344"/>
    <n v="2.0064000000000002E-3"/>
  </r>
  <r>
    <n v="185"/>
    <s v="G10-34010"/>
    <x v="4"/>
    <x v="9"/>
    <s v="B/F VALVE CI LUG TYPE 50MM DIA  PN 16"/>
    <s v="50mm"/>
    <n v="6"/>
    <s v="Nos"/>
    <s v="ADVANCE"/>
    <n v="2446"/>
    <n v="1.4675999999999999E-3"/>
  </r>
  <r>
    <n v="186"/>
    <s v="G10-34010"/>
    <x v="4"/>
    <x v="9"/>
    <s v="B/F VALVE CI LUG TYPE 250MM DIA  PN 16"/>
    <s v="250mm"/>
    <n v="3"/>
    <s v="Nos"/>
    <s v="ADVANCE"/>
    <n v="13052"/>
    <n v="3.9156E-3"/>
  </r>
  <r>
    <n v="187"/>
    <s v="G10-34010"/>
    <x v="4"/>
    <x v="9"/>
    <s v="B/F VALVE CI LUG TYPE 200MM DIA  PN 16"/>
    <s v="200mm"/>
    <n v="2"/>
    <s v="Nos"/>
    <s v="ADVANCE"/>
    <n v="6311"/>
    <n v="1.2622E-3"/>
  </r>
  <r>
    <n v="188"/>
    <s v="G10-34010"/>
    <x v="4"/>
    <x v="9"/>
    <s v="Balancing Valve CI 65mm dia   PN16 FE"/>
    <s v="65mm"/>
    <n v="3"/>
    <s v="Nos"/>
    <s v="ADVANCE"/>
    <n v="5731"/>
    <n v="1.7193E-3"/>
  </r>
  <r>
    <n v="189"/>
    <s v="G10-34010"/>
    <x v="4"/>
    <x v="9"/>
    <s v="Balancing Valve CI 100mm dia   PN16 FE"/>
    <s v="100mm"/>
    <n v="2"/>
    <s v="Nos"/>
    <s v="ADVANCE"/>
    <n v="9419"/>
    <n v="1.8837999999999999E-3"/>
  </r>
  <r>
    <n v="190"/>
    <s v="G10-34010"/>
    <x v="4"/>
    <x v="9"/>
    <s v="Balancing Valve CI 80mm dia   PN16 FE"/>
    <s v="80mm"/>
    <n v="10"/>
    <s v="Nos"/>
    <s v="ADVANCE"/>
    <n v="6538"/>
    <n v="6.5380000000000004E-3"/>
  </r>
  <r>
    <n v="191"/>
    <s v="G10-34010"/>
    <x v="4"/>
    <x v="9"/>
    <s v="Balancing Valve CI 50 mm dia   PN16 FE"/>
    <s v="50mm"/>
    <n v="2"/>
    <s v="Nos"/>
    <s v="ADVANCE"/>
    <n v="5253"/>
    <n v="1.0506000000000001E-3"/>
  </r>
  <r>
    <n v="192"/>
    <s v="G10-34010"/>
    <x v="4"/>
    <x v="9"/>
    <s v="Balancing Valve CI 32 mm dia   PN16 FE"/>
    <s v="32mm"/>
    <n v="1"/>
    <s v="Nos"/>
    <s v="ADVANCE"/>
    <n v="3225"/>
    <n v="3.2249999999999998E-4"/>
  </r>
  <r>
    <n v="193"/>
    <s v="G10-34010"/>
    <x v="4"/>
    <x v="6"/>
    <s v="STRAINER Y FEPN16 MS SS SC 80 MM"/>
    <s v="80mm"/>
    <n v="2"/>
    <s v="Nos"/>
    <s v="Emerland"/>
    <n v="6440"/>
    <n v="1.2880000000000001E-3"/>
  </r>
  <r>
    <n v="194"/>
    <s v="G10-34010"/>
    <x v="4"/>
    <x v="6"/>
    <s v="STRAINER Y FEPN16 MS SS SC 65 MM"/>
    <s v="65mm"/>
    <n v="1"/>
    <s v="Nos"/>
    <s v="Emerland"/>
    <n v="4665"/>
    <n v="4.6650000000000001E-4"/>
  </r>
  <r>
    <n v="195"/>
    <s v="G10-34010"/>
    <x v="4"/>
    <x v="0"/>
    <s v="Pipe ERW MS 8MM Thk 300 mm Dia"/>
    <s v="300mm"/>
    <n v="15"/>
    <s v="Rmt"/>
    <s v="Jindal Hisar class,c"/>
    <n v="3721"/>
    <n v="5.5814999999999997E-3"/>
  </r>
  <r>
    <n v="196"/>
    <s v="G10-34010"/>
    <x v="4"/>
    <x v="0"/>
    <s v="Pipe ERW MS 8MM Thk 200 mm Dia"/>
    <s v="200mm"/>
    <n v="5"/>
    <s v="Rmt"/>
    <s v="Jindal Hisar class,c"/>
    <n v="2490"/>
    <n v="1.245E-3"/>
  </r>
  <r>
    <n v="197"/>
    <s v="G10-34010"/>
    <x v="4"/>
    <x v="0"/>
    <s v="Pipe ERW MS 8MM Thk 250 mm Dia"/>
    <s v="250mm"/>
    <n v="9"/>
    <s v="Rmt"/>
    <s v="Jindal Hisar class,c"/>
    <n v="3129"/>
    <n v="2.8161000000000002E-3"/>
  </r>
  <r>
    <n v="198"/>
    <s v="G10-34010"/>
    <x v="4"/>
    <x v="0"/>
    <s v="Pipe ERW MS Class C 50 mm Dia"/>
    <s v="50mm"/>
    <n v="15"/>
    <s v="Rmt"/>
    <s v="Jindal Hisar class,c"/>
    <n v="389"/>
    <n v="5.8350000000000003E-4"/>
  </r>
  <r>
    <n v="199"/>
    <s v="G10-34010"/>
    <x v="4"/>
    <x v="0"/>
    <s v="Pipe ERW MS Class C 65 mm Dia"/>
    <s v="65mm"/>
    <n v="12"/>
    <s v="Rmt"/>
    <s v="Jindal Hisar class,c"/>
    <n v="499"/>
    <n v="5.9880000000000003E-4"/>
  </r>
  <r>
    <n v="200"/>
    <s v="G10-34010"/>
    <x v="4"/>
    <x v="6"/>
    <s v="FIRE RATED INSULATION"/>
    <s v="1200X600"/>
    <n v="75"/>
    <s v="SQMT "/>
    <s v="ENERGY SAVING &amp; ALLIED PRODUCST"/>
    <n v="1068"/>
    <n v="8.0099999999999998E-3"/>
  </r>
  <r>
    <n v="201"/>
    <s v="G10-46003"/>
    <x v="5"/>
    <x v="6"/>
    <s v="Hose Box"/>
    <s v="600 x 600 mm"/>
    <n v="2"/>
    <s v="Nos"/>
    <s v="NewAge"/>
    <n v="4550"/>
    <n v="9.1E-4"/>
  </r>
  <r>
    <n v="202"/>
    <s v="G10-46003"/>
    <x v="5"/>
    <x v="6"/>
    <s v="Wall Mounted Fan"/>
    <s v="450mm 1 P"/>
    <n v="1"/>
    <s v="Nos"/>
    <s v="Bajaj"/>
    <n v="1600"/>
    <n v="1.6000000000000001E-4"/>
  </r>
  <r>
    <n v="203"/>
    <s v="G10-46003"/>
    <x v="5"/>
    <x v="6"/>
    <s v="Wall Mounted Fan - Exhaust"/>
    <s v="250 mm"/>
    <n v="2"/>
    <s v="Nos"/>
    <s v="almonard"/>
    <n v="1200"/>
    <n v="2.4000000000000001E-4"/>
  </r>
  <r>
    <n v="204"/>
    <s v="G10-46003"/>
    <x v="5"/>
    <x v="6"/>
    <s v="Wall Mounted Fan - Exhaust"/>
    <s v="DX 250"/>
    <n v="10"/>
    <s v="Nos"/>
    <s v="Bajaj"/>
    <n v="1000"/>
    <n v="1E-3"/>
  </r>
  <r>
    <n v="205"/>
    <s v="G10-46003"/>
    <x v="5"/>
    <x v="6"/>
    <s v="Back Box"/>
    <s v="3M"/>
    <n v="14"/>
    <s v="Nos"/>
    <s v="MK"/>
    <n v="36.409999999999997"/>
    <n v="5.0973999999999997E-5"/>
  </r>
  <r>
    <n v="206"/>
    <s v="G10-46003"/>
    <x v="5"/>
    <x v="6"/>
    <s v="Back Box"/>
    <s v="8M"/>
    <n v="29"/>
    <s v="Nos"/>
    <s v="MK"/>
    <n v="74.010000000000005"/>
    <n v="2.1462900000000001E-4"/>
  </r>
  <r>
    <n v="207"/>
    <s v="G10-46003"/>
    <x v="5"/>
    <x v="6"/>
    <s v="Back Box"/>
    <s v="8M"/>
    <n v="50"/>
    <s v="Nos"/>
    <s v="Honeywell"/>
    <n v="74.010000000000005"/>
    <n v="3.7005000000000002E-4"/>
  </r>
  <r>
    <n v="208"/>
    <s v="G10-46003"/>
    <x v="5"/>
    <x v="6"/>
    <s v="Back Box"/>
    <s v="12M"/>
    <n v="20"/>
    <s v="Nos"/>
    <s v="MK"/>
    <n v="103.21"/>
    <n v="2.0641999999999999E-4"/>
  </r>
  <r>
    <n v="209"/>
    <s v="G10-46003"/>
    <x v="5"/>
    <x v="6"/>
    <s v="Back Box"/>
    <s v="12M"/>
    <n v="10"/>
    <s v="Nos"/>
    <s v="Honeywell"/>
    <n v="103.21"/>
    <n v="1.0321E-4"/>
  </r>
  <r>
    <n v="210"/>
    <s v="G10-46003"/>
    <x v="5"/>
    <x v="6"/>
    <s v="Back Box"/>
    <s v="1/2 M"/>
    <n v="37"/>
    <s v="Nos"/>
    <s v="Honeywell"/>
    <n v="25.2"/>
    <n v="9.3239999999999995E-5"/>
  </r>
  <r>
    <n v="211"/>
    <s v="G10-46003"/>
    <x v="5"/>
    <x v="6"/>
    <s v="front plate"/>
    <s v="1m"/>
    <n v="48"/>
    <s v="Nos"/>
    <s v="Honeywell"/>
    <n v="40.119999999999997"/>
    <n v="1.9257599999999997E-4"/>
  </r>
  <r>
    <n v="212"/>
    <s v="G10-46003"/>
    <x v="5"/>
    <x v="6"/>
    <s v="front plate"/>
    <s v="2m"/>
    <n v="47"/>
    <s v="Nos"/>
    <s v="Honeywell"/>
    <n v="40.119999999999997"/>
    <n v="1.8856399999999998E-4"/>
  </r>
  <r>
    <n v="213"/>
    <s v="G10-46003"/>
    <x v="5"/>
    <x v="6"/>
    <s v="front plate"/>
    <s v="3M"/>
    <n v="56"/>
    <s v="Nos"/>
    <s v="Honeywell"/>
    <n v="40.119999999999997"/>
    <n v="2.2467199999999998E-4"/>
  </r>
  <r>
    <n v="214"/>
    <s v="G10-46003"/>
    <x v="5"/>
    <x v="6"/>
    <s v="front plate"/>
    <s v="4M"/>
    <n v="32"/>
    <s v="Nos"/>
    <s v="Honeywell"/>
    <n v="53.04"/>
    <n v="1.6972799999999999E-4"/>
  </r>
  <r>
    <n v="215"/>
    <s v="G10-46003"/>
    <x v="5"/>
    <x v="6"/>
    <s v="front plate"/>
    <s v="6M"/>
    <n v="56"/>
    <s v="Nos"/>
    <s v="Honeywell"/>
    <n v="87.04"/>
    <n v="4.8742400000000008E-4"/>
  </r>
  <r>
    <n v="216"/>
    <s v="G10-46003"/>
    <x v="5"/>
    <x v="6"/>
    <s v="front plate"/>
    <s v="12m"/>
    <n v="24"/>
    <s v="Nos"/>
    <s v="Honeywell"/>
    <n v="142.12"/>
    <n v="3.4108800000000002E-4"/>
  </r>
  <r>
    <n v="217"/>
    <s v="G10-46003"/>
    <x v="5"/>
    <x v="6"/>
    <s v="3 pin socket"/>
    <s v="6/16 A"/>
    <n v="50"/>
    <s v="Nos"/>
    <s v="Honeywell"/>
    <n v="22"/>
    <n v="1.1E-4"/>
  </r>
  <r>
    <n v="218"/>
    <s v="G10-46003"/>
    <x v="5"/>
    <x v="6"/>
    <s v="Termination Box"/>
    <s v="TPN 6WAY"/>
    <n v="2"/>
    <s v="Nos"/>
    <s v="L &amp; T"/>
    <n v="680"/>
    <n v="1.36E-4"/>
  </r>
  <r>
    <n v="219"/>
    <s v="G10-46003"/>
    <x v="5"/>
    <x v="6"/>
    <s v="Termination Box"/>
    <s v="TPN 4WAY"/>
    <n v="3"/>
    <s v="Nos"/>
    <s v="L &amp; T"/>
    <n v="540"/>
    <n v="1.6200000000000001E-4"/>
  </r>
  <r>
    <n v="220"/>
    <s v="G10-46003"/>
    <x v="5"/>
    <x v="6"/>
    <s v="Termination Box"/>
    <s v="TPN 8WAY"/>
    <n v="9"/>
    <s v="Nos"/>
    <s v="L &amp; T"/>
    <n v="863"/>
    <n v="7.7669999999999996E-4"/>
  </r>
  <r>
    <n v="221"/>
    <s v="G10-46003"/>
    <x v="5"/>
    <x v="6"/>
    <s v="Termination Box"/>
    <s v="SPN 8WAY"/>
    <n v="1"/>
    <s v="Nos"/>
    <s v="L &amp; T"/>
    <n v="458.25"/>
    <n v="4.5825000000000003E-5"/>
  </r>
  <r>
    <n v="222"/>
    <s v="G10-46003"/>
    <x v="5"/>
    <x v="6"/>
    <s v="VDB"/>
    <s v="VTPN 8WAY 250A MCCB DD"/>
    <n v="3"/>
    <s v="Nos"/>
    <s v="L &amp; T"/>
    <n v="18781.39"/>
    <n v="5.6344170000000001E-3"/>
  </r>
  <r>
    <n v="223"/>
    <s v="G10-46003"/>
    <x v="5"/>
    <x v="10"/>
    <s v="MCB"/>
    <s v="10A SP"/>
    <n v="81"/>
    <s v="Nos"/>
    <s v="L &amp; T"/>
    <n v="88"/>
    <n v="7.1279999999999998E-4"/>
  </r>
  <r>
    <n v="224"/>
    <s v="G10-46003"/>
    <x v="5"/>
    <x v="10"/>
    <s v="MCB"/>
    <s v="16A SP"/>
    <n v="2"/>
    <s v="Nos"/>
    <s v="L &amp; T"/>
    <n v="209"/>
    <n v="4.18E-5"/>
  </r>
  <r>
    <n v="225"/>
    <s v="G10-46003"/>
    <x v="5"/>
    <x v="10"/>
    <s v="MCB"/>
    <s v="25A SP"/>
    <n v="1"/>
    <s v="Nos"/>
    <s v="L &amp; T"/>
    <n v="215"/>
    <n v="2.1500000000000001E-5"/>
  </r>
  <r>
    <n v="226"/>
    <s v="G10-46003"/>
    <x v="5"/>
    <x v="10"/>
    <s v="MCB"/>
    <s v="40A SP"/>
    <n v="2"/>
    <s v="Nos"/>
    <s v="L &amp; T"/>
    <n v="342"/>
    <n v="6.8399999999999996E-5"/>
  </r>
  <r>
    <n v="227"/>
    <s v="G10-46003"/>
    <x v="5"/>
    <x v="10"/>
    <s v="MCB"/>
    <s v="25A 3P"/>
    <n v="6"/>
    <s v="Nos"/>
    <s v="L &amp; T"/>
    <n v="215"/>
    <n v="1.2899999999999999E-4"/>
  </r>
  <r>
    <n v="228"/>
    <s v="G10-46003"/>
    <x v="5"/>
    <x v="10"/>
    <s v="MCB"/>
    <s v="32A 3P"/>
    <n v="9"/>
    <s v="Nos"/>
    <s v="L &amp; T"/>
    <n v="434"/>
    <n v="3.9060000000000001E-4"/>
  </r>
  <r>
    <n v="229"/>
    <s v="G10-46003"/>
    <x v="5"/>
    <x v="10"/>
    <s v="MCB"/>
    <s v="40A 3P"/>
    <n v="6"/>
    <s v="Nos"/>
    <s v="L &amp; T"/>
    <n v="628"/>
    <n v="3.768E-4"/>
  </r>
  <r>
    <n v="230"/>
    <s v="G10-46003"/>
    <x v="5"/>
    <x v="10"/>
    <s v="MCB"/>
    <s v="63A 3P"/>
    <n v="3"/>
    <s v="Nos"/>
    <s v="L &amp; T"/>
    <n v="628"/>
    <n v="1.884E-4"/>
  </r>
  <r>
    <n v="231"/>
    <s v="G10-46003"/>
    <x v="5"/>
    <x v="10"/>
    <s v="MCCB"/>
    <s v="63A 4P"/>
    <n v="4"/>
    <s v="Nos"/>
    <s v="L &amp; T"/>
    <n v="1860"/>
    <n v="7.4399999999999998E-4"/>
  </r>
  <r>
    <n v="232"/>
    <s v="G10-46003"/>
    <x v="5"/>
    <x v="10"/>
    <s v="MCCB"/>
    <s v="80A 4P"/>
    <n v="2"/>
    <s v="Nos"/>
    <s v="L &amp; T"/>
    <n v="2130"/>
    <n v="4.26E-4"/>
  </r>
  <r>
    <n v="233"/>
    <s v="G10-46003"/>
    <x v="5"/>
    <x v="10"/>
    <s v="MCCB"/>
    <s v="100A 4P"/>
    <n v="1"/>
    <s v="Nos"/>
    <s v="L &amp; T"/>
    <n v="3250"/>
    <n v="3.2499999999999999E-4"/>
  </r>
  <r>
    <n v="234"/>
    <s v="G10-46003"/>
    <x v="5"/>
    <x v="10"/>
    <s v="MCCB"/>
    <s v="125A 4P"/>
    <n v="4"/>
    <s v="Nos"/>
    <s v="L &amp; T"/>
    <n v="3250"/>
    <n v="1.2999999999999999E-3"/>
  </r>
  <r>
    <n v="235"/>
    <s v="G10-46003"/>
    <x v="5"/>
    <x v="10"/>
    <s v="MCCB"/>
    <s v="200A 4P"/>
    <n v="1"/>
    <s v="Nos"/>
    <s v="L &amp; T"/>
    <n v="3250"/>
    <n v="3.2499999999999999E-4"/>
  </r>
  <r>
    <n v="236"/>
    <s v="G10-46003"/>
    <x v="5"/>
    <x v="10"/>
    <s v="RCCB"/>
    <s v="100 mA 4P"/>
    <n v="1"/>
    <s v="Nos"/>
    <s v="L &amp; T"/>
    <n v="2136"/>
    <n v="2.1359999999999999E-4"/>
  </r>
  <r>
    <n v="237"/>
    <s v="G10-46003"/>
    <x v="5"/>
    <x v="6"/>
    <s v="LED Light"/>
    <s v="18W"/>
    <n v="5"/>
    <s v="Nos"/>
    <s v="Mollisi SMI"/>
    <n v="1100"/>
    <n v="5.5000000000000003E-4"/>
  </r>
  <r>
    <n v="238"/>
    <s v="G10-46003"/>
    <x v="5"/>
    <x v="6"/>
    <s v="Back Box - PVC"/>
    <s v="2 M"/>
    <n v="16"/>
    <s v="Nos"/>
    <s v="MK"/>
    <n v="34.4"/>
    <n v="5.5039999999999995E-5"/>
  </r>
  <r>
    <n v="239"/>
    <s v="G10-46003"/>
    <x v="5"/>
    <x v="6"/>
    <s v="Water Flow Switch"/>
    <s v="100 mm Dia"/>
    <n v="1"/>
    <s v="Nos"/>
    <s v="System Sensor"/>
    <n v="3852"/>
    <n v="3.8519999999999998E-4"/>
  </r>
  <r>
    <n v="240"/>
    <s v="G10-46003"/>
    <x v="5"/>
    <x v="6"/>
    <s v="Thermostat"/>
    <m/>
    <n v="7"/>
    <s v="Nos"/>
    <s v="Blue Star"/>
    <n v="550"/>
    <n v="3.8499999999999998E-4"/>
  </r>
  <r>
    <n v="241"/>
    <s v="G10-46003"/>
    <x v="5"/>
    <x v="6"/>
    <s v="Hooter"/>
    <m/>
    <n v="1"/>
    <s v="Nos"/>
    <s v="Siemens"/>
    <n v="4314"/>
    <n v="4.3140000000000002E-4"/>
  </r>
  <r>
    <n v="242"/>
    <s v="G10-46003"/>
    <x v="5"/>
    <x v="0"/>
    <s v="G I Pipe"/>
    <s v="200 mm Dia, 5.1 mm Wall thick."/>
    <n v="520"/>
    <s v="Mtr"/>
    <s v="Jindal Star"/>
    <n v="2855"/>
    <n v="0.14846000000000001"/>
  </r>
  <r>
    <n v="243"/>
    <s v="G10-46003"/>
    <x v="5"/>
    <x v="6"/>
    <s v="Ceiling Fan"/>
    <s v="1200 mm 1 Star"/>
    <n v="120"/>
    <s v="Nos"/>
    <s v="Bajaj"/>
    <n v="1200"/>
    <n v="1.44E-2"/>
  </r>
  <r>
    <n v="244"/>
    <s v="G10-46009"/>
    <x v="6"/>
    <x v="6"/>
    <s v="600 x 600 x 3 mm Cu. plate "/>
    <m/>
    <n v="2"/>
    <s v="Nos"/>
    <s v="OBO"/>
    <n v="582"/>
    <n v="1.164E-4"/>
  </r>
  <r>
    <n v="245"/>
    <s v="G10-46009"/>
    <x v="6"/>
    <x v="6"/>
    <s v="Cabinet type exhaust fan(1500 CFM)"/>
    <m/>
    <n v="1"/>
    <s v="Nos"/>
    <s v="Kruger"/>
    <n v="18839"/>
    <n v="1.8839E-3"/>
  </r>
  <r>
    <n v="246"/>
    <s v="G10-46009"/>
    <x v="6"/>
    <x v="6"/>
    <s v="Y strainer 200 mm dia"/>
    <m/>
    <n v="2"/>
    <s v="Nos"/>
    <s v="SANT"/>
    <n v="32010"/>
    <n v="6.4019999999999997E-3"/>
  </r>
  <r>
    <n v="247"/>
    <s v="G10-46009"/>
    <x v="6"/>
    <x v="6"/>
    <s v="Y strainer 100 mm dia"/>
    <m/>
    <n v="2"/>
    <s v="Nos"/>
    <s v="SANT"/>
    <n v="6296"/>
    <n v="1.2592E-3"/>
  </r>
  <r>
    <n v="248"/>
    <s v="G10-46009"/>
    <x v="6"/>
    <x v="9"/>
    <s v="Butter fly valve 300 mm dia"/>
    <m/>
    <n v="2"/>
    <s v="Nos"/>
    <s v="Advance "/>
    <n v="16874"/>
    <n v="3.3747999999999998E-3"/>
  </r>
  <r>
    <n v="249"/>
    <s v="G10-46009"/>
    <x v="6"/>
    <x v="9"/>
    <s v="Butter fly valve 250 mm dia"/>
    <m/>
    <n v="3"/>
    <s v="Nos"/>
    <s v="Advance "/>
    <n v="12235"/>
    <n v="3.6705000000000002E-3"/>
  </r>
  <r>
    <n v="250"/>
    <s v="G10-46009"/>
    <x v="6"/>
    <x v="9"/>
    <s v="Butter fly valve 125 mm dia"/>
    <m/>
    <n v="3"/>
    <s v="Nos"/>
    <s v="Advance "/>
    <n v="3456"/>
    <n v="1.0368E-3"/>
  </r>
  <r>
    <n v="251"/>
    <s v="G10-46009"/>
    <x v="6"/>
    <x v="9"/>
    <s v="Butter fly valve 100 mm dia"/>
    <m/>
    <n v="2"/>
    <s v="Nos"/>
    <s v="Advance "/>
    <n v="2865"/>
    <n v="5.7300000000000005E-4"/>
  </r>
  <r>
    <n v="252"/>
    <s v="G10-46009"/>
    <x v="6"/>
    <x v="9"/>
    <s v="Butter fly valve 100 mm dia"/>
    <m/>
    <n v="7"/>
    <s v="Nos"/>
    <s v="AUDCO"/>
    <n v="2650"/>
    <n v="1.8550000000000001E-3"/>
  </r>
  <r>
    <n v="253"/>
    <s v="G10-46009"/>
    <x v="6"/>
    <x v="6"/>
    <s v="Water meter (Brass type) 25mm dia"/>
    <m/>
    <n v="2"/>
    <s v="Nos"/>
    <s v="Kranti"/>
    <n v="4200"/>
    <n v="8.4000000000000003E-4"/>
  </r>
  <r>
    <n v="254"/>
    <s v="G10-46012"/>
    <x v="7"/>
    <x v="6"/>
    <s v="6 ''   FLOW SWITCH"/>
    <m/>
    <n v="7"/>
    <s v="Nos"/>
    <s v="System Sensor"/>
    <n v="4070"/>
    <n v="2.849E-3"/>
  </r>
  <r>
    <n v="255"/>
    <s v="G10-46012"/>
    <x v="7"/>
    <x v="6"/>
    <s v="ORIFACE  PLATE"/>
    <m/>
    <n v="3"/>
    <s v="Nos"/>
    <m/>
    <n v="949.96"/>
    <n v="2.8498800000000002E-4"/>
  </r>
  <r>
    <n v="256"/>
    <s v="G10-46012"/>
    <x v="7"/>
    <x v="6"/>
    <s v="FLEXIBLE SPRINCKLER CONNECTION 1000 MM"/>
    <m/>
    <n v="65"/>
    <s v="Nos"/>
    <s v="NewAge"/>
    <n v="810"/>
    <n v="5.2649999999999997E-3"/>
  </r>
  <r>
    <n v="257"/>
    <s v="G10-46012"/>
    <x v="7"/>
    <x v="6"/>
    <s v="UPRIGHT SPRINCKLER"/>
    <m/>
    <n v="60"/>
    <s v="Nos"/>
    <s v="NewAge"/>
    <n v="150"/>
    <n v="8.9999999999999998E-4"/>
  </r>
  <r>
    <n v="258"/>
    <s v="G10-46012"/>
    <x v="7"/>
    <x v="6"/>
    <s v="PENDANT SPRINCKLER"/>
    <m/>
    <n v="23"/>
    <s v="Nos"/>
    <s v="NewAge"/>
    <n v="150"/>
    <n v="3.4499999999999998E-4"/>
  </r>
  <r>
    <n v="259"/>
    <s v="G10-46012"/>
    <x v="7"/>
    <x v="6"/>
    <s v="SIDE WALL SPRINCKLER"/>
    <m/>
    <n v="27"/>
    <s v="Nos"/>
    <s v="NewAge"/>
    <n v="160"/>
    <n v="4.3199999999999998E-4"/>
  </r>
  <r>
    <n v="260"/>
    <s v="G10-46012"/>
    <x v="7"/>
    <x v="9"/>
    <s v="DUAL PLATE CHECK VALVE  65 MM"/>
    <m/>
    <n v="1"/>
    <s v="Nos"/>
    <s v="LEHRY"/>
    <n v="3372.35"/>
    <n v="3.3723499999999997E-4"/>
  </r>
  <r>
    <n v="261"/>
    <s v="G10-46012"/>
    <x v="7"/>
    <x v="9"/>
    <s v="DUAL PLATE CHECK VALVE  50 MM"/>
    <m/>
    <n v="2"/>
    <s v="Nos"/>
    <s v="LEHRY"/>
    <n v="1462.06"/>
    <n v="2.9241199999999998E-4"/>
  </r>
  <r>
    <n v="262"/>
    <s v="G10-46012"/>
    <x v="7"/>
    <x v="6"/>
    <s v="CI  COUPLING 100 MM"/>
    <m/>
    <n v="12"/>
    <s v="Nos"/>
    <s v="Neco"/>
    <n v="313.45999999999998"/>
    <n v="3.7615199999999993E-4"/>
  </r>
  <r>
    <n v="263"/>
    <s v="G10-46012"/>
    <x v="7"/>
    <x v="6"/>
    <s v="CI  COUPLING   75 MM"/>
    <m/>
    <n v="40"/>
    <s v="Nos"/>
    <s v="Neco"/>
    <n v="321.89999999999998"/>
    <n v="1.2876000000000001E-3"/>
  </r>
  <r>
    <n v="264"/>
    <s v="G10-46012"/>
    <x v="7"/>
    <x v="0"/>
    <s v="CPVC PIPE  3''  SCH40  80   MM"/>
    <m/>
    <n v="135"/>
    <s v="Mtr"/>
    <s v="TRUFLO"/>
    <n v="775.33"/>
    <n v="1.0466955E-2"/>
  </r>
  <r>
    <n v="265"/>
    <s v="G10-46012"/>
    <x v="7"/>
    <x v="0"/>
    <s v="CPVC PIPE  2''  11SDR  50   MM"/>
    <m/>
    <n v="402"/>
    <s v="Mtr"/>
    <s v="TRUFLO"/>
    <n v="330.98"/>
    <n v="1.3305396000000002E-2"/>
  </r>
  <r>
    <n v="266"/>
    <s v="G10-46012"/>
    <x v="7"/>
    <x v="6"/>
    <s v="1''  FTA"/>
    <m/>
    <n v="4"/>
    <s v="Nos"/>
    <s v="TRUFLO"/>
    <n v="198.77"/>
    <n v="7.9507999999999998E-5"/>
  </r>
  <r>
    <n v="267"/>
    <s v="G10-46012"/>
    <x v="7"/>
    <x v="3"/>
    <s v="CPVC  4 ''  ELBOW "/>
    <m/>
    <n v="2"/>
    <s v="Nos"/>
    <s v="TRUFLO"/>
    <n v="1595.78"/>
    <n v="3.1915600000000002E-4"/>
  </r>
  <r>
    <n v="268"/>
    <s v="G10-46012"/>
    <x v="7"/>
    <x v="11"/>
    <s v="CPVC  4''  FLANGE"/>
    <m/>
    <n v="1"/>
    <s v="Nos"/>
    <s v="TRUFLO"/>
    <n v="1059.3800000000001"/>
    <n v="1.0593800000000001E-4"/>
  </r>
  <r>
    <n v="269"/>
    <s v="G10-46012"/>
    <x v="7"/>
    <x v="9"/>
    <s v="80 MM  BUTTERFLY VALVE"/>
    <m/>
    <n v="1"/>
    <s v="Nos"/>
    <s v="L&amp;T"/>
    <n v="2043"/>
    <n v="2.0430000000000001E-4"/>
  </r>
  <r>
    <n v="270"/>
    <s v="G10-46012"/>
    <x v="7"/>
    <x v="6"/>
    <s v="6W    TPN DB"/>
    <m/>
    <n v="3"/>
    <s v="Nos"/>
    <s v="VGUARD"/>
    <n v="3561.02"/>
    <n v="1.068306E-3"/>
  </r>
  <r>
    <n v="271"/>
    <s v="G10-46012"/>
    <x v="7"/>
    <x v="6"/>
    <s v="8W    TPN DB"/>
    <m/>
    <n v="1"/>
    <s v="Nos"/>
    <s v="VGUARD"/>
    <n v="3877.12"/>
    <n v="3.8771199999999996E-4"/>
  </r>
  <r>
    <n v="272"/>
    <s v="G10-46012"/>
    <x v="7"/>
    <x v="6"/>
    <s v="25A  DP MCB"/>
    <m/>
    <n v="12"/>
    <s v="Nos"/>
    <s v="VGUARD"/>
    <n v="612.26"/>
    <n v="7.34712E-4"/>
  </r>
  <r>
    <n v="273"/>
    <s v="G10-46012"/>
    <x v="7"/>
    <x v="6"/>
    <s v="40A  30MA  2P  RCCB"/>
    <m/>
    <n v="3"/>
    <s v="Nos"/>
    <s v="VGUARD"/>
    <n v="1136.32"/>
    <n v="3.4089599999999998E-4"/>
  </r>
  <r>
    <n v="274"/>
    <s v="G10-46012"/>
    <x v="7"/>
    <x v="6"/>
    <s v="63A  100MA  4P  RCCB"/>
    <m/>
    <n v="4"/>
    <s v="Nos"/>
    <s v="VGUARD"/>
    <n v="3033"/>
    <n v="1.2132E-3"/>
  </r>
  <r>
    <n v="275"/>
    <s v="G10-46012"/>
    <x v="7"/>
    <x v="6"/>
    <s v="external weather proof box     300 x 300"/>
    <m/>
    <n v="2"/>
    <s v="Nos"/>
    <m/>
    <n v="4225.8999999999996"/>
    <n v="8.4517999999999995E-4"/>
  </r>
  <r>
    <n v="276"/>
    <s v="G10-46012"/>
    <x v="7"/>
    <x v="6"/>
    <s v="external weather proof box     150 x 300"/>
    <m/>
    <n v="1"/>
    <s v="Nos"/>
    <m/>
    <n v="4225.8999999999996"/>
    <n v="4.2258999999999998E-4"/>
  </r>
  <r>
    <n v="277"/>
    <s v="G10-46012"/>
    <x v="7"/>
    <x v="6"/>
    <s v="8M   COVER PLATE"/>
    <m/>
    <n v="180"/>
    <s v="Nos"/>
    <s v="VGUARD"/>
    <n v="122"/>
    <n v="2.196E-3"/>
  </r>
  <r>
    <n v="278"/>
    <s v="G10-46012"/>
    <x v="7"/>
    <x v="6"/>
    <s v="6M   COVER PLATE"/>
    <m/>
    <n v="33"/>
    <s v="Nos"/>
    <s v="VGUARD"/>
    <n v="85"/>
    <n v="2.8049999999999999E-4"/>
  </r>
  <r>
    <n v="279"/>
    <s v="G10-46012"/>
    <x v="7"/>
    <x v="6"/>
    <s v="2M   COVER PLATE"/>
    <m/>
    <n v="10"/>
    <s v="Nos"/>
    <s v="VGUARD"/>
    <n v="50.15"/>
    <n v="5.0149999999999999E-5"/>
  </r>
  <r>
    <n v="280"/>
    <s v="G10-46012"/>
    <x v="7"/>
    <x v="6"/>
    <s v="1M   COVER PLATE"/>
    <m/>
    <n v="400"/>
    <s v="Nos"/>
    <s v="VGUARD"/>
    <n v="50.15"/>
    <n v="2.006E-3"/>
  </r>
  <r>
    <n v="281"/>
    <s v="G10-46012"/>
    <x v="7"/>
    <x v="6"/>
    <s v="6/16A  SHUTTER TYPE SOCKET"/>
    <m/>
    <n v="240"/>
    <s v="Nos"/>
    <s v="VGUARD"/>
    <n v="138"/>
    <n v="3.3119999999999998E-3"/>
  </r>
  <r>
    <n v="282"/>
    <s v="G10-46012"/>
    <x v="7"/>
    <x v="6"/>
    <s v="6A  3 PIN SOCKET"/>
    <m/>
    <n v="70"/>
    <s v="Nos"/>
    <s v="VGUARD"/>
    <n v="77"/>
    <n v="5.3899999999999998E-4"/>
  </r>
  <r>
    <n v="283"/>
    <s v="G10-46012"/>
    <x v="7"/>
    <x v="6"/>
    <s v="10A  1 WAY  SWITCH"/>
    <m/>
    <n v="55"/>
    <s v="Nos"/>
    <s v="VGUARD"/>
    <n v="47"/>
    <n v="2.5849999999999999E-4"/>
  </r>
  <r>
    <n v="284"/>
    <s v="G10-46012"/>
    <x v="7"/>
    <x v="6"/>
    <s v="8M   METAL   BOX"/>
    <m/>
    <n v="25"/>
    <s v="Nos"/>
    <s v="VGUARD"/>
    <n v="85"/>
    <n v="2.1249999999999999E-4"/>
  </r>
  <r>
    <n v="285"/>
    <s v="G10-46012"/>
    <x v="7"/>
    <x v="6"/>
    <s v="6M   METAL   BOX"/>
    <m/>
    <n v="66"/>
    <s v="Nos"/>
    <s v="VGUARD"/>
    <n v="66"/>
    <n v="4.3560000000000002E-4"/>
  </r>
  <r>
    <n v="286"/>
    <s v="G10-46012"/>
    <x v="7"/>
    <x v="6"/>
    <s v="4M   METAL   BOX"/>
    <m/>
    <n v="30"/>
    <s v="Nos"/>
    <s v="VGUARD"/>
    <n v="52"/>
    <n v="1.56E-4"/>
  </r>
  <r>
    <n v="287"/>
    <s v="G10-46012"/>
    <x v="7"/>
    <x v="6"/>
    <s v="3M   METAL BOX"/>
    <m/>
    <n v="210"/>
    <s v="Nos"/>
    <s v="VGUARD"/>
    <n v="42"/>
    <n v="8.8199999999999997E-4"/>
  </r>
  <r>
    <n v="288"/>
    <s v="G10-46012"/>
    <x v="7"/>
    <x v="6"/>
    <s v="3M   METAL BOX"/>
    <m/>
    <n v="88"/>
    <s v="Nos"/>
    <s v="SCHNEIDER"/>
    <n v="42"/>
    <n v="3.6959999999999998E-4"/>
  </r>
  <r>
    <n v="289"/>
    <s v="G10-46012"/>
    <x v="7"/>
    <x v="6"/>
    <s v="A9HKS316 -  16A  3P  ACT  9  P&amp;S  PROVISION"/>
    <m/>
    <n v="1"/>
    <s v="Nos"/>
    <s v="SCHNEIDER"/>
    <n v="847.11"/>
    <n v="8.4710999999999996E-5"/>
  </r>
  <r>
    <n v="290"/>
    <s v="G10-46012"/>
    <x v="7"/>
    <x v="6"/>
    <s v="PKF16F423 - PANEL SOCKET 16/2"/>
    <m/>
    <n v="1"/>
    <s v="Nos"/>
    <s v="SCHNEIDER"/>
    <n v="351.19"/>
    <n v="3.5119E-5"/>
  </r>
  <r>
    <n v="291"/>
    <s v="G10-46012"/>
    <x v="7"/>
    <x v="6"/>
    <s v="A9HKS332 -  32A  3P  ACT  9  P&amp;S  PROVISION"/>
    <m/>
    <n v="3"/>
    <s v="Nos"/>
    <s v="SCHNEIDER"/>
    <n v="1449.77"/>
    <n v="4.3493099999999995E-4"/>
  </r>
  <r>
    <n v="292"/>
    <s v="G10-46012"/>
    <x v="7"/>
    <x v="6"/>
    <s v="A9KF71232 - MCB 2P 32A"/>
    <m/>
    <n v="3"/>
    <s v="Nos"/>
    <s v="SCHNEIDER"/>
    <n v="357.03"/>
    <n v="1.0710899999999999E-4"/>
  </r>
  <r>
    <n v="293"/>
    <s v="G10-46012"/>
    <x v="7"/>
    <x v="6"/>
    <s v="PKF32F434  PANEL SOCKET  ANGLED"/>
    <m/>
    <n v="3"/>
    <s v="Nos"/>
    <s v="SCHNEIDER"/>
    <n v="655.69"/>
    <n v="1.9670700000000001E-4"/>
  </r>
  <r>
    <n v="294"/>
    <s v="G10-46012"/>
    <x v="7"/>
    <x v="6"/>
    <s v="PKF32F434  PANEL SOCKET  ANGLED"/>
    <m/>
    <n v="2"/>
    <s v="Nos"/>
    <s v="SCHNEIDER"/>
    <n v="655.69"/>
    <n v="1.3113800000000002E-4"/>
  </r>
  <r>
    <n v="295"/>
    <s v="G10-46012"/>
    <x v="7"/>
    <x v="6"/>
    <s v="A9HKS332 -  32A  3P  ACT  9  P&amp;S  PROVISION"/>
    <m/>
    <n v="2"/>
    <s v="Nos"/>
    <s v="SCHNEIDER"/>
    <n v="1449.77"/>
    <n v="2.8995399999999998E-4"/>
  </r>
  <r>
    <n v="296"/>
    <s v="G10-46012"/>
    <x v="7"/>
    <x v="6"/>
    <s v="25A  2P  MCB"/>
    <m/>
    <n v="2"/>
    <s v="Nos"/>
    <s v="SCHNEIDER"/>
    <n v="357.03"/>
    <n v="7.1406E-5"/>
  </r>
  <r>
    <n v="297"/>
    <s v="G10-46012"/>
    <x v="7"/>
    <x v="6"/>
    <s v="A9HKS332 -  32A  3P  ACT  9  P&amp;S  PROVISION"/>
    <m/>
    <n v="3"/>
    <s v="Nos"/>
    <s v="SCHNEIDER"/>
    <n v="1449.77"/>
    <n v="4.3493099999999995E-4"/>
  </r>
  <r>
    <n v="298"/>
    <s v="G10-46012"/>
    <x v="7"/>
    <x v="6"/>
    <s v="     - 32A 4P  MCB"/>
    <m/>
    <n v="3"/>
    <s v="Nos"/>
    <s v="SCHNEIDER"/>
    <n v="579.73"/>
    <n v="1.73919E-4"/>
  </r>
  <r>
    <n v="299"/>
    <s v="G10-46012"/>
    <x v="7"/>
    <x v="6"/>
    <s v="PKF32F434  PANEL SOCKET  ANGLED"/>
    <m/>
    <n v="3"/>
    <s v="Nos"/>
    <s v="SCHNEIDER"/>
    <n v="655.69"/>
    <n v="1.9670700000000001E-4"/>
  </r>
  <r>
    <n v="300"/>
    <s v="G10-46012"/>
    <x v="7"/>
    <x v="6"/>
    <s v="A9KF71440   MCB  4P  40 A"/>
    <m/>
    <n v="1"/>
    <s v="Nos"/>
    <s v="SCHNEIDER"/>
    <n v="1133.96"/>
    <n v="1.1339600000000001E-4"/>
  </r>
  <r>
    <n v="301"/>
    <s v="G10-46012"/>
    <x v="7"/>
    <x v="6"/>
    <s v="81283 - SOCLE  PRISE  ENC. INC  63A  3 PNT"/>
    <m/>
    <n v="1"/>
    <s v="Nos"/>
    <s v="SCHNEIDER"/>
    <n v="2767.64"/>
    <n v="2.7676399999999998E-4"/>
  </r>
  <r>
    <n v="302"/>
    <s v="G10-46012"/>
    <x v="7"/>
    <x v="6"/>
    <s v="A9HKS563  - 5P  63A  Acti  9 Provision"/>
    <m/>
    <n v="1"/>
    <s v="Nos"/>
    <s v="SCHNEIDER"/>
    <n v="3359.53"/>
    <n v="3.35953E-4"/>
  </r>
  <r>
    <n v="303"/>
    <s v="G10-46012"/>
    <x v="7"/>
    <x v="6"/>
    <s v="A9HKS563  - 5P  63A  Acti  9 Provision"/>
    <m/>
    <n v="7"/>
    <s v="Nos"/>
    <s v="SCHNEIDER"/>
    <n v="3359.53"/>
    <n v="2.3516710000000005E-3"/>
  </r>
  <r>
    <n v="304"/>
    <s v="G10-46012"/>
    <x v="7"/>
    <x v="6"/>
    <s v="A9HK71263  63 A  2P  MCB"/>
    <m/>
    <n v="6"/>
    <s v="Nos"/>
    <s v="SCHNEIDER"/>
    <n v="610.4"/>
    <n v="3.6623999999999999E-4"/>
  </r>
  <r>
    <n v="305"/>
    <s v="G10-46012"/>
    <x v="7"/>
    <x v="6"/>
    <s v="81278  SOCLE  PRISE ENC 63A  2PT"/>
    <m/>
    <n v="7"/>
    <s v="Nos"/>
    <s v="SCHNEIDER"/>
    <n v="2767.64"/>
    <n v="1.937348E-3"/>
  </r>
  <r>
    <n v="306"/>
    <s v="G10-46012"/>
    <x v="7"/>
    <x v="6"/>
    <s v="A9HKS563  - 5P  63A  Acti  9 Provision"/>
    <m/>
    <n v="5"/>
    <s v="Nos"/>
    <s v="SCHNEIDER"/>
    <n v="3359.53"/>
    <n v="1.6797650000000002E-3"/>
  </r>
  <r>
    <n v="307"/>
    <s v="G10-46012"/>
    <x v="7"/>
    <x v="6"/>
    <s v="81283  SOCLE PRISE  ENC 63A 3 PNT"/>
    <m/>
    <n v="5"/>
    <s v="Nos"/>
    <s v="SCHNEIDER"/>
    <n v="2767.64"/>
    <n v="1.3838199999999998E-3"/>
  </r>
  <r>
    <n v="308"/>
    <s v="G10-46012"/>
    <x v="7"/>
    <x v="6"/>
    <s v="13442  -  6 M   MINI  KAEDRA  "/>
    <m/>
    <n v="1"/>
    <s v="Nos"/>
    <s v="SCHNEIDER"/>
    <n v="2773.59"/>
    <n v="2.7735900000000003E-4"/>
  </r>
  <r>
    <n v="309"/>
    <s v="G10-46012"/>
    <x v="7"/>
    <x v="6"/>
    <s v="A9N18374  -  4P  100 A   415V   MCB"/>
    <m/>
    <n v="1"/>
    <s v="Nos"/>
    <s v="SCHNEIDER"/>
    <n v="9988.4500000000007"/>
    <n v="9.9884500000000016E-4"/>
  </r>
  <r>
    <n v="310"/>
    <s v="G10-46012"/>
    <x v="7"/>
    <x v="7"/>
    <s v="125A  INDUSTRIAL SOCKET"/>
    <m/>
    <n v="1"/>
    <s v="Nos"/>
    <s v="SCHNEIDER"/>
    <n v="13210.99"/>
    <n v="1.3210990000000001E-3"/>
  </r>
  <r>
    <n v="311"/>
    <s v="G10-46012"/>
    <x v="7"/>
    <x v="12"/>
    <s v="3.5C  X  70 SQ.MM  AL  AR. CABLE"/>
    <m/>
    <n v="184"/>
    <s v="Mtr"/>
    <s v="POLYCAB"/>
    <n v="295"/>
    <n v="5.4279999999999997E-3"/>
  </r>
  <r>
    <n v="312"/>
    <s v="G10-46012"/>
    <x v="7"/>
    <x v="12"/>
    <s v="3.5C  X  50 SQ.MM  AL  AR. CABLE"/>
    <m/>
    <n v="190"/>
    <s v="Mtr"/>
    <s v="POLYCAB"/>
    <n v="214"/>
    <n v="4.0660000000000002E-3"/>
  </r>
  <r>
    <n v="313"/>
    <s v="G10-46012"/>
    <x v="7"/>
    <x v="12"/>
    <s v="3C  X  16 SQ. MM CU AR. CABLE"/>
    <m/>
    <n v="573"/>
    <s v="Mtr"/>
    <s v="POLYCAB"/>
    <n v="443"/>
    <n v="2.5383900000000001E-2"/>
  </r>
  <r>
    <n v="314"/>
    <s v="G10-46012"/>
    <x v="7"/>
    <x v="12"/>
    <s v="3C  X 10 SQ. MM  CU  AR. CABLE"/>
    <m/>
    <n v="131"/>
    <s v="Mtr"/>
    <s v="POLYCAB"/>
    <n v="334.35"/>
    <n v="4.3799850000000003E-3"/>
  </r>
  <r>
    <n v="315"/>
    <s v="G10-46012"/>
    <x v="7"/>
    <x v="12"/>
    <s v="3.5C  X  185 SQ.MM  AL  AR. CABLE ( FRESH)"/>
    <m/>
    <n v="92"/>
    <s v="Mtr"/>
    <s v="POLYCAB"/>
    <n v="696"/>
    <n v="6.4032000000000004E-3"/>
  </r>
  <r>
    <n v="316"/>
    <s v="G10-46012"/>
    <x v="7"/>
    <x v="6"/>
    <s v="50X6 CU strip"/>
    <m/>
    <n v="50"/>
    <s v="Mtr"/>
    <m/>
    <n v="2257.92"/>
    <n v="1.12896E-2"/>
  </r>
  <r>
    <n v="317"/>
    <s v="G10-46012"/>
    <x v="7"/>
    <x v="6"/>
    <s v="50X10 Cu strip"/>
    <m/>
    <n v="60"/>
    <s v="Mtr"/>
    <m/>
    <n v="3763.19"/>
    <n v="2.2579140000000001E-2"/>
  </r>
  <r>
    <n v="318"/>
    <s v="G10-46010"/>
    <x v="8"/>
    <x v="6"/>
    <s v="FOAMCORE 160 mm dia"/>
    <s v="SN-04"/>
    <n v="48"/>
    <s v="Mtr"/>
    <s v="Supreme"/>
    <n v="366.81"/>
    <n v="1.7606880000000001E-3"/>
  </r>
  <r>
    <n v="319"/>
    <s v="G10-46010"/>
    <x v="8"/>
    <x v="6"/>
    <s v="FOAMCORE 200 mm dia"/>
    <s v="SN-04"/>
    <n v="24"/>
    <s v="Mtr"/>
    <s v="Supreme"/>
    <n v="694.12"/>
    <n v="1.6658880000000001E-3"/>
  </r>
  <r>
    <n v="320"/>
    <s v="G10-46010"/>
    <x v="8"/>
    <x v="0"/>
    <s v="110 mm UPVC Pipe"/>
    <s v="Type B"/>
    <n v="42"/>
    <s v="Mtr"/>
    <s v="Supreme"/>
    <n v="181.25"/>
    <n v="7.6124999999999999E-4"/>
  </r>
  <r>
    <n v="321"/>
    <s v="G10-46010"/>
    <x v="8"/>
    <x v="0"/>
    <s v="200 mm UPVC Pipe"/>
    <s v="6 KG/CM2"/>
    <n v="96"/>
    <s v="Mtr"/>
    <s v="Supreme"/>
    <n v="478.19"/>
    <n v="4.5906239999999997E-3"/>
  </r>
  <r>
    <n v="322"/>
    <s v="C10-46030"/>
    <x v="9"/>
    <x v="9"/>
    <s v="PIBCV WITH ACTUATOR, DIA 125"/>
    <m/>
    <n v="7"/>
    <s v="Nos"/>
    <s v="Danfoss"/>
    <n v="103000"/>
    <n v="7.2099999999999997E-2"/>
  </r>
  <r>
    <n v="323"/>
    <s v="G10-24005"/>
    <x v="10"/>
    <x v="0"/>
    <s v="MS ERW PIPE IS:3589 - 200NB X HEAVY-Class C"/>
    <s v="MS Pipe"/>
    <n v="60"/>
    <s v="Rmt"/>
    <s v="Jindal"/>
    <n v="2044"/>
    <n v="1.2264000000000001E-2"/>
  </r>
  <r>
    <n v="324"/>
    <s v="G10-24005"/>
    <x v="10"/>
    <x v="0"/>
    <s v="MS ERW PIPE IS:1239 - 25NB X HEAVY-Class C"/>
    <s v="MS Pipe"/>
    <n v="1002"/>
    <s v="Rmt"/>
    <s v="Jindal"/>
    <n v="176"/>
    <n v="1.76352E-2"/>
  </r>
  <r>
    <n v="325"/>
    <s v="G10-24005"/>
    <x v="10"/>
    <x v="6"/>
    <s v="GI Sloted channel 41 mm x 21mm x 2.5 mm"/>
    <s v="GI"/>
    <n v="2000"/>
    <s v="Rmt"/>
    <s v="Fluid Valve Co "/>
    <n v="355"/>
    <n v="7.0999999999999994E-2"/>
  </r>
  <r>
    <n v="326"/>
    <s v="G10-24005"/>
    <x v="10"/>
    <x v="6"/>
    <s v="Motorized Fire Damper with out actuator &amp; control panel(1000mm x 1300 mm)"/>
    <s v="GI"/>
    <n v="13"/>
    <s v="Sqmtr"/>
    <s v="Tristar"/>
    <n v="6950"/>
    <n v="9.0349999999999996E-3"/>
  </r>
  <r>
    <n v="327"/>
    <s v="G10-24005"/>
    <x v="10"/>
    <x v="12"/>
    <s v="3.5C X 300 Sqmm XLPE LT Cable "/>
    <s v="Al"/>
    <n v="16"/>
    <s v="Rmt"/>
    <s v="Polycab"/>
    <n v="1054"/>
    <n v="1.6864E-3"/>
  </r>
  <r>
    <n v="328"/>
    <s v="G10-24005"/>
    <x v="10"/>
    <x v="12"/>
    <s v="3.5C X 240 Sqmm FS LT cable"/>
    <s v="Al"/>
    <n v="135"/>
    <s v="Rmt"/>
    <s v="KEI"/>
    <n v="1112.8"/>
    <n v="1.5022799999999999E-2"/>
  </r>
  <r>
    <n v="329"/>
    <s v="G10-24005"/>
    <x v="10"/>
    <x v="12"/>
    <s v="3.5C X 400 Sqmm FS LT cable"/>
    <s v="Al"/>
    <n v="72"/>
    <s v="Rmt"/>
    <s v="KEI"/>
    <n v="1730.25"/>
    <n v="1.24578E-2"/>
  </r>
  <r>
    <n v="330"/>
    <s v="G10-24005"/>
    <x v="10"/>
    <x v="12"/>
    <s v="3.5C X 400 Sqmm FS LT cable"/>
    <s v="Al"/>
    <n v="37"/>
    <s v="Rmt"/>
    <s v="KEI"/>
    <n v="1730.25"/>
    <n v="6.4019250000000002E-3"/>
  </r>
  <r>
    <n v="331"/>
    <s v="G10-30013"/>
    <x v="11"/>
    <x v="0"/>
    <s v="150 mm dia MS pipe"/>
    <s v="150mm"/>
    <n v="600"/>
    <s v="M"/>
    <s v="Jindal Hissar"/>
    <n v="1064"/>
    <n v="6.3839999999999994E-2"/>
  </r>
  <r>
    <n v="332"/>
    <s v="G10-30013"/>
    <x v="11"/>
    <x v="0"/>
    <s v="`"/>
    <s v="40mm"/>
    <n v="800"/>
    <s v="M"/>
    <s v="Jindal Hissar"/>
    <n v="222.48"/>
    <n v="1.7798399999999999E-2"/>
  </r>
  <r>
    <n v="333"/>
    <s v="G10-30013"/>
    <x v="11"/>
    <x v="0"/>
    <s v="32 mm GI pipe"/>
    <s v="32mm"/>
    <n v="200"/>
    <s v="M"/>
    <s v="Jindal Hissar"/>
    <n v="254.34"/>
    <n v="5.0867999999999998E-3"/>
  </r>
  <r>
    <n v="334"/>
    <s v="G10-30013"/>
    <x v="11"/>
    <x v="0"/>
    <s v="25mm uPVC pipe"/>
    <s v="25mm"/>
    <n v="900"/>
    <s v="M"/>
    <s v="Prince"/>
    <n v="80.98"/>
    <n v="7.2881999999999999E-3"/>
  </r>
  <r>
    <n v="335"/>
    <s v="G10-30013"/>
    <x v="11"/>
    <x v="6"/>
    <s v="Duct Acostic 10mm"/>
    <s v="10mm"/>
    <n v="2000"/>
    <s v="Sqmtr"/>
    <s v="ALP"/>
    <n v="345"/>
    <n v="6.9000000000000006E-2"/>
  </r>
  <r>
    <n v="336"/>
    <s v="G10-30013"/>
    <x v="11"/>
    <x v="12"/>
    <s v="3.5CX120 Sqmm  Al Arm."/>
    <s v="3.5CX120sqmm"/>
    <n v="120"/>
    <s v="M"/>
    <s v="KEI Cables"/>
    <n v="455.09"/>
    <n v="5.4610799999999992E-3"/>
  </r>
  <r>
    <n v="337"/>
    <s v="G10-30013"/>
    <x v="11"/>
    <x v="12"/>
    <s v="3.5CX70 Sqmm FS Al Arm."/>
    <s v="3.5CX70sqmm"/>
    <n v="95"/>
    <s v="M"/>
    <s v="KEI Cables"/>
    <n v="546.25"/>
    <n v="5.1893750000000004E-3"/>
  </r>
  <r>
    <n v="338"/>
    <s v="G10-30013"/>
    <x v="11"/>
    <x v="12"/>
    <s v="3.5CX50 Sqmm FS Al. Arm"/>
    <s v="3.5CX50sqmm"/>
    <n v="445"/>
    <s v="M"/>
    <s v="KEI Cables"/>
    <n v="411.01"/>
    <n v="1.8289944999999998E-2"/>
  </r>
  <r>
    <n v="339"/>
    <s v="G10-30013"/>
    <x v="11"/>
    <x v="12"/>
    <s v="3.5CX240 Sqmm  Al Arm."/>
    <s v="3.5CX240sqmm"/>
    <n v="105"/>
    <s v="M"/>
    <s v="KEI Cables"/>
    <n v="985.32"/>
    <n v="1.034586E-2"/>
  </r>
  <r>
    <n v="340"/>
    <s v="G10-30013"/>
    <x v="11"/>
    <x v="12"/>
    <s v="3.5CX240 Sqmm FS Al Arm."/>
    <s v="3.5CX240sqmm"/>
    <n v="74"/>
    <s v="M"/>
    <s v="KEI Cables"/>
    <n v="1367.48"/>
    <n v="1.0119352E-2"/>
  </r>
  <r>
    <n v="341"/>
    <s v="G10-30013"/>
    <x v="11"/>
    <x v="6"/>
    <s v="Y Strainer 100mm"/>
    <s v="100mm"/>
    <n v="3"/>
    <s v="EA"/>
    <s v="Zoloto"/>
    <n v="6794.55"/>
    <n v="2.0383650000000003E-3"/>
  </r>
  <r>
    <n v="342"/>
    <s v="G10-30013"/>
    <x v="11"/>
    <x v="6"/>
    <s v="Y Strainer 200mm"/>
    <s v="200mm"/>
    <n v="1"/>
    <s v="EA"/>
    <s v="Zoloto"/>
    <n v="24606.75"/>
    <n v="2.4606749999999998E-3"/>
  </r>
  <r>
    <n v="343"/>
    <s v="G28-44006"/>
    <x v="12"/>
    <x v="12"/>
    <s v="1C X 300 Sqmm Cu YY"/>
    <s v="Cu. Flexyble "/>
    <n v="842"/>
    <s v="M"/>
    <s v="KEI"/>
    <n v="2580"/>
    <n v="0.21723600000000001"/>
  </r>
  <r>
    <n v="344"/>
    <s v="G28-44006"/>
    <x v="12"/>
    <x v="12"/>
    <s v="1C X 240 Sqmm Cu YY Black"/>
    <s v="Cu. Flexyble "/>
    <n v="425"/>
    <s v="M"/>
    <s v="KEI"/>
    <n v="1979.66"/>
    <n v="8.4135550000000003E-2"/>
  </r>
  <r>
    <n v="345"/>
    <s v="G28-44006"/>
    <x v="12"/>
    <x v="12"/>
    <s v="4C X 4 Sqmm Cu Armd"/>
    <s v="Cu.Armoured"/>
    <n v="90"/>
    <s v="M"/>
    <s v="KEI"/>
    <n v="151"/>
    <n v="1.359E-3"/>
  </r>
  <r>
    <n v="346"/>
    <s v="G28-44006"/>
    <x v="12"/>
    <x v="12"/>
    <s v="5C X 6 Sqmm Cu Flexible"/>
    <s v="Cu. Flexyble "/>
    <n v="360"/>
    <s v="M"/>
    <s v="KEI"/>
    <n v="267.45"/>
    <n v="9.6282E-3"/>
  </r>
  <r>
    <n v="347"/>
    <s v="G28-44006"/>
    <x v="12"/>
    <x v="12"/>
    <s v="3C X 6 Sqmm Cu Flexible"/>
    <s v="Cu. Flexyble "/>
    <n v="1823"/>
    <s v="M"/>
    <s v="KEI"/>
    <n v="162.09"/>
    <n v="2.9549007000000002E-2"/>
  </r>
  <r>
    <n v="348"/>
    <s v="G28-44006"/>
    <x v="12"/>
    <x v="12"/>
    <s v="1C X 240 Sqmm Al Un- Armd"/>
    <s v="Al. Un-Armd"/>
    <n v="364"/>
    <s v="M"/>
    <s v="KEI"/>
    <n v="235"/>
    <n v="8.5540000000000008E-3"/>
  </r>
  <r>
    <n v="349"/>
    <s v="G28-44006"/>
    <x v="12"/>
    <x v="12"/>
    <s v="3.5C X 95 Sqmm Al Armd"/>
    <s v="Al-Armd"/>
    <n v="183"/>
    <s v="M"/>
    <s v="KEI"/>
    <n v="351"/>
    <n v="6.4232999999999998E-3"/>
  </r>
  <r>
    <n v="350"/>
    <s v="G28-44006"/>
    <x v="12"/>
    <x v="12"/>
    <s v="3.5C X 120 Sqmm Al Armd"/>
    <s v="Al-Armd"/>
    <n v="132"/>
    <s v="M"/>
    <s v="KEI"/>
    <n v="435"/>
    <n v="5.7419999999999997E-3"/>
  </r>
  <r>
    <n v="351"/>
    <s v="G28-44006"/>
    <x v="12"/>
    <x v="12"/>
    <s v="4C X 25 Sqmm Al Armd"/>
    <s v="Al-Armd"/>
    <n v="59"/>
    <s v="M"/>
    <s v="KEI"/>
    <n v="150"/>
    <n v="8.8500000000000004E-4"/>
  </r>
  <r>
    <n v="352"/>
    <s v="G28-44006"/>
    <x v="12"/>
    <x v="12"/>
    <s v="3.5C X 240 Sqmm Al Armd"/>
    <s v="Al-Armd"/>
    <n v="150"/>
    <s v="M"/>
    <s v="KEI"/>
    <n v="831"/>
    <n v="1.2465E-2"/>
  </r>
  <r>
    <n v="353"/>
    <s v="G28-44006"/>
    <x v="12"/>
    <x v="12"/>
    <s v="3C X 300 Sqmm Al UE HT Cable "/>
    <s v="11KV, Al.UE cable"/>
    <n v="27"/>
    <s v="M"/>
    <s v="Polycab"/>
    <n v="1692"/>
    <n v="4.5684000000000002E-3"/>
  </r>
  <r>
    <n v="354"/>
    <s v="G28-44006"/>
    <x v="12"/>
    <x v="12"/>
    <s v="1C X 4 Sqmm Cu Black"/>
    <s v="Cu. Flexyble "/>
    <n v="164"/>
    <s v="M"/>
    <s v="KEI"/>
    <n v="31.27"/>
    <n v="5.12828E-4"/>
  </r>
  <r>
    <n v="355"/>
    <s v="G28-44006"/>
    <x v="12"/>
    <x v="12"/>
    <s v="1C X 185 Sqmm Al.un-Armd"/>
    <s v="Al.un-Armd"/>
    <n v="428"/>
    <s v="M"/>
    <s v="KEI"/>
    <n v="1495.13"/>
    <n v="6.3991564000000001E-2"/>
  </r>
  <r>
    <n v="356"/>
    <s v="G28-44006"/>
    <x v="12"/>
    <x v="12"/>
    <s v="1C X 630 Sqmm Al E HT Cable "/>
    <s v="11KV, Al.E cable"/>
    <n v="23"/>
    <s v="M"/>
    <s v="KEI"/>
    <n v="818"/>
    <n v="1.8814000000000001E-3"/>
  </r>
  <r>
    <n v="357"/>
    <s v="G28-44006"/>
    <x v="12"/>
    <x v="12"/>
    <s v="3.5C X 35 Sqmm Cu Armd"/>
    <s v="Cu.Armoured"/>
    <n v="178"/>
    <s v="M"/>
    <s v="KEI"/>
    <n v="1058"/>
    <n v="1.8832399999999999E-2"/>
  </r>
  <r>
    <n v="358"/>
    <s v="G28-44006"/>
    <x v="12"/>
    <x v="13"/>
    <s v="1000*100 GI Lader Type"/>
    <s v="2mm, GI Ladder Tray"/>
    <n v="240"/>
    <s v="M"/>
    <s v="Niedax"/>
    <n v="641"/>
    <n v="1.5384E-2"/>
  </r>
  <r>
    <n v="359"/>
    <s v="G28-44006"/>
    <x v="12"/>
    <x v="13"/>
    <s v="900*100mm GI Perf Tray"/>
    <s v="2mm, GI Perforated Tray"/>
    <n v="450"/>
    <s v="M"/>
    <s v="Electrofab"/>
    <n v="1625"/>
    <n v="7.3124999999999996E-2"/>
  </r>
  <r>
    <n v="360"/>
    <s v="G28-44006"/>
    <x v="12"/>
    <x v="13"/>
    <s v="600*100mm GI Perf Tray"/>
    <s v="2mm, GI Perforated Tray"/>
    <n v="400"/>
    <s v="M"/>
    <s v="Niedax"/>
    <n v="1103"/>
    <n v="4.4119999999999999E-2"/>
  </r>
  <r>
    <n v="361"/>
    <s v="G28-28003"/>
    <x v="13"/>
    <x v="0"/>
    <s v="MS ERW PIPE IS:1239 - 25NB X HEAVY (6.35MM)"/>
    <s v="MS ERW"/>
    <n v="360"/>
    <s v="Mtr"/>
    <s v="JINDAL"/>
    <n v="169"/>
    <n v="6.084E-3"/>
  </r>
  <r>
    <n v="362"/>
    <s v="G28-28003"/>
    <x v="13"/>
    <x v="0"/>
    <s v="MS ERW PIPE IS:1239 - 32NB X HEAVY (6.35MM)"/>
    <s v="MS ERW"/>
    <n v="72"/>
    <s v="Mtr"/>
    <s v="JINDAL"/>
    <n v="202.6"/>
    <n v="1.4587199999999999E-3"/>
  </r>
  <r>
    <n v="363"/>
    <s v="G28-28003"/>
    <x v="13"/>
    <x v="0"/>
    <s v="MS ERW PIPE IS:1239 - 40NB X HEAVY (6.35MM)"/>
    <s v="MS ERW"/>
    <n v="72"/>
    <s v="Mtr"/>
    <s v="JINDAL"/>
    <n v="253"/>
    <n v="1.8216E-3"/>
  </r>
  <r>
    <n v="364"/>
    <s v="G28-28003"/>
    <x v="13"/>
    <x v="0"/>
    <s v="MS ERW PIPE IS:3589 - 250NB X HEAVY (8MM)"/>
    <s v="MS ERW"/>
    <n v="180.5"/>
    <s v="Mtr"/>
    <s v="JINDAL"/>
    <n v="3152"/>
    <n v="5.6893600000000003E-2"/>
  </r>
  <r>
    <n v="365"/>
    <s v="G28-28003"/>
    <x v="13"/>
    <x v="0"/>
    <s v="MS ERW PIPE IS:3589 - 300NB X HEAVY (8MM)"/>
    <s v="MS ERW"/>
    <n v="6"/>
    <s v="Mtr"/>
    <s v="JINDAL"/>
    <n v="3560"/>
    <n v="2.1359999999999999E-3"/>
  </r>
  <r>
    <n v="366"/>
    <s v="G28-28003"/>
    <x v="13"/>
    <x v="0"/>
    <s v="MS ERW PIPE IS:3589 - 350NB X HEAVY (8MM)"/>
    <s v="MS ERW"/>
    <n v="2"/>
    <s v="Mtr"/>
    <s v="JINDAL"/>
    <n v="3929"/>
    <n v="7.8580000000000002E-4"/>
  </r>
  <r>
    <n v="367"/>
    <s v="G28-28003"/>
    <x v="13"/>
    <x v="0"/>
    <s v="MS ERW PIPE IS:3589 - 400NB X HEAVY (8MM)"/>
    <s v="MS ERW"/>
    <n v="17.600000000000001"/>
    <s v="Mtr"/>
    <s v="JINDAL"/>
    <n v="4400"/>
    <n v="7.744E-3"/>
  </r>
  <r>
    <n v="368"/>
    <s v="G28-28003"/>
    <x v="13"/>
    <x v="6"/>
    <s v="150 x 75mm (EPS PIPE SECTION )"/>
    <m/>
    <n v="140"/>
    <s v="Rmt"/>
    <s v="STYRENE PACKINGS"/>
    <n v="583.53"/>
    <n v="8.1694200000000002E-3"/>
  </r>
  <r>
    <n v="369"/>
    <s v="G28-28003"/>
    <x v="13"/>
    <x v="6"/>
    <s v="200 x 75mm (EPS PIPE SECTION )"/>
    <m/>
    <n v="125"/>
    <s v="Rmt"/>
    <m/>
    <n v="628.04999999999995"/>
    <n v="7.850625E-3"/>
  </r>
  <r>
    <n v="370"/>
    <s v="G28-28003"/>
    <x v="13"/>
    <x v="6"/>
    <s v="PIR Duct 30 mm (Uncut Sheet)"/>
    <m/>
    <n v="288"/>
    <s v="SQM"/>
    <s v="ASAWA INSULATION"/>
    <n v="1111"/>
    <n v="3.1996799999999999E-2"/>
  </r>
  <r>
    <n v="371"/>
    <s v="G28-28003"/>
    <x v="13"/>
    <x v="6"/>
    <s v="PIR Duct 20 mm  (Uncut Sheet)"/>
    <m/>
    <n v="48"/>
    <s v="SQM"/>
    <m/>
    <n v="940"/>
    <n v="4.5120000000000004E-3"/>
  </r>
  <r>
    <n v="372"/>
    <s v="G28-28003"/>
    <x v="13"/>
    <x v="6"/>
    <s v="25 mm Nitrile Rubber sheet"/>
    <s v="9.6 SQM/Roll"/>
    <n v="10"/>
    <s v="Roll"/>
    <s v="ARMACELL"/>
    <n v="480"/>
    <n v="4.8000000000000001E-4"/>
  </r>
  <r>
    <n v="373"/>
    <s v="G28-28003"/>
    <x v="13"/>
    <x v="6"/>
    <s v="15 mm Acoustic Insulation(Nitrile Rubber)"/>
    <m/>
    <n v="105"/>
    <s v="SQM"/>
    <s v="MITZVAH"/>
    <n v="151"/>
    <n v="1.5855000000000001E-3"/>
  </r>
  <r>
    <n v="374"/>
    <s v="G28-28003"/>
    <x v="13"/>
    <x v="6"/>
    <s v="MITZVAH AIR CURTAIN ( ASP 2120 AP)  "/>
    <m/>
    <n v="12"/>
    <s v="Nos"/>
    <m/>
    <n v="17706"/>
    <n v="2.1247200000000001E-2"/>
  </r>
  <r>
    <n v="375"/>
    <s v="G28-28003"/>
    <x v="13"/>
    <x v="6"/>
    <s v="MITZVAH AIR CURTAIN ( ASP 3180 AP) "/>
    <m/>
    <n v="4"/>
    <s v="Nos"/>
    <m/>
    <n v="23010"/>
    <n v="9.2040000000000004E-3"/>
  </r>
  <r>
    <n v="376"/>
    <s v="G28-28003"/>
    <x v="13"/>
    <x v="6"/>
    <s v="MITZVAH AIR CURTAIN ( ASP 3150 AP)"/>
    <m/>
    <n v="20"/>
    <s v="Nos"/>
    <m/>
    <n v="23010"/>
    <n v="4.6019999999999998E-2"/>
  </r>
  <r>
    <n v="377"/>
    <s v="G28-28003"/>
    <x v="13"/>
    <x v="6"/>
    <s v="MITZVAH AIR CURTAIN ( ASP 2090 AP)"/>
    <m/>
    <n v="7"/>
    <s v="Nos"/>
    <m/>
    <n v="15366"/>
    <n v="1.07562E-2"/>
  </r>
  <r>
    <n v="378"/>
    <s v="G28-28003"/>
    <x v="13"/>
    <x v="14"/>
    <s v="Grill(600 X600)"/>
    <s v="4.88 Sqm"/>
    <n v="8"/>
    <s v="Nos"/>
    <s v="Tristar"/>
    <n v="2800"/>
    <n v="2.2399999999999998E-3"/>
  </r>
  <r>
    <n v="379"/>
    <s v="G28-28003"/>
    <x v="13"/>
    <x v="14"/>
    <s v="Grill(600 X150)"/>
    <m/>
    <n v="4"/>
    <s v="Nos"/>
    <m/>
    <n v="580"/>
    <n v="2.32E-4"/>
  </r>
  <r>
    <n v="380"/>
    <s v="G28-28003"/>
    <x v="13"/>
    <x v="14"/>
    <s v="Grill(300 X150)"/>
    <m/>
    <n v="4"/>
    <s v="Nos"/>
    <m/>
    <n v="580"/>
    <n v="2.32E-4"/>
  </r>
  <r>
    <n v="381"/>
    <s v="G28-28003"/>
    <x v="13"/>
    <x v="14"/>
    <s v="Grill(600 X150)"/>
    <m/>
    <n v="12"/>
    <s v="Nos"/>
    <m/>
    <n v="580"/>
    <n v="6.96E-4"/>
  </r>
  <r>
    <n v="382"/>
    <s v="G28-28003"/>
    <x v="13"/>
    <x v="15"/>
    <s v="Louver(700 X200)"/>
    <s v="2.535 Sqm"/>
    <n v="5"/>
    <s v="Nos"/>
    <m/>
    <n v="823.5"/>
    <n v="4.1175000000000001E-4"/>
  </r>
  <r>
    <n v="383"/>
    <s v="G28-28003"/>
    <x v="13"/>
    <x v="15"/>
    <s v="Louver(350 X150)"/>
    <m/>
    <n v="1"/>
    <s v="Nos"/>
    <m/>
    <n v="823.5"/>
    <n v="8.2349999999999996E-5"/>
  </r>
  <r>
    <n v="384"/>
    <s v="G28-28003"/>
    <x v="13"/>
    <x v="15"/>
    <s v="Louver(350 X200)"/>
    <m/>
    <n v="1"/>
    <s v="Nos"/>
    <m/>
    <n v="823.5"/>
    <n v="8.2349999999999996E-5"/>
  </r>
  <r>
    <n v="385"/>
    <s v="G28-28003"/>
    <x v="13"/>
    <x v="15"/>
    <s v="Louver(300 X300)"/>
    <m/>
    <n v="1"/>
    <s v="Nos"/>
    <m/>
    <n v="823.5"/>
    <n v="8.2349999999999996E-5"/>
  </r>
  <r>
    <n v="386"/>
    <s v="G28-28003"/>
    <x v="13"/>
    <x v="15"/>
    <s v="Louver(250 X250)"/>
    <m/>
    <n v="1"/>
    <s v="Nos"/>
    <m/>
    <n v="823.5"/>
    <n v="8.2349999999999996E-5"/>
  </r>
  <r>
    <n v="387"/>
    <s v="G28-28003"/>
    <x v="13"/>
    <x v="15"/>
    <s v="Louver(500 X250)"/>
    <m/>
    <n v="1"/>
    <s v="Nos"/>
    <m/>
    <n v="823.5"/>
    <n v="8.2349999999999996E-5"/>
  </r>
  <r>
    <n v="388"/>
    <s v="G28-28003"/>
    <x v="13"/>
    <x v="15"/>
    <s v="Louver(750 X 600)"/>
    <m/>
    <n v="1"/>
    <s v="Nos"/>
    <m/>
    <n v="3705.75"/>
    <n v="3.70575E-4"/>
  </r>
  <r>
    <n v="389"/>
    <s v="G28-28003"/>
    <x v="13"/>
    <x v="15"/>
    <s v="Louver(750 x 500)"/>
    <m/>
    <n v="1"/>
    <s v="Nos"/>
    <m/>
    <n v="2882.25"/>
    <n v="2.8822500000000003E-4"/>
  </r>
  <r>
    <n v="390"/>
    <s v="G28-28003"/>
    <x v="13"/>
    <x v="15"/>
    <s v="Louver(800 x 200)"/>
    <m/>
    <n v="1"/>
    <s v="Nos"/>
    <m/>
    <n v="1317.6"/>
    <n v="1.3176E-4"/>
  </r>
  <r>
    <n v="391"/>
    <s v="G28-28003"/>
    <x v="13"/>
    <x v="15"/>
    <s v="Louver(500 x 250)"/>
    <m/>
    <n v="1"/>
    <s v="Nos"/>
    <m/>
    <n v="1029.375"/>
    <n v="1.029375E-4"/>
  </r>
  <r>
    <n v="392"/>
    <s v="G28-28003"/>
    <x v="13"/>
    <x v="15"/>
    <s v="Louver(450 x 200)"/>
    <m/>
    <n v="2"/>
    <s v="Nos"/>
    <m/>
    <n v="823.5"/>
    <n v="1.6469999999999999E-4"/>
  </r>
  <r>
    <n v="393"/>
    <s v="G28-28003"/>
    <x v="13"/>
    <x v="16"/>
    <s v="VCD(200 X150)"/>
    <s v="9.74 Sqm"/>
    <n v="7"/>
    <s v="Nos"/>
    <m/>
    <n v="823.5"/>
    <n v="5.7645000000000005E-4"/>
  </r>
  <r>
    <n v="394"/>
    <s v="G28-28003"/>
    <x v="13"/>
    <x v="16"/>
    <s v="VCD(350 X350)"/>
    <m/>
    <n v="2"/>
    <s v="Nos"/>
    <m/>
    <n v="1008.788"/>
    <n v="2.0175760000000001E-4"/>
  </r>
  <r>
    <n v="395"/>
    <s v="G28-28003"/>
    <x v="13"/>
    <x v="16"/>
    <s v="VCD(400 X200)"/>
    <m/>
    <n v="2"/>
    <s v="Nos"/>
    <m/>
    <n v="823.5"/>
    <n v="1.6469999999999999E-4"/>
  </r>
  <r>
    <n v="396"/>
    <s v="G28-28003"/>
    <x v="13"/>
    <x v="16"/>
    <s v="VCD(1250 X400)"/>
    <m/>
    <n v="9"/>
    <s v="Nos"/>
    <m/>
    <n v="4117.5"/>
    <n v="3.7057499999999998E-3"/>
  </r>
  <r>
    <n v="397"/>
    <s v="G28-28003"/>
    <x v="13"/>
    <x v="16"/>
    <s v="VCD(1300 X400)"/>
    <m/>
    <n v="1"/>
    <s v="Nos"/>
    <m/>
    <n v="4282.2"/>
    <n v="4.2821999999999999E-4"/>
  </r>
  <r>
    <n v="398"/>
    <s v="G28-28003"/>
    <x v="13"/>
    <x v="16"/>
    <s v="VCD(700 X400)"/>
    <m/>
    <n v="1"/>
    <s v="Nos"/>
    <m/>
    <n v="2305.8000000000002"/>
    <n v="2.3058E-4"/>
  </r>
  <r>
    <n v="399"/>
    <s v="G28-28003"/>
    <x v="13"/>
    <x v="16"/>
    <s v="VCD(1400 X400)"/>
    <m/>
    <n v="4"/>
    <s v="Nos"/>
    <m/>
    <n v="4611.6000000000004"/>
    <n v="1.84464E-3"/>
  </r>
  <r>
    <n v="400"/>
    <s v="G28-28003"/>
    <x v="13"/>
    <x v="6"/>
    <s v="Diffuser (300 x 300/600 x 600)"/>
    <s v="2.16 Sqm"/>
    <n v="5"/>
    <s v="Nos"/>
    <m/>
    <n v="1350"/>
    <n v="6.7500000000000004E-4"/>
  </r>
  <r>
    <n v="401"/>
    <s v="G28-28003"/>
    <x v="13"/>
    <x v="6"/>
    <s v="Diffuser (375 x 375/600 x 600)"/>
    <m/>
    <n v="1"/>
    <s v="Nos"/>
    <m/>
    <n v="1687.5"/>
    <n v="1.6875000000000001E-4"/>
  </r>
  <r>
    <n v="402"/>
    <s v="G28-28003"/>
    <x v="13"/>
    <x v="9"/>
    <s v="300 MM MOTORISED BUTTERFLY VALVE"/>
    <m/>
    <n v="1"/>
    <s v="Nos"/>
    <s v="CASTLE"/>
    <n v="46831"/>
    <n v="4.6830999999999999E-3"/>
  </r>
  <r>
    <n v="403"/>
    <s v="G28-28003"/>
    <x v="13"/>
    <x v="9"/>
    <s v="200MM BUTTERFLY VALVE (MOTORISED)"/>
    <m/>
    <n v="4"/>
    <s v="Nos"/>
    <m/>
    <n v="42873"/>
    <n v="1.71492E-2"/>
  </r>
  <r>
    <n v="404"/>
    <s v="G28-28003"/>
    <x v="13"/>
    <x v="9"/>
    <s v="32MM BALL VALVE BRASS"/>
    <m/>
    <n v="8"/>
    <s v="Nos"/>
    <m/>
    <n v="746"/>
    <n v="5.9679999999999998E-4"/>
  </r>
  <r>
    <n v="405"/>
    <s v="G28-28003"/>
    <x v="13"/>
    <x v="6"/>
    <s v="AIR VENT 32MM"/>
    <m/>
    <n v="12"/>
    <s v="Nos"/>
    <m/>
    <n v="332"/>
    <n v="3.9839999999999998E-4"/>
  </r>
  <r>
    <n v="406"/>
    <s v="G28-28003"/>
    <x v="13"/>
    <x v="13"/>
    <s v="450 MM P. TRAY HDG"/>
    <m/>
    <n v="85"/>
    <s v="Nos"/>
    <s v="NEHA ELECTRICAL _x000a_AND MECHANICAL WORKS ( ANANT POWER)"/>
    <n v="780"/>
    <n v="6.6299999999999996E-3"/>
  </r>
  <r>
    <n v="407"/>
    <s v="G28-28003"/>
    <x v="13"/>
    <x v="13"/>
    <s v="300 MM P.TRAY HDG"/>
    <m/>
    <n v="145"/>
    <s v="Nos"/>
    <m/>
    <n v="561"/>
    <n v="8.1344999999999994E-3"/>
  </r>
  <r>
    <n v="408"/>
    <s v="G28-28003"/>
    <x v="13"/>
    <x v="13"/>
    <s v="100 MM P.TRAY HDG"/>
    <m/>
    <n v="34"/>
    <s v="Nos"/>
    <m/>
    <n v="233"/>
    <n v="7.9219999999999996E-4"/>
  </r>
  <r>
    <n v="409"/>
    <s v="G28-28003"/>
    <x v="13"/>
    <x v="13"/>
    <s v="150 MM TRAY COVER"/>
    <m/>
    <n v="110"/>
    <s v="Nos"/>
    <m/>
    <n v="233"/>
    <n v="2.5630000000000002E-3"/>
  </r>
  <r>
    <n v="410"/>
    <s v="G28-28003"/>
    <x v="13"/>
    <x v="13"/>
    <s v="50MM TRAY COVER"/>
    <m/>
    <n v="200"/>
    <s v="Nos"/>
    <m/>
    <n v="233"/>
    <n v="4.6600000000000001E-3"/>
  </r>
  <r>
    <n v="411"/>
    <s v="G28-28003"/>
    <x v="13"/>
    <x v="13"/>
    <s v="150 MM P.TRAY GP"/>
    <m/>
    <n v="100"/>
    <s v="Nos"/>
    <m/>
    <n v="260"/>
    <n v="2.5999999999999999E-3"/>
  </r>
  <r>
    <n v="412"/>
    <s v="G28-28003"/>
    <x v="13"/>
    <x v="13"/>
    <s v="150 MM P.TRAY HDG"/>
    <m/>
    <n v="17"/>
    <s v="Nos"/>
    <m/>
    <n v="342"/>
    <n v="5.8140000000000004E-4"/>
  </r>
  <r>
    <n v="413"/>
    <s v="G28-28003"/>
    <x v="13"/>
    <x v="13"/>
    <s v="200 MM P.TRAY HDG"/>
    <m/>
    <n v="10"/>
    <s v="Nos"/>
    <m/>
    <n v="427"/>
    <n v="4.2700000000000002E-4"/>
  </r>
  <r>
    <n v="414"/>
    <s v="G28-28003"/>
    <x v="13"/>
    <x v="13"/>
    <s v="750MM LADDER TRAY"/>
    <m/>
    <n v="29"/>
    <s v="Nos"/>
    <m/>
    <n v="944"/>
    <n v="2.7376000000000002E-3"/>
  </r>
  <r>
    <n v="415"/>
    <s v="G28-28003"/>
    <x v="13"/>
    <x v="13"/>
    <s v="1000 MM LADDER TRAY"/>
    <m/>
    <n v="12"/>
    <s v="Nos"/>
    <m/>
    <n v="911"/>
    <n v="1.0931999999999999E-3"/>
  </r>
  <r>
    <n v="416"/>
    <s v="G28-28003"/>
    <x v="13"/>
    <x v="6"/>
    <s v="450 MM  TRAY COVER"/>
    <m/>
    <n v="7"/>
    <s v="Nos"/>
    <m/>
    <n v="428"/>
    <n v="2.9960000000000002E-4"/>
  </r>
  <r>
    <n v="417"/>
    <s v="G28-28003"/>
    <x v="13"/>
    <x v="5"/>
    <s v="1000X1000X750 MM TEE"/>
    <s v="LADDER TYPE"/>
    <n v="2"/>
    <s v="Nos"/>
    <m/>
    <n v="1597"/>
    <n v="3.1940000000000001E-4"/>
  </r>
  <r>
    <n v="418"/>
    <s v="G28-28003"/>
    <x v="13"/>
    <x v="5"/>
    <s v="1000X1000X1000 MM TEE"/>
    <s v="LADDER TYPE"/>
    <n v="7"/>
    <s v="Nos"/>
    <m/>
    <n v="1810"/>
    <n v="1.2669999999999999E-3"/>
  </r>
  <r>
    <n v="419"/>
    <s v="G28-28003"/>
    <x v="13"/>
    <x v="5"/>
    <s v="1000X1000X150 MM TEE"/>
    <s v="LADDER TYPE"/>
    <n v="18"/>
    <s v="Nos"/>
    <m/>
    <n v="1025.5"/>
    <n v="1.8458999999999999E-3"/>
  </r>
  <r>
    <n v="420"/>
    <s v="G28-28003"/>
    <x v="13"/>
    <x v="5"/>
    <s v="1000X1000X600 MM TEE"/>
    <s v="LADDER TYPE"/>
    <n v="16"/>
    <s v="Nos"/>
    <m/>
    <n v="1597.2"/>
    <n v="2.5555199999999999E-3"/>
  </r>
  <r>
    <n v="421"/>
    <s v="G28-28003"/>
    <x v="13"/>
    <x v="5"/>
    <s v="1000X1000X450 MM TEE"/>
    <s v="LADDER TYPE"/>
    <n v="5"/>
    <s v="Nos"/>
    <m/>
    <n v="1234.5"/>
    <n v="6.1724999999999996E-4"/>
  </r>
  <r>
    <n v="422"/>
    <s v="G28-28003"/>
    <x v="13"/>
    <x v="5"/>
    <s v="600x600x300 MM TEE"/>
    <s v="LADDER TYPE"/>
    <n v="2"/>
    <s v="Nos"/>
    <m/>
    <n v="1234.5"/>
    <n v="2.4689999999999998E-4"/>
  </r>
  <r>
    <n v="423"/>
    <s v="G28-28003"/>
    <x v="13"/>
    <x v="5"/>
    <s v="1000X300X300 MM TEE"/>
    <s v="LADDER TYPE"/>
    <n v="12"/>
    <s v="Nos"/>
    <m/>
    <n v="1597.2"/>
    <n v="1.9166400000000001E-3"/>
  </r>
  <r>
    <n v="424"/>
    <s v="G28-28003"/>
    <x v="13"/>
    <x v="5"/>
    <s v="150 TEE"/>
    <m/>
    <n v="103"/>
    <s v="Nos"/>
    <m/>
    <n v="2868.6"/>
    <n v="2.9546579999999999E-2"/>
  </r>
  <r>
    <n v="425"/>
    <s v="G28-28003"/>
    <x v="13"/>
    <x v="5"/>
    <s v="300X300X150 MM TEE"/>
    <m/>
    <n v="25"/>
    <s v="Nos"/>
    <m/>
    <n v="1425.6"/>
    <n v="3.5639999999999999E-3"/>
  </r>
  <r>
    <n v="426"/>
    <s v="G28-28003"/>
    <x v="13"/>
    <x v="5"/>
    <s v="450X450 MM TEE"/>
    <m/>
    <n v="9"/>
    <s v="Nos"/>
    <m/>
    <n v="1600"/>
    <n v="1.4400000000000001E-3"/>
  </r>
  <r>
    <n v="427"/>
    <s v="G28-28003"/>
    <x v="13"/>
    <x v="5"/>
    <s v="50 X150 TEE"/>
    <m/>
    <n v="137"/>
    <s v="Nos"/>
    <m/>
    <n v="1160"/>
    <n v="1.5892E-2"/>
  </r>
  <r>
    <n v="428"/>
    <s v="G28-28003"/>
    <x v="13"/>
    <x v="5"/>
    <s v="50 X 300 TEE"/>
    <m/>
    <n v="26"/>
    <s v="Nos"/>
    <m/>
    <n v="823"/>
    <n v="2.1397999999999999E-3"/>
  </r>
  <r>
    <n v="429"/>
    <s v="G28-28003"/>
    <x v="13"/>
    <x v="5"/>
    <s v="450 X150 TEE"/>
    <m/>
    <n v="10"/>
    <s v="Nos"/>
    <m/>
    <n v="2868.6"/>
    <n v="2.8685999999999998E-3"/>
  </r>
  <r>
    <n v="430"/>
    <s v="G28-28003"/>
    <x v="13"/>
    <x v="5"/>
    <s v="100X100X50 MM TEE"/>
    <m/>
    <n v="12"/>
    <s v="Nos"/>
    <m/>
    <n v="1540"/>
    <n v="1.848E-3"/>
  </r>
  <r>
    <n v="431"/>
    <s v="G28-28003"/>
    <x v="13"/>
    <x v="5"/>
    <s v="50 TEE"/>
    <m/>
    <n v="16"/>
    <s v="Nos"/>
    <m/>
    <n v="1160"/>
    <n v="1.856E-3"/>
  </r>
  <r>
    <n v="432"/>
    <s v="G28-28003"/>
    <x v="13"/>
    <x v="5"/>
    <s v="300X150 CROSS TEE"/>
    <m/>
    <n v="6"/>
    <s v="Nos"/>
    <m/>
    <n v="1425.6"/>
    <n v="8.5535999999999989E-4"/>
  </r>
  <r>
    <n v="433"/>
    <s v="G28-28003"/>
    <x v="13"/>
    <x v="5"/>
    <s v="50 CROSS TEE"/>
    <m/>
    <n v="30"/>
    <s v="Nos"/>
    <m/>
    <n v="1860"/>
    <n v="5.5799999999999999E-3"/>
  </r>
  <r>
    <n v="434"/>
    <s v="G28-28003"/>
    <x v="13"/>
    <x v="5"/>
    <s v="50X150 CROSS TEE"/>
    <m/>
    <n v="10"/>
    <s v="Nos"/>
    <m/>
    <n v="1860"/>
    <n v="1.8600000000000001E-3"/>
  </r>
  <r>
    <n v="435"/>
    <s v="G28-28003"/>
    <x v="13"/>
    <x v="6"/>
    <s v="1000 BEND "/>
    <m/>
    <n v="5"/>
    <s v="Nos"/>
    <m/>
    <n v="1500"/>
    <n v="7.5000000000000002E-4"/>
  </r>
  <r>
    <n v="436"/>
    <s v="G28-28003"/>
    <x v="13"/>
    <x v="6"/>
    <s v="50 BEND"/>
    <m/>
    <n v="100"/>
    <s v="Nos"/>
    <m/>
    <n v="480"/>
    <n v="4.7999999999999996E-3"/>
  </r>
  <r>
    <n v="437"/>
    <s v="G28-28003"/>
    <x v="13"/>
    <x v="6"/>
    <s v="450 BEND"/>
    <m/>
    <n v="15"/>
    <s v="Nos"/>
    <m/>
    <n v="972"/>
    <n v="1.4580000000000001E-3"/>
  </r>
  <r>
    <n v="438"/>
    <s v="G28-28003"/>
    <x v="13"/>
    <x v="6"/>
    <s v="150 BEND"/>
    <m/>
    <n v="80"/>
    <s v="Nos"/>
    <m/>
    <n v="426"/>
    <n v="3.408E-3"/>
  </r>
  <r>
    <n v="439"/>
    <s v="G28-28003"/>
    <x v="13"/>
    <x v="12"/>
    <s v="3C×4 sqmm cu"/>
    <s v="XLPE"/>
    <n v="1500"/>
    <s v="Mtr"/>
    <s v="Grandly"/>
    <n v="129"/>
    <n v="1.9349999999999999E-2"/>
  </r>
  <r>
    <n v="440"/>
    <s v="G28-28003"/>
    <x v="13"/>
    <x v="12"/>
    <s v="3C×6 sqmm cu"/>
    <s v="XLPE"/>
    <n v="3000"/>
    <s v="Mtr"/>
    <s v="Grandly"/>
    <n v="182"/>
    <n v="5.4600000000000003E-2"/>
  </r>
  <r>
    <n v="441"/>
    <s v="G28-28003"/>
    <x v="13"/>
    <x v="12"/>
    <s v="4C×2.5 sqmm cu"/>
    <s v="XLPE"/>
    <n v="400"/>
    <s v="Mtr"/>
    <s v="Grandly"/>
    <n v="115"/>
    <n v="4.5999999999999999E-3"/>
  </r>
  <r>
    <n v="442"/>
    <s v="G28-28003"/>
    <x v="13"/>
    <x v="12"/>
    <s v="4C×4 sqmm cu"/>
    <s v="XLPE"/>
    <n v="149"/>
    <s v="Mtr"/>
    <s v="Grandly"/>
    <n v="166"/>
    <n v="2.4734000000000002E-3"/>
  </r>
  <r>
    <n v="443"/>
    <s v="G28-28003"/>
    <x v="13"/>
    <x v="12"/>
    <s v="3.5C×70 sqmm Al"/>
    <s v="XLPE"/>
    <n v="79"/>
    <s v="Mtr"/>
    <s v="Grandly"/>
    <n v="288"/>
    <n v="2.2751999999999998E-3"/>
  </r>
  <r>
    <n v="444"/>
    <s v="G28-28003"/>
    <x v="13"/>
    <x v="12"/>
    <s v="3.5C×95 sqmm Al"/>
    <s v="XLPE"/>
    <n v="107"/>
    <s v="Mtr"/>
    <s v="Grandly"/>
    <n v="359"/>
    <n v="3.8413000000000002E-3"/>
  </r>
  <r>
    <n v="445"/>
    <s v="G28-28003"/>
    <x v="13"/>
    <x v="12"/>
    <s v="3.5C×150 sqmm Al"/>
    <s v="XLPE"/>
    <n v="348"/>
    <s v="Mtr"/>
    <s v="Grandly"/>
    <n v="534"/>
    <n v="1.8583200000000001E-2"/>
  </r>
  <r>
    <n v="446"/>
    <s v="G28-28003"/>
    <x v="13"/>
    <x v="12"/>
    <s v="3.5C×240 sqmm Al"/>
    <s v="XLPE"/>
    <n v="129"/>
    <s v="Mtr"/>
    <s v="Grandly"/>
    <n v="849"/>
    <n v="1.0952099999999999E-2"/>
  </r>
  <r>
    <n v="447"/>
    <s v="G28-28003"/>
    <x v="13"/>
    <x v="12"/>
    <s v="3C×4 sqmm cu"/>
    <s v="FS"/>
    <n v="49"/>
    <s v="Mtr"/>
    <s v="FUSION POLYMAR  INDUSTRIES"/>
    <n v="187"/>
    <n v="9.1629999999999999E-4"/>
  </r>
  <r>
    <n v="448"/>
    <s v="G28-28003"/>
    <x v="13"/>
    <x v="12"/>
    <s v="3C×6 sqmm cu"/>
    <s v="FS"/>
    <n v="100"/>
    <s v="Mtr"/>
    <s v="FUSION POLYMAR  INDUSTRIES"/>
    <n v="255"/>
    <n v="2.5500000000000002E-3"/>
  </r>
  <r>
    <n v="449"/>
    <s v="G28-28003"/>
    <x v="13"/>
    <x v="12"/>
    <s v="4C×4 sqmm cu"/>
    <s v="FS"/>
    <n v="50"/>
    <s v="Mtr"/>
    <s v="FUSION POLYMAR  INDUSTRIES"/>
    <n v="239"/>
    <n v="1.1950000000000001E-3"/>
  </r>
  <r>
    <n v="450"/>
    <s v="G28-28003"/>
    <x v="13"/>
    <x v="12"/>
    <s v="4C×6 sqmm cu"/>
    <s v="FS"/>
    <n v="201"/>
    <s v="Mtr"/>
    <s v="FUSION POLYMAR  INDUSTRIES"/>
    <n v="332"/>
    <n v="6.6731999999999998E-3"/>
  </r>
  <r>
    <n v="451"/>
    <s v="G28-28003"/>
    <x v="13"/>
    <x v="10"/>
    <s v="MCB"/>
    <s v="2P C 32A"/>
    <n v="31"/>
    <s v="Nos"/>
    <m/>
    <m/>
    <n v="0"/>
  </r>
  <r>
    <n v="452"/>
    <s v="G28-28003"/>
    <x v="13"/>
    <x v="10"/>
    <s v="MCB"/>
    <s v="4P C 63A"/>
    <n v="24"/>
    <s v="Nos"/>
    <m/>
    <m/>
    <n v="0"/>
  </r>
  <r>
    <n v="453"/>
    <s v="G28-28003"/>
    <x v="13"/>
    <x v="10"/>
    <s v="MCB"/>
    <s v="4P C 40A"/>
    <n v="21"/>
    <s v="Nos"/>
    <m/>
    <m/>
    <n v="0"/>
  </r>
  <r>
    <n v="454"/>
    <s v="G28-28003"/>
    <x v="13"/>
    <x v="10"/>
    <s v="MCB"/>
    <s v="2P C 40A"/>
    <n v="12"/>
    <s v="Nos"/>
    <m/>
    <m/>
    <n v="0"/>
  </r>
  <r>
    <n v="455"/>
    <s v="G28-28003"/>
    <x v="13"/>
    <x v="10"/>
    <s v="RCCB"/>
    <s v="2P 25A"/>
    <n v="12"/>
    <s v="Nos"/>
    <m/>
    <m/>
    <n v="0"/>
  </r>
  <r>
    <n v="456"/>
    <s v="G28-28003"/>
    <x v="13"/>
    <x v="10"/>
    <s v="RCCB"/>
    <s v="2P 63A"/>
    <n v="84"/>
    <s v="Nos"/>
    <m/>
    <m/>
    <n v="0"/>
  </r>
  <r>
    <n v="457"/>
    <s v="G28-28003"/>
    <x v="13"/>
    <x v="10"/>
    <s v="MCB"/>
    <s v="4P B 32A"/>
    <n v="1"/>
    <s v="Nos"/>
    <m/>
    <m/>
    <n v="0"/>
  </r>
  <r>
    <n v="458"/>
    <s v="G28-28003"/>
    <x v="13"/>
    <x v="10"/>
    <s v="SURGE ARRESTER"/>
    <s v="4P I MAX"/>
    <n v="66"/>
    <s v="Nos"/>
    <m/>
    <m/>
    <n v="0"/>
  </r>
  <r>
    <n v="459"/>
    <s v="G28-28003"/>
    <x v="13"/>
    <x v="10"/>
    <s v="MCB"/>
    <s v="1P B 10A"/>
    <n v="329"/>
    <s v="Nos"/>
    <m/>
    <m/>
    <n v="0"/>
  </r>
  <r>
    <n v="460"/>
    <s v="G28-28003"/>
    <x v="13"/>
    <x v="10"/>
    <s v="MCB"/>
    <s v="1P C 16A"/>
    <n v="853"/>
    <s v="Nos"/>
    <m/>
    <m/>
    <n v="0"/>
  </r>
  <r>
    <n v="461"/>
    <s v="G28-28003"/>
    <x v="13"/>
    <x v="10"/>
    <s v="MCB"/>
    <s v="1P C 25A"/>
    <n v="2"/>
    <s v="Nos"/>
    <m/>
    <m/>
    <n v="0"/>
  </r>
  <r>
    <n v="462"/>
    <s v="G28-28003"/>
    <x v="13"/>
    <x v="6"/>
    <s v="4TIER 40  DB"/>
    <m/>
    <n v="38"/>
    <s v="Nos"/>
    <m/>
    <m/>
    <n v="0"/>
  </r>
  <r>
    <n v="463"/>
    <s v="G28-28003"/>
    <x v="13"/>
    <x v="6"/>
    <s v="18 WAY SPN"/>
    <m/>
    <n v="3"/>
    <s v="Nos"/>
    <m/>
    <m/>
    <n v="0"/>
  </r>
  <r>
    <n v="464"/>
    <s v="G28-28003"/>
    <x v="13"/>
    <x v="6"/>
    <s v="12 WAY SPN"/>
    <m/>
    <n v="7"/>
    <s v="Nos"/>
    <m/>
    <m/>
    <n v="0"/>
  </r>
  <r>
    <n v="465"/>
    <s v="G28-28003"/>
    <x v="13"/>
    <x v="6"/>
    <s v="Chemical earth pit "/>
    <m/>
    <n v="46"/>
    <s v="Nos"/>
    <s v="JMV"/>
    <n v="4135"/>
    <n v="1.9021E-2"/>
  </r>
  <r>
    <n v="466"/>
    <s v="G28-28003"/>
    <x v="13"/>
    <x v="6"/>
    <s v="25 X 6 CU"/>
    <m/>
    <n v="400"/>
    <s v="Mtr"/>
    <m/>
    <n v="80"/>
    <n v="3.2000000000000002E-3"/>
  </r>
  <r>
    <n v="467"/>
    <s v="G28-28003"/>
    <x v="13"/>
    <x v="6"/>
    <s v="32 X6 CU"/>
    <m/>
    <n v="50"/>
    <s v="Mtr"/>
    <m/>
    <n v="102"/>
    <n v="5.1000000000000004E-4"/>
  </r>
  <r>
    <n v="468"/>
    <s v="G28-28003"/>
    <x v="13"/>
    <x v="6"/>
    <s v="POLYCARBONATE BOX THREE WAY"/>
    <s v="out door type"/>
    <n v="300"/>
    <s v="Nos"/>
    <s v="NEPTUNE "/>
    <n v="720"/>
    <n v="2.1600000000000001E-2"/>
  </r>
  <r>
    <n v="469"/>
    <s v="G28-28003"/>
    <x v="13"/>
    <x v="5"/>
    <s v="Tee"/>
    <m/>
    <n v="24"/>
    <m/>
    <m/>
    <n v="223"/>
    <n v="5.352E-4"/>
  </r>
  <r>
    <n v="470"/>
    <s v="G28-28003"/>
    <x v="13"/>
    <x v="5"/>
    <s v="Tee"/>
    <m/>
    <n v="6"/>
    <m/>
    <m/>
    <n v="304"/>
    <n v="1.8239999999999999E-4"/>
  </r>
  <r>
    <n v="471"/>
    <s v="G28-28003"/>
    <x v="13"/>
    <x v="5"/>
    <s v="Tee"/>
    <m/>
    <n v="20"/>
    <m/>
    <m/>
    <n v="445"/>
    <n v="8.8999999999999995E-4"/>
  </r>
  <r>
    <n v="472"/>
    <s v="G28-28003"/>
    <x v="13"/>
    <x v="6"/>
    <s v="Reducer"/>
    <m/>
    <n v="26"/>
    <m/>
    <m/>
    <n v="55.17"/>
    <n v="1.43442E-4"/>
  </r>
  <r>
    <n v="473"/>
    <s v="G28-28003"/>
    <x v="13"/>
    <x v="6"/>
    <s v="Reducer"/>
    <m/>
    <n v="7"/>
    <m/>
    <m/>
    <n v="1860"/>
    <n v="1.302E-3"/>
  </r>
  <r>
    <n v="474"/>
    <s v="G28-28003"/>
    <x v="13"/>
    <x v="3"/>
    <s v="Reducing Elbow"/>
    <m/>
    <n v="250"/>
    <m/>
    <m/>
    <n v="136.51"/>
    <n v="3.41275E-3"/>
  </r>
  <r>
    <n v="475"/>
    <s v="G28-28003"/>
    <x v="13"/>
    <x v="5"/>
    <s v="Reducing Tee"/>
    <m/>
    <n v="400"/>
    <m/>
    <m/>
    <n v="97"/>
    <n v="3.8800000000000002E-3"/>
  </r>
  <r>
    <n v="476"/>
    <s v="G28-28003"/>
    <x v="13"/>
    <x v="5"/>
    <s v="Reducing Tee"/>
    <m/>
    <n v="200"/>
    <m/>
    <m/>
    <n v="97"/>
    <n v="1.9400000000000001E-3"/>
  </r>
  <r>
    <n v="477"/>
    <s v="G28-28003"/>
    <x v="13"/>
    <x v="5"/>
    <s v="Cross Tee"/>
    <m/>
    <n v="4"/>
    <m/>
    <m/>
    <n v="1860"/>
    <n v="7.4399999999999998E-4"/>
  </r>
  <r>
    <n v="478"/>
    <s v="G28-28003"/>
    <x v="13"/>
    <x v="5"/>
    <s v="Cross Tee"/>
    <m/>
    <n v="2"/>
    <m/>
    <m/>
    <n v="1234.8"/>
    <n v="2.4696000000000001E-4"/>
  </r>
  <r>
    <n v="479"/>
    <s v="G28-28003"/>
    <x v="13"/>
    <x v="5"/>
    <s v="Cross Tee"/>
    <m/>
    <n v="5"/>
    <m/>
    <m/>
    <n v="1830"/>
    <n v="9.1500000000000001E-4"/>
  </r>
  <r>
    <n v="480"/>
    <s v="G28-28003"/>
    <x v="13"/>
    <x v="6"/>
    <s v="Reducer"/>
    <m/>
    <n v="5"/>
    <m/>
    <m/>
    <n v="476"/>
    <n v="2.3800000000000001E-4"/>
  </r>
  <r>
    <n v="481"/>
    <s v="G28-28003"/>
    <x v="13"/>
    <x v="6"/>
    <s v="Reducer"/>
    <m/>
    <n v="3"/>
    <m/>
    <m/>
    <n v="1118.18"/>
    <n v="3.35454E-4"/>
  </r>
  <r>
    <n v="482"/>
    <s v="G28-28003"/>
    <x v="13"/>
    <x v="6"/>
    <s v="Reducer"/>
    <m/>
    <n v="5"/>
    <m/>
    <m/>
    <n v="253.13"/>
    <n v="1.2656500000000001E-4"/>
  </r>
  <r>
    <n v="483"/>
    <s v="G28-28003"/>
    <x v="13"/>
    <x v="6"/>
    <s v="Reducer"/>
    <m/>
    <n v="9"/>
    <m/>
    <m/>
    <n v="1863"/>
    <n v="1.6766999999999999E-3"/>
  </r>
  <r>
    <n v="484"/>
    <s v="G28-28003"/>
    <x v="13"/>
    <x v="6"/>
    <s v="Reducer"/>
    <m/>
    <n v="5"/>
    <m/>
    <m/>
    <n v="1400"/>
    <n v="6.9999999999999999E-4"/>
  </r>
  <r>
    <n v="485"/>
    <s v="G28-28003"/>
    <x v="13"/>
    <x v="3"/>
    <s v="Elbow"/>
    <m/>
    <n v="5"/>
    <m/>
    <m/>
    <n v="1283"/>
    <n v="6.4150000000000003E-4"/>
  </r>
  <r>
    <n v="486"/>
    <s v="G28-28003"/>
    <x v="13"/>
    <x v="5"/>
    <s v="Equal Tee"/>
    <m/>
    <n v="10"/>
    <m/>
    <m/>
    <n v="780.5"/>
    <n v="7.8050000000000005E-4"/>
  </r>
  <r>
    <n v="487"/>
    <s v="G28-28003"/>
    <x v="13"/>
    <x v="5"/>
    <s v="Equal Tee"/>
    <m/>
    <n v="20"/>
    <m/>
    <m/>
    <n v="1029"/>
    <n v="2.0579999999999999E-3"/>
  </r>
  <r>
    <n v="488"/>
    <s v="G28-28003"/>
    <x v="13"/>
    <x v="5"/>
    <s v="Equal Tee"/>
    <m/>
    <n v="6"/>
    <m/>
    <m/>
    <n v="1201.9000000000001"/>
    <n v="7.2114000000000011E-4"/>
  </r>
  <r>
    <n v="489"/>
    <s v="G28-28003"/>
    <x v="13"/>
    <x v="5"/>
    <s v="Equal Tee"/>
    <m/>
    <n v="16"/>
    <m/>
    <m/>
    <n v="1000"/>
    <n v="1.6000000000000001E-3"/>
  </r>
  <r>
    <n v="490"/>
    <s v="G28-28003"/>
    <x v="13"/>
    <x v="5"/>
    <s v="Equal Tee"/>
    <m/>
    <n v="7"/>
    <m/>
    <m/>
    <n v="4347"/>
    <n v="3.0428999999999999E-3"/>
  </r>
  <r>
    <n v="491"/>
    <s v="G28-28003"/>
    <x v="13"/>
    <x v="5"/>
    <s v="Reducing Tee"/>
    <m/>
    <n v="13"/>
    <m/>
    <m/>
    <n v="624"/>
    <n v="8.1119999999999999E-4"/>
  </r>
  <r>
    <n v="492"/>
    <s v="G28-28003"/>
    <x v="13"/>
    <x v="5"/>
    <s v="Reducing Tee"/>
    <m/>
    <n v="2"/>
    <m/>
    <m/>
    <n v="1202"/>
    <n v="2.4039999999999999E-4"/>
  </r>
  <r>
    <n v="493"/>
    <s v="G28-28003"/>
    <x v="13"/>
    <x v="5"/>
    <s v="Reducing Tee"/>
    <m/>
    <n v="5"/>
    <m/>
    <m/>
    <n v="1202"/>
    <n v="6.0099999999999997E-4"/>
  </r>
  <r>
    <n v="494"/>
    <s v="G28-28003"/>
    <x v="13"/>
    <x v="5"/>
    <s v="Reducing Tee"/>
    <m/>
    <n v="1"/>
    <m/>
    <m/>
    <n v="823"/>
    <n v="8.2299999999999995E-5"/>
  </r>
  <r>
    <n v="495"/>
    <s v="G28-28003"/>
    <x v="13"/>
    <x v="5"/>
    <s v="Reducing Tee"/>
    <m/>
    <n v="1"/>
    <m/>
    <m/>
    <n v="823"/>
    <n v="8.2299999999999995E-5"/>
  </r>
  <r>
    <n v="496"/>
    <s v="G28-28003"/>
    <x v="13"/>
    <x v="5"/>
    <s v="Reducing Tee"/>
    <m/>
    <n v="2"/>
    <m/>
    <m/>
    <n v="780.5"/>
    <n v="1.561E-4"/>
  </r>
  <r>
    <n v="497"/>
    <s v="G28-28003"/>
    <x v="13"/>
    <x v="5"/>
    <s v="Reducing Tee"/>
    <m/>
    <n v="4"/>
    <m/>
    <m/>
    <n v="780.5"/>
    <n v="3.122E-4"/>
  </r>
  <r>
    <n v="498"/>
    <s v="G28-28003"/>
    <x v="13"/>
    <x v="5"/>
    <s v="Reducing Tee"/>
    <m/>
    <n v="1"/>
    <m/>
    <m/>
    <n v="1029"/>
    <n v="1.0289999999999999E-4"/>
  </r>
  <r>
    <n v="499"/>
    <s v="G28-44003"/>
    <x v="14"/>
    <x v="0"/>
    <s v="40NB M S Handrail pipe "/>
    <s v="97 No x 6.0M"/>
    <n v="580"/>
    <s v="M"/>
    <m/>
    <n v="150"/>
    <n v="8.6999999999999994E-3"/>
  </r>
  <r>
    <n v="500"/>
    <s v="G28-44003"/>
    <x v="14"/>
    <x v="6"/>
    <s v="50NB M S square tube "/>
    <s v="( 3.0M-50 No, 4.0M- 06 No, 4.5M- 25 No, 6.0M- 03M"/>
    <n v="310"/>
    <s v="M"/>
    <m/>
    <n v="864"/>
    <n v="2.6783999999999999E-2"/>
  </r>
  <r>
    <n v="501"/>
    <s v="G28-44003"/>
    <x v="14"/>
    <x v="17"/>
    <s v="G I Sheet"/>
    <s v="1.1M x 1.5M "/>
    <n v="39"/>
    <s v="No"/>
    <m/>
    <n v="1386"/>
    <n v="5.4054000000000003E-3"/>
  </r>
  <r>
    <n v="502"/>
    <s v="G28-44003"/>
    <x v="14"/>
    <x v="17"/>
    <s v="G I Sheet"/>
    <s v="1.1M x 3.0M "/>
    <n v="47"/>
    <s v="No"/>
    <m/>
    <n v="1386"/>
    <n v="6.5142000000000004E-3"/>
  </r>
  <r>
    <n v="503"/>
    <s v="G28-44003"/>
    <x v="14"/>
    <x v="17"/>
    <s v="G I Sheet"/>
    <s v="1.1M x 3.4M "/>
    <n v="39"/>
    <s v="No"/>
    <m/>
    <n v="1386"/>
    <n v="5.4054000000000003E-3"/>
  </r>
  <r>
    <n v="504"/>
    <s v="G28-44003"/>
    <x v="14"/>
    <x v="17"/>
    <s v="G I Sheet"/>
    <s v="1.1M x 3.7M"/>
    <n v="42"/>
    <s v="No"/>
    <m/>
    <n v="1386"/>
    <n v="5.8212000000000003E-3"/>
  </r>
  <r>
    <n v="505"/>
    <s v="G28-44003"/>
    <x v="14"/>
    <x v="17"/>
    <s v="G I Sheet"/>
    <s v="1.1M x 4.0M "/>
    <n v="52"/>
    <s v="No"/>
    <m/>
    <n v="1386"/>
    <n v="7.2072000000000004E-3"/>
  </r>
  <r>
    <n v="506"/>
    <s v="G28-44003"/>
    <x v="14"/>
    <x v="17"/>
    <s v="G I Sheet"/>
    <s v="1.1M x 5.8M"/>
    <n v="50"/>
    <s v="No"/>
    <m/>
    <n v="1386"/>
    <n v="6.9300000000000004E-3"/>
  </r>
  <r>
    <n v="507"/>
    <s v="G79-36001"/>
    <x v="15"/>
    <x v="18"/>
    <s v="B-175 MAST"/>
    <s v="GI MAST"/>
    <n v="2"/>
    <s v="Nos"/>
    <s v="RUKMANI/MARUTI NANDAN"/>
    <n v="80500"/>
    <n v="6.8230994999999997E-3"/>
  </r>
  <r>
    <n v="508"/>
    <s v="G79-36001"/>
    <x v="15"/>
    <x v="18"/>
    <s v="OCT POLE"/>
    <s v="GI LIGHT POLE"/>
    <n v="5"/>
    <s v="Nos"/>
    <s v="UNEEFY"/>
    <n v="7850"/>
    <n v="3.9249999999999997E-3"/>
  </r>
  <r>
    <n v="509"/>
    <s v="G79-36001"/>
    <x v="15"/>
    <x v="18"/>
    <s v="DWARF MAST 4.75 MTR"/>
    <s v="GI MAST"/>
    <n v="2"/>
    <s v="Nos"/>
    <s v="RUKMANI/MARUTI NANDAN"/>
    <n v="79000"/>
    <n v="3.9037059999999998E-3"/>
  </r>
  <r>
    <n v="510"/>
    <s v="G79-36001"/>
    <x v="15"/>
    <x v="18"/>
    <s v="RI NO 361 MAST FOR CT"/>
    <s v="GI MAST"/>
    <n v="2"/>
    <s v="Nos"/>
    <s v="RUKMANI/MARUTI NANDAN"/>
    <n v="79000"/>
    <n v="1.2882530000000001E-3"/>
  </r>
  <r>
    <n v="511"/>
    <s v="G79-36001"/>
    <x v="15"/>
    <x v="18"/>
    <s v="RI NO 381  MAST FOR SP ISOLATOR"/>
    <s v="GI MAST"/>
    <n v="6"/>
    <s v="Nos"/>
    <s v="RUKMANI/MARUTI NANDAN"/>
    <n v="79000"/>
    <n v="4.1110019999999999E-3"/>
  </r>
  <r>
    <n v="512"/>
    <s v="G79-36001"/>
    <x v="15"/>
    <x v="18"/>
    <s v="RI NO 371-2 MAST FOR SUPPORT INSULATOR"/>
    <s v="GI MAST"/>
    <n v="35"/>
    <s v="Nos"/>
    <s v="RUKMANI/MARUTI NANDAN"/>
    <n v="79000"/>
    <n v="2.5501595000000002E-2"/>
  </r>
  <r>
    <n v="513"/>
    <s v="G79-36001"/>
    <x v="15"/>
    <x v="18"/>
    <s v="RI NO S-100 MAST FOR AT"/>
    <s v="GI MAST"/>
    <n v="3"/>
    <s v="Nos"/>
    <s v="RUKMANI/MARUTI NANDAN"/>
    <n v="79000"/>
    <n v="3.4000809999999997E-3"/>
  </r>
  <r>
    <n v="514"/>
    <s v="G79-36001"/>
    <x v="15"/>
    <x v="18"/>
    <s v="RI NO 331 MAST FOR 132 KV CT"/>
    <s v="GI MAST"/>
    <n v="4"/>
    <s v="Nos"/>
    <s v="RUKMANI/MARUTI NANDAN"/>
    <n v="79000"/>
    <n v="2.7229720000000002E-3"/>
  </r>
  <r>
    <n v="515"/>
    <s v="G79-36001"/>
    <x v="15"/>
    <x v="18"/>
    <s v="RI NO 341 MAST  FOR LA"/>
    <s v="GI MAST"/>
    <n v="11"/>
    <s v="Nos"/>
    <s v="RUKMANI/MARUTI NANDAN"/>
    <n v="79000"/>
    <n v="5.9622089999999996E-3"/>
  </r>
  <r>
    <n v="516"/>
    <s v="G79-36001"/>
    <x v="15"/>
    <x v="18"/>
    <s v="RI NO 441 MAST FOR 100 KVA , 25 KV AT"/>
    <s v="GI MAST"/>
    <n v="3"/>
    <s v="Nos"/>
    <s v="RUKMANI/MARUTI NANDAN"/>
    <n v="79000"/>
    <n v="2.1108009999999998E-3"/>
  </r>
  <r>
    <n v="517"/>
    <s v="G79-36001"/>
    <x v="15"/>
    <x v="19"/>
    <s v="11 KV DISC INSULATORS 280MM 70KN"/>
    <s v="HIGH VOLTAGE INSULATOR"/>
    <n v="280"/>
    <s v="Nos"/>
    <s v="ADITYA BIRLA GRASIM"/>
    <n v="640"/>
    <n v="1.7919999999999998E-2"/>
  </r>
  <r>
    <n v="518"/>
    <s v="G79-36001"/>
    <x v="15"/>
    <x v="20"/>
    <s v="28.62 MM ACSR ZEBRA CONDUCTOR"/>
    <s v="HIGH VOLTAGE INSULATOR OVERHEAD TRANSMISSION CABLE"/>
    <n v="60"/>
    <s v="Mtr"/>
    <s v="AJANMA INDUSTRIES LLP"/>
    <n v="330"/>
    <n v="1.98E-3"/>
  </r>
  <r>
    <n v="519"/>
    <s v="G79-36001"/>
    <x v="15"/>
    <x v="20"/>
    <s v="38.25 MM DIA AAC BULL CONDUCTOR"/>
    <s v="OVERHEAD POWER LINE CONDUCTOR"/>
    <n v="450"/>
    <s v="Mtr"/>
    <s v="AJANMA INDUSTRIES LLP"/>
    <n v="600"/>
    <n v="2.7E-2"/>
  </r>
  <r>
    <n v="520"/>
    <s v="G79-36001"/>
    <x v="15"/>
    <x v="21"/>
    <s v="19/2.5 MM GS STRANDED EARTH WIRE"/>
    <s v="HIGH TENSILE OVERHEAD EARTHING WIRE"/>
    <n v="200"/>
    <s v="Mtr"/>
    <s v="AJANMA INDUSTRIES LLP"/>
    <n v="191"/>
    <n v="3.82E-3"/>
  </r>
  <r>
    <n v="521"/>
    <s v="G79-36001"/>
    <x v="15"/>
    <x v="21"/>
    <s v="19/4 MM BEC GALVANIZED STEEL WIRE"/>
    <s v="BURIED EARTH CONDUCTOR"/>
    <n v="540"/>
    <s v="Mtr"/>
    <s v="AJANMA INDUSTRIES LLP"/>
    <n v="191"/>
    <n v="1.0314E-2"/>
  </r>
  <r>
    <n v="522"/>
    <s v="G79-36001"/>
    <x v="15"/>
    <x v="21"/>
    <s v="150 SQ MM COPPER CROSS FEEDER WIRE"/>
    <s v="COPPER CROSS FEEDER WIRE"/>
    <n v="350"/>
    <s v="Mtr"/>
    <s v="JK CABLE LTD &amp; KMG WIRE LTD"/>
    <n v="1207.49"/>
    <n v="4.2262149999999998E-2"/>
  </r>
  <r>
    <n v="523"/>
    <s v="G79-36001"/>
    <x v="15"/>
    <x v="21"/>
    <s v="160 SQ MM COPPER JUMPER WIRE"/>
    <s v="COPPER JUMPER WIRE"/>
    <n v="800"/>
    <s v="Mtr"/>
    <s v="JK CABLE LTD &amp; KMG WIRE LTD"/>
    <n v="1372.49"/>
    <n v="0.1097992"/>
  </r>
  <r>
    <n v="524"/>
    <s v="G79-36001"/>
    <x v="15"/>
    <x v="22"/>
    <s v="GI M 16X50 BOLT"/>
    <s v="16 DIAMETER  AND 50 MM LENGTH"/>
    <n v="8000"/>
    <s v="Nos"/>
    <s v="ROYAL BALAJI ENGINEERING LIMITED"/>
    <n v="16.02"/>
    <n v="1.2815999999999999E-2"/>
  </r>
  <r>
    <n v="525"/>
    <s v="G79-36001"/>
    <x v="15"/>
    <x v="12"/>
    <s v="2 C X 25 SQ MM PVC ALUMINIUM CABLE"/>
    <s v="LOW TENSION POWER CABLE"/>
    <n v="484"/>
    <s v="Mtr"/>
    <s v="AJANMA INDUSTRIES LLP AND CHANDRESH CABLE LTD"/>
    <n v="359.7"/>
    <n v="1.7409479999999998E-2"/>
  </r>
  <r>
    <n v="526"/>
    <s v="G79-36001"/>
    <x v="15"/>
    <x v="12"/>
    <s v="7 C X 2.5 SQ MM COPPER CABLE"/>
    <s v="LOW VOLTAGE UPTO 1100 V CONTROL CABLE"/>
    <n v="600"/>
    <s v="Mtr"/>
    <s v="AJANMA INDUSTRIES LLP AND CHANDRESH CABLE LTD"/>
    <n v="152.66"/>
    <n v="9.1596000000000004E-3"/>
  </r>
  <r>
    <n v="527"/>
    <s v="G79-36001"/>
    <x v="15"/>
    <x v="12"/>
    <s v="2 C X 4 SQ MM COPPER CABLE"/>
    <s v="LOW VOLTAGE UPTO 1100 V COOPER CABLE"/>
    <n v="2000"/>
    <s v="Mtr"/>
    <s v="AJANMA INDUSTRIES LLP AND CHANDRESH CABLE LTD"/>
    <n v="30.71"/>
    <n v="6.1419999999999999E-3"/>
  </r>
  <r>
    <n v="528"/>
    <s v="G79-36001"/>
    <x v="15"/>
    <x v="12"/>
    <s v="4 C X 16 SQ MM AL ARM CABLE"/>
    <s v="1100 V GRADE POWER CABLE"/>
    <n v="2500"/>
    <s v="Mtr"/>
    <s v="AJANMA INDUSTRIES LLP AND CHANDRESH CABLE LTD"/>
    <n v="87.22"/>
    <n v="2.1805000000000001E-2"/>
  </r>
  <r>
    <n v="529"/>
    <s v="G79-36001"/>
    <x v="15"/>
    <x v="12"/>
    <s v="2 C X 70 SQ MM PVC ALUMINIUM CABLE"/>
    <s v="1100 V LT POWER CABLE"/>
    <n v="175"/>
    <s v="Mtr"/>
    <s v="AJANMA INDUSTRIES LLP AND CHANDRESH CABLE LTD"/>
    <n v="157.91999999999999"/>
    <n v="2.7635999999999997E-3"/>
  </r>
  <r>
    <n v="530"/>
    <s v="G79-36001"/>
    <x v="15"/>
    <x v="12"/>
    <s v="MEC CONTROL CABLE 3CX4 COPPER"/>
    <s v="CONTROL AND POWER CABLE"/>
    <n v="450"/>
    <s v="Mtr"/>
    <s v="VIZTECH INDUSTRIAL SYSYTEMS"/>
    <n v="78"/>
    <n v="3.5100000000000001E-3"/>
  </r>
  <r>
    <n v="531"/>
    <s v="G79-36001"/>
    <x v="15"/>
    <x v="12"/>
    <s v="10 C X 2.5 SQ MM COPPER CABLE"/>
    <s v="1100 V GRADE COPPER CABLE"/>
    <n v="370"/>
    <s v="Mtr"/>
    <s v="AJANMA INDUSTRIES LLP AND CHANDRESH CABLE LTD"/>
    <n v="220.21"/>
    <n v="8.1477700000000004E-3"/>
  </r>
  <r>
    <n v="532"/>
    <s v="G79-36001"/>
    <x v="15"/>
    <x v="10"/>
    <s v="MCB DISTRIBUTION BOARD 100A "/>
    <s v="MCB DISTRIBUTION BOARD 100A "/>
    <n v="1"/>
    <s v="Nos"/>
    <s v="SPN CONTROLS"/>
    <n v="24100"/>
    <n v="2.4099999999999998E-3"/>
  </r>
  <r>
    <n v="533"/>
    <s v="G79-36001"/>
    <x v="15"/>
    <x v="10"/>
    <s v="MCB DISTRIBUTION BOARD 63A "/>
    <s v="MCB DISTRIBUTION BOARD 100A "/>
    <n v="5"/>
    <s v="Nos"/>
    <s v="SPN CONTROLS"/>
    <n v="15600"/>
    <n v="7.7999999999999996E-3"/>
  </r>
  <r>
    <n v="534"/>
    <s v="G79-36002"/>
    <x v="16"/>
    <x v="18"/>
    <s v="B-175 MAST"/>
    <s v="GI MAST"/>
    <n v="7"/>
    <s v="Nos"/>
    <s v="RUKMANI/MARUTI NANDAN"/>
    <n v="78800"/>
    <n v="2.3376532199999998E-2"/>
  </r>
  <r>
    <n v="535"/>
    <s v="G79-36002"/>
    <x v="16"/>
    <x v="18"/>
    <s v="B-150 MAST"/>
    <s v="GI MAST"/>
    <n v="4"/>
    <s v="Nos"/>
    <s v="RUKMANI/MARUTI NANDAN"/>
    <n v="78800"/>
    <n v="1.1699120800000001E-2"/>
  </r>
  <r>
    <n v="536"/>
    <s v="G79-36002"/>
    <x v="16"/>
    <x v="18"/>
    <s v="S8 MAST"/>
    <s v="GI MAST"/>
    <n v="1"/>
    <s v="Nos"/>
    <s v="RUKMANI/MARUTI NANDAN"/>
    <n v="79000"/>
    <n v="1.0925478800000001E-2"/>
  </r>
  <r>
    <n v="537"/>
    <s v="G79-36002"/>
    <x v="16"/>
    <x v="18"/>
    <s v="S7 MAST"/>
    <s v="GI MAST"/>
    <n v="2"/>
    <s v="Nos"/>
    <s v="RUKMANI/MARUTI NANDAN"/>
    <n v="81500"/>
    <n v="1.5441967999999999E-2"/>
  </r>
  <r>
    <n v="538"/>
    <s v="G79-36002"/>
    <x v="16"/>
    <x v="18"/>
    <s v="RI NO 381  MAST FOR SP ISOLATOR"/>
    <s v="GI MAST"/>
    <n v="2"/>
    <s v="Nos"/>
    <s v="RUKMANI/MARUTI NANDAN"/>
    <n v="79000"/>
    <n v="1.370334E-3"/>
  </r>
  <r>
    <n v="539"/>
    <s v="G79-36002"/>
    <x v="16"/>
    <x v="18"/>
    <s v="RI NO 371-3 MAST FOR SUPPORT INSULATOR"/>
    <s v="GI MAST"/>
    <n v="1"/>
    <s v="Nos"/>
    <s v="RUKMANI/MARUTI NANDAN"/>
    <n v="79000"/>
    <n v="7.2861699999999998E-4"/>
  </r>
  <r>
    <n v="540"/>
    <s v="G79-36002"/>
    <x v="16"/>
    <x v="18"/>
    <s v="RI NO S-113"/>
    <s v="GI MAST"/>
    <n v="8"/>
    <s v="Nos"/>
    <s v="RUKMANI/MARUTI NANDAN"/>
    <n v="79000"/>
    <n v="9.6227687999999988E-3"/>
  </r>
  <r>
    <n v="541"/>
    <s v="G79-36002"/>
    <x v="16"/>
    <x v="18"/>
    <s v="RI NO 331 MAST FOR 132 KV CT"/>
    <s v="GI MAST"/>
    <n v="2"/>
    <s v="Nos"/>
    <s v="RUKMANI/MARUTI NANDAN"/>
    <n v="79000"/>
    <n v="1.3614860000000001E-3"/>
  </r>
  <r>
    <n v="542"/>
    <s v="G79-36002"/>
    <x v="16"/>
    <x v="18"/>
    <s v="RI NO 341 S MAST  FOR LA"/>
    <s v="GI MAST"/>
    <n v="17"/>
    <s v="Nos"/>
    <s v="RUKMANI/MARUTI NANDAN"/>
    <n v="79000"/>
    <n v="9.2143229999999982E-3"/>
  </r>
  <r>
    <n v="543"/>
    <s v="G79-36002"/>
    <x v="16"/>
    <x v="18"/>
    <s v="RI NO 441 MAST FOR 100 KVA , 25 KV AT"/>
    <s v="GI MAST"/>
    <n v="20"/>
    <s v="Nos"/>
    <s v="RUKMANI/MARUTI NANDAN"/>
    <n v="79000"/>
    <n v="1.407184656E-2"/>
  </r>
  <r>
    <n v="544"/>
    <s v="G79-36002"/>
    <x v="16"/>
    <x v="19"/>
    <s v="11 KV DISC INSULATORS 280MM 70KN"/>
    <s v="11 KV DISC INSULATORS 280MM 70KN"/>
    <n v="464"/>
    <s v="Nos"/>
    <s v="Aditya birla insulators"/>
    <n v="640"/>
    <n v="2.9696E-2"/>
  </r>
  <r>
    <n v="545"/>
    <s v="G79-36002"/>
    <x v="16"/>
    <x v="12"/>
    <s v="4C X 16 Sqmm pvc AL cable"/>
    <s v="4C X 16 Sqmm pvc AL cable"/>
    <n v="604"/>
    <s v="Mtr"/>
    <s v="Chandresh cables limited"/>
    <n v="157"/>
    <n v="9.4827999999999996E-3"/>
  </r>
  <r>
    <n v="546"/>
    <s v="G79-36002"/>
    <x v="16"/>
    <x v="12"/>
    <s v="2C X 4 Sqmm pvc AL cable"/>
    <s v="2C X 4 Sqmm pvc AL cable"/>
    <n v="1200"/>
    <s v="Mtr"/>
    <s v="Chandresh cables limited"/>
    <n v="23.1"/>
    <n v="2.7720000000000002E-3"/>
  </r>
  <r>
    <n v="547"/>
    <s v="G79-36002"/>
    <x v="16"/>
    <x v="22"/>
    <s v="Gi Bolt M 20x65 mm,N.F/W,S/W"/>
    <s v="Gi Bolt M 20x65 mm,N.F/W,S/W"/>
    <n v="5000"/>
    <s v="Nos"/>
    <s v="Royal balaji engg pvt ltd"/>
    <n v="33"/>
    <n v="1.6500000000000001E-2"/>
  </r>
  <r>
    <n v="548"/>
    <s v="G79-36002"/>
    <x v="16"/>
    <x v="6"/>
    <s v="SOIL COMPACTOR"/>
    <s v="SOIL COMPACTOR"/>
    <n v="1"/>
    <s v="Nos"/>
    <s v="INOMATIC"/>
    <m/>
    <n v="0"/>
  </r>
  <r>
    <n v="549"/>
    <s v="G79-36002"/>
    <x v="16"/>
    <x v="22"/>
    <s v="M16X130 GI U BOLT"/>
    <s v="M16X130 GI U BOLT"/>
    <n v="299"/>
    <s v="Nos"/>
    <s v="Shree krishna ltd"/>
    <n v="23.51"/>
    <n v="7.0294900000000002E-4"/>
  </r>
  <r>
    <n v="550"/>
    <s v="G79-36002"/>
    <x v="16"/>
    <x v="12"/>
    <s v="PVC 4CX10 Sqmm al cable"/>
    <s v="PVC 4CX10 Sqmm al cable"/>
    <n v="200"/>
    <s v="Mtr"/>
    <s v="SPN CONTROL"/>
    <n v="131"/>
    <n v="2.6199999999999999E-3"/>
  </r>
  <r>
    <n v="551"/>
    <s v="G79-36002"/>
    <x v="16"/>
    <x v="6"/>
    <s v="32A Distribution box"/>
    <s v="32A Distribution box"/>
    <n v="4"/>
    <s v="Nos"/>
    <s v="SPN CONTROL"/>
    <m/>
    <n v="0"/>
  </r>
  <r>
    <n v="552"/>
    <s v="G79-36002"/>
    <x v="16"/>
    <x v="6"/>
    <s v="63A distribution box"/>
    <s v="63A distribution box"/>
    <n v="1"/>
    <s v="Nos"/>
    <s v="SPN CONTROL"/>
    <m/>
    <n v="0"/>
  </r>
  <r>
    <n v="553"/>
    <s v="G28-28001"/>
    <x v="17"/>
    <x v="6"/>
    <s v="Upright Sprinkler(K-115)"/>
    <s v="Sprinkler"/>
    <n v="495"/>
    <s v="Nos."/>
    <s v="TYCO"/>
    <n v="859.32"/>
    <n v="4.2536339999999999E-2"/>
  </r>
  <r>
    <n v="554"/>
    <s v="G28-28001"/>
    <x v="17"/>
    <x v="6"/>
    <s v="Pendent Sprinkler(K-80)"/>
    <s v="Sprinkler"/>
    <n v="190"/>
    <s v="Nos."/>
    <s v="TYCO"/>
    <n v="205"/>
    <n v="3.895E-3"/>
  </r>
  <r>
    <n v="555"/>
    <s v="G28-28001"/>
    <x v="17"/>
    <x v="6"/>
    <s v="SS Braided Flexible Hose Pipe(1500mm long)"/>
    <s v="Sprinkler"/>
    <n v="136"/>
    <s v="Nos."/>
    <s v="HD FIRE"/>
    <n v="910"/>
    <n v="1.2376E-2"/>
  </r>
  <r>
    <n v="556"/>
    <s v="G28-28001"/>
    <x v="17"/>
    <x v="9"/>
    <s v="Sluice Valve - 250NB"/>
    <s v="Valve"/>
    <n v="1"/>
    <s v="Nos."/>
    <s v="LEHRY"/>
    <n v="36313.800000000003"/>
    <n v="3.6313800000000005E-3"/>
  </r>
  <r>
    <n v="557"/>
    <s v="G28-28001"/>
    <x v="17"/>
    <x v="6"/>
    <s v="Y strainer - 200 NB"/>
    <s v="Valve"/>
    <n v="1"/>
    <s v="Nos."/>
    <s v="LEHRY"/>
    <n v="16973.25"/>
    <n v="1.697325E-3"/>
  </r>
  <r>
    <n v="558"/>
    <s v="G28-28001"/>
    <x v="17"/>
    <x v="9"/>
    <s v="Dual Plate Check Valve - 150 NB"/>
    <s v="Valve"/>
    <n v="3"/>
    <s v="Nos."/>
    <s v="LEHRY"/>
    <n v="5118"/>
    <n v="1.5353999999999999E-3"/>
  </r>
  <r>
    <n v="559"/>
    <s v="G28-28001"/>
    <x v="17"/>
    <x v="9"/>
    <s v="Dual Plate Check Valve - 50 NB"/>
    <s v="Valve"/>
    <n v="1"/>
    <s v="Nos."/>
    <s v="LEHRY"/>
    <n v="5118"/>
    <n v="5.1179999999999997E-4"/>
  </r>
  <r>
    <n v="560"/>
    <s v="G28-28001"/>
    <x v="17"/>
    <x v="9"/>
    <s v="Gear Operated Butterfly Valve - 200 NB"/>
    <s v="Valve"/>
    <n v="1"/>
    <s v="Nos."/>
    <s v="LEHRY"/>
    <n v="5243.2"/>
    <n v="5.2431999999999999E-4"/>
  </r>
  <r>
    <n v="561"/>
    <s v="G28-28001"/>
    <x v="17"/>
    <x v="9"/>
    <s v="Butterfly Valve - 200 NB"/>
    <s v="Valve"/>
    <n v="3"/>
    <s v="Nos."/>
    <s v="LEHRY"/>
    <n v="5243.2"/>
    <n v="1.5729599999999998E-3"/>
  </r>
  <r>
    <n v="562"/>
    <s v="G28-28001"/>
    <x v="17"/>
    <x v="9"/>
    <s v="Butterfly Valve - 150 NB"/>
    <s v="Valve"/>
    <n v="5"/>
    <s v="Nos."/>
    <s v="LEHRY"/>
    <n v="2778.2"/>
    <n v="1.3891000000000001E-3"/>
  </r>
  <r>
    <n v="563"/>
    <s v="G28-42008"/>
    <x v="18"/>
    <x v="0"/>
    <s v="MS PIPE"/>
    <s v="150MM"/>
    <n v="17"/>
    <n v="102"/>
    <s v="JINDAL"/>
    <n v="1356"/>
    <n v="2.3051999999999999E-3"/>
  </r>
  <r>
    <n v="564"/>
    <s v="G28-42008"/>
    <x v="18"/>
    <x v="0"/>
    <s v="MS PIPE"/>
    <s v="200mm"/>
    <n v="6"/>
    <n v="36"/>
    <s v="JINDAL"/>
    <n v="1697"/>
    <n v="1.0181999999999999E-3"/>
  </r>
  <r>
    <n v="565"/>
    <s v="G28-42008"/>
    <x v="18"/>
    <x v="0"/>
    <s v="MS PIPE"/>
    <s v="250mm"/>
    <n v="18"/>
    <n v="108"/>
    <s v="JINDAL"/>
    <n v="2382"/>
    <n v="4.2875999999999999E-3"/>
  </r>
  <r>
    <n v="566"/>
    <s v="G28-42008"/>
    <x v="18"/>
    <x v="0"/>
    <s v="MS PIPE"/>
    <s v="300mm"/>
    <n v="1"/>
    <n v="6"/>
    <s v="JINDAL"/>
    <n v="2541"/>
    <n v="2.541E-4"/>
  </r>
  <r>
    <n v="567"/>
    <s v="G28-42008"/>
    <x v="18"/>
    <x v="0"/>
    <s v="MS PIPE"/>
    <s v="400MM"/>
    <n v="3"/>
    <n v="18"/>
    <s v="JINDAL"/>
    <n v="4005"/>
    <n v="1.2015000000000001E-3"/>
  </r>
  <r>
    <n v="568"/>
    <s v="G28-42008"/>
    <x v="18"/>
    <x v="9"/>
    <s v="MS BUTTERFLY VALVE"/>
    <s v="100mm"/>
    <n v="4"/>
    <s v="NA"/>
    <s v="ADVANCE / PN16"/>
    <n v="2839"/>
    <n v="1.1356000000000001E-3"/>
  </r>
  <r>
    <n v="569"/>
    <s v="G28-42008"/>
    <x v="18"/>
    <x v="9"/>
    <s v="MS BUTTERFLY VALVE"/>
    <s v="150MM"/>
    <n v="1"/>
    <s v="NA"/>
    <s v="ADVANCE / PN16"/>
    <n v="4041"/>
    <n v="4.0410000000000001E-4"/>
  </r>
  <r>
    <n v="570"/>
    <s v="G28-42008"/>
    <x v="18"/>
    <x v="9"/>
    <s v="MS BUTTERFLY VALVE"/>
    <s v="200mm"/>
    <n v="4"/>
    <s v="NA"/>
    <s v="ADVANCE / PN16 "/>
    <n v="8926"/>
    <n v="3.5704E-3"/>
  </r>
  <r>
    <n v="571"/>
    <s v="G28-42008"/>
    <x v="18"/>
    <x v="9"/>
    <s v="MS BUTTERFLY VALVE"/>
    <s v="300mm"/>
    <n v="4"/>
    <s v="NA"/>
    <s v="ADVANCE / PN16 "/>
    <n v="20870"/>
    <n v="8.3479999999999995E-3"/>
  </r>
  <r>
    <n v="572"/>
    <s v="G28-42008"/>
    <x v="18"/>
    <x v="9"/>
    <s v="MS BUTTERFLY VALVE"/>
    <s v="450MM"/>
    <n v="4"/>
    <s v="NA"/>
    <s v="ADVANCE / PN16 "/>
    <n v="45933"/>
    <n v="1.8373199999999999E-2"/>
  </r>
  <r>
    <n v="573"/>
    <s v="G28-42008"/>
    <x v="18"/>
    <x v="6"/>
    <s v="PIPE SECTION"/>
    <s v="600MM"/>
    <n v="88"/>
    <n v="44"/>
    <s v="Q-CONTROL"/>
    <n v="2255"/>
    <n v="1.9844000000000001E-2"/>
  </r>
  <r>
    <n v="574"/>
    <s v="G28-42008"/>
    <x v="18"/>
    <x v="11"/>
    <s v="MS SLIP ON FLANGE"/>
    <s v="100mm"/>
    <n v="18"/>
    <s v="NA"/>
    <s v="MONTEX"/>
    <n v="760"/>
    <n v="1.3680000000000001E-3"/>
  </r>
  <r>
    <n v="575"/>
    <s v="G28-42008"/>
    <x v="18"/>
    <x v="11"/>
    <s v="MS SLIP ON FLANGE"/>
    <s v="200mm"/>
    <n v="4"/>
    <s v="NA"/>
    <s v="MONTEX"/>
    <n v="2375"/>
    <n v="9.5E-4"/>
  </r>
  <r>
    <n v="576"/>
    <s v="G28-42008"/>
    <x v="18"/>
    <x v="11"/>
    <s v="MS SLIP ON FLANGE"/>
    <s v="250mm"/>
    <n v="3"/>
    <s v="NA"/>
    <s v="MONTEX"/>
    <n v="3325"/>
    <n v="9.9749999999999991E-4"/>
  </r>
  <r>
    <n v="577"/>
    <s v="G28-42008"/>
    <x v="18"/>
    <x v="11"/>
    <s v="MS SLIP ON FLANGE"/>
    <s v="300mm"/>
    <n v="31"/>
    <s v="NA"/>
    <s v="MONTEX"/>
    <n v="3657"/>
    <n v="1.13367E-2"/>
  </r>
  <r>
    <n v="578"/>
    <s v="G28-42008"/>
    <x v="18"/>
    <x v="11"/>
    <s v="MS SLIP ON FLANGE"/>
    <s v="400MM"/>
    <n v="27"/>
    <s v="NA"/>
    <s v="MONTEX"/>
    <n v="5225"/>
    <n v="1.41075E-2"/>
  </r>
  <r>
    <n v="579"/>
    <s v="G28-42008"/>
    <x v="18"/>
    <x v="3"/>
    <s v="MS ELBOW 90*"/>
    <s v="150MM"/>
    <n v="1"/>
    <s v="NA"/>
    <s v="MONTEX"/>
    <n v="950"/>
    <n v="9.5000000000000005E-5"/>
  </r>
  <r>
    <n v="580"/>
    <s v="G28-42008"/>
    <x v="18"/>
    <x v="3"/>
    <s v="MS ELBOW 90*"/>
    <s v="200mm"/>
    <n v="2"/>
    <s v="NA"/>
    <s v="MONTEX"/>
    <n v="1492"/>
    <n v="2.9839999999999999E-4"/>
  </r>
  <r>
    <n v="581"/>
    <s v="G28-42008"/>
    <x v="18"/>
    <x v="3"/>
    <s v="MS ELBOW 90*"/>
    <s v="250mm"/>
    <n v="3"/>
    <s v="NA"/>
    <s v="MONTEX"/>
    <n v="2285"/>
    <n v="6.8550000000000002E-4"/>
  </r>
  <r>
    <n v="582"/>
    <s v="G28-42008"/>
    <x v="18"/>
    <x v="3"/>
    <s v="MS ELBOW 90*"/>
    <s v="300mm"/>
    <n v="48"/>
    <s v="NA"/>
    <s v="MONTEX"/>
    <n v="3658"/>
    <n v="1.7558399999999998E-2"/>
  </r>
  <r>
    <n v="583"/>
    <s v="G28-42008"/>
    <x v="18"/>
    <x v="3"/>
    <s v="MS ELBOW 90*"/>
    <s v="400MM"/>
    <n v="11"/>
    <s v="NA"/>
    <s v="MONTEX"/>
    <n v="6650"/>
    <n v="7.3150000000000003E-3"/>
  </r>
  <r>
    <n v="584"/>
    <s v="G28-42008"/>
    <x v="18"/>
    <x v="3"/>
    <s v="MS ELBOW 90*"/>
    <s v="600MM"/>
    <n v="17"/>
    <s v="NA"/>
    <s v="MONTEX"/>
    <n v="19000"/>
    <n v="3.2300000000000002E-2"/>
  </r>
  <r>
    <n v="585"/>
    <s v="G28-42008"/>
    <x v="18"/>
    <x v="6"/>
    <s v="MS Y STRAINER"/>
    <s v="150MM"/>
    <n v="6"/>
    <s v="NA"/>
    <s v="DS Engg / PN16"/>
    <n v="15704"/>
    <n v="9.4223999999999992E-3"/>
  </r>
  <r>
    <n v="586"/>
    <s v="G28-42008"/>
    <x v="18"/>
    <x v="6"/>
    <s v="MS Y STRAINER"/>
    <s v="200mm"/>
    <n v="3"/>
    <s v="NA"/>
    <s v="DS Engg / PN16"/>
    <n v="27525"/>
    <n v="8.2574999999999992E-3"/>
  </r>
  <r>
    <n v="587"/>
    <s v="G20-36003"/>
    <x v="19"/>
    <x v="20"/>
    <s v="AAC Bull Conductor"/>
    <n v="5"/>
    <s v="Drum"/>
    <m/>
    <m/>
    <n v="670"/>
    <n v="3.3500000000000001E-4"/>
  </r>
  <r>
    <n v="588"/>
    <s v="G20-36003"/>
    <x v="19"/>
    <x v="20"/>
    <s v="ASCR Bersimis Conductor"/>
    <n v="4"/>
    <s v="Drum"/>
    <m/>
    <m/>
    <n v="556.62"/>
    <n v="2.2264800000000001E-4"/>
  </r>
  <r>
    <n v="589"/>
    <s v="G20-36003"/>
    <x v="19"/>
    <x v="6"/>
    <s v="Clamp and connectors"/>
    <n v="1"/>
    <s v="LOT"/>
    <m/>
    <m/>
    <n v="9491.89"/>
    <n v="9.4918899999999991E-4"/>
  </r>
  <r>
    <n v="590"/>
    <s v="G20-36003"/>
    <x v="19"/>
    <x v="0"/>
    <s v="HDPE Pipe"/>
    <n v="1.5"/>
    <s v="KM"/>
    <m/>
    <m/>
    <n v="105"/>
    <n v="1.575E-5"/>
  </r>
  <r>
    <n v="591"/>
    <s v="G20-36003"/>
    <x v="19"/>
    <x v="19"/>
    <s v="33kV Insulator"/>
    <n v="80"/>
    <s v="Nos"/>
    <m/>
    <m/>
    <n v="1850"/>
    <n v="1.4800000000000001E-2"/>
  </r>
  <r>
    <n v="592"/>
    <s v="G20-36003"/>
    <x v="19"/>
    <x v="23"/>
    <s v="Reinforcement Steel &quot;16mm&quot; dia"/>
    <n v="4.5"/>
    <s v="TON"/>
    <m/>
    <m/>
    <n v="53.6"/>
    <n v="2.4120000000000003E-5"/>
  </r>
  <r>
    <n v="593"/>
    <s v="G20-36003"/>
    <x v="19"/>
    <x v="23"/>
    <s v="Reinforcement Steel &quot;20mm&quot; dia"/>
    <n v="24"/>
    <s v="TON"/>
    <m/>
    <m/>
    <n v="53.6"/>
    <n v="1.2864000000000002E-4"/>
  </r>
  <r>
    <n v="594"/>
    <s v="G20-36003"/>
    <x v="19"/>
    <x v="23"/>
    <s v="Reinforcement Steel &quot;25mm&quot; dia"/>
    <n v="2"/>
    <s v="TON"/>
    <m/>
    <m/>
    <n v="53.6"/>
    <n v="1.0720000000000001E-5"/>
  </r>
  <r>
    <n v="595"/>
    <s v="G20-36003"/>
    <x v="19"/>
    <x v="6"/>
    <s v="Rail pole 52kg/m"/>
    <n v="5.2330000000000005"/>
    <s v="TON"/>
    <m/>
    <m/>
    <m/>
    <n v="0"/>
  </r>
  <r>
    <n v="596"/>
    <s v="G20-36003"/>
    <x v="19"/>
    <x v="6"/>
    <s v="Old rRail pole 52kg/m"/>
    <n v="31.315000000000001"/>
    <s v="TON"/>
    <m/>
    <m/>
    <m/>
    <n v="0"/>
  </r>
  <r>
    <n v="597"/>
    <s v="G20-36003"/>
    <x v="19"/>
    <x v="6"/>
    <s v="Cube Mold"/>
    <n v="6"/>
    <s v="Set"/>
    <m/>
    <m/>
    <m/>
    <n v="0"/>
  </r>
  <r>
    <n v="598"/>
    <s v="G20-36003"/>
    <x v="19"/>
    <x v="6"/>
    <s v="WELDING MACHINE ARC 400A"/>
    <n v="6"/>
    <s v="Nos"/>
    <m/>
    <m/>
    <m/>
    <n v="0"/>
  </r>
  <r>
    <n v="599"/>
    <s v="G20-36003"/>
    <x v="19"/>
    <x v="6"/>
    <s v="ROPE 20 MM DIA(220 MTR BDL)."/>
    <n v="10"/>
    <s v="BDL"/>
    <m/>
    <m/>
    <m/>
    <n v="0"/>
  </r>
  <r>
    <n v="600"/>
    <s v="G20-36003"/>
    <x v="19"/>
    <x v="6"/>
    <s v="ROPE 22 MM"/>
    <n v="3"/>
    <s v="BDL"/>
    <m/>
    <m/>
    <m/>
    <n v="0"/>
  </r>
  <r>
    <n v="601"/>
    <s v="G20-36003"/>
    <x v="19"/>
    <x v="6"/>
    <s v="FALL ARRESTOR 30 Mtr"/>
    <n v="6"/>
    <s v="Nos"/>
    <m/>
    <m/>
    <m/>
    <n v="0"/>
  </r>
  <r>
    <n v="602"/>
    <s v="G20-36003"/>
    <x v="19"/>
    <x v="6"/>
    <s v="SAFETY BELT"/>
    <n v="5"/>
    <s v="Nos"/>
    <m/>
    <m/>
    <m/>
    <n v="0"/>
  </r>
  <r>
    <n v="603"/>
    <s v="G20-36003"/>
    <x v="19"/>
    <x v="6"/>
    <s v="D Shackle Cap.5 Ton"/>
    <n v="5"/>
    <s v="Nos"/>
    <m/>
    <m/>
    <m/>
    <n v="0"/>
  </r>
  <r>
    <n v="604"/>
    <s v="G20-36003"/>
    <x v="19"/>
    <x v="6"/>
    <s v="SINGLE SHEAVE PULLEY OPEN TYPE CAP 5 ΤΟΝ"/>
    <n v="6"/>
    <s v="Nos"/>
    <m/>
    <m/>
    <m/>
    <n v="0"/>
  </r>
  <r>
    <n v="605"/>
    <s v="G20-36003"/>
    <x v="19"/>
    <x v="6"/>
    <s v="SINGLE SHEAVE PULLEY CLOSE TYPE CAP 5TON"/>
    <n v="9"/>
    <s v="Nos"/>
    <m/>
    <m/>
    <m/>
    <n v="0"/>
  </r>
  <r>
    <n v="606"/>
    <s v="G20-36003"/>
    <x v="19"/>
    <x v="6"/>
    <s v="DOUBLE SHEAVE PULLEY CAP 5 TON."/>
    <n v="9"/>
    <s v="Nos"/>
    <m/>
    <m/>
    <m/>
    <n v="0"/>
  </r>
  <r>
    <n v="607"/>
    <s v="G20-36003"/>
    <x v="19"/>
    <x v="6"/>
    <s v="MS ROD BENDING MACHINE CAP. 40 MM"/>
    <n v="1"/>
    <s v="Nos"/>
    <m/>
    <m/>
    <m/>
    <n v="0"/>
  </r>
  <r>
    <n v="608"/>
    <s v="G20-36003"/>
    <x v="19"/>
    <x v="6"/>
    <s v="DIGITAL MULTIMETER (FLUKE MAKE - 101)"/>
    <m/>
    <s v="Nos"/>
    <m/>
    <m/>
    <m/>
    <n v="0"/>
  </r>
  <r>
    <n v="609"/>
    <s v="G20-36003"/>
    <x v="19"/>
    <x v="6"/>
    <s v="CRIMPING TOOL"/>
    <m/>
    <s v="Nos"/>
    <m/>
    <m/>
    <m/>
    <n v="0"/>
  </r>
  <r>
    <n v="610"/>
    <s v="G20-36003"/>
    <x v="19"/>
    <x v="6"/>
    <s v="MAGNETIC DRILL MACHINE (RALLI WOLF)"/>
    <m/>
    <s v="Nos"/>
    <m/>
    <m/>
    <m/>
    <n v="0"/>
  </r>
  <r>
    <n v="611"/>
    <s v="G20-36003"/>
    <x v="19"/>
    <x v="6"/>
    <s v="Power Winch Machine Cap. 5 Ton"/>
    <m/>
    <s v="Nos"/>
    <m/>
    <m/>
    <m/>
    <n v="0"/>
  </r>
  <r>
    <n v="612"/>
    <s v="G20-36003"/>
    <x v="19"/>
    <x v="6"/>
    <s v="Canon MK300 Ferrule Printer"/>
    <n v="1"/>
    <s v="Nos"/>
    <m/>
    <m/>
    <m/>
    <n v="0"/>
  </r>
  <r>
    <n v="613"/>
    <s v="G20-36003"/>
    <x v="19"/>
    <x v="6"/>
    <s v="REBAR CUTTING MACHINE "/>
    <m/>
    <s v="Nos"/>
    <m/>
    <m/>
    <m/>
    <n v="0"/>
  </r>
  <r>
    <n v="614"/>
    <s v="G20-36003"/>
    <x v="19"/>
    <x v="6"/>
    <s v="BOSCH IMPACT WRENCH GDS 18V-1050 H"/>
    <n v="2"/>
    <s v="Nos"/>
    <m/>
    <m/>
    <m/>
    <n v="0"/>
  </r>
  <r>
    <n v="615"/>
    <s v="G20-36003"/>
    <x v="19"/>
    <x v="6"/>
    <s v=" MILWAUKEE IMPACT WRENCH M18 "/>
    <n v="6"/>
    <s v="Nos"/>
    <m/>
    <m/>
    <m/>
    <n v="0"/>
  </r>
  <r>
    <n v="616"/>
    <s v="G20-36003"/>
    <x v="19"/>
    <x v="6"/>
    <s v="RO Plant"/>
    <m/>
    <s v="Nos"/>
    <m/>
    <m/>
    <m/>
    <n v="0"/>
  </r>
  <r>
    <n v="617"/>
    <s v="G20-36003"/>
    <x v="19"/>
    <x v="6"/>
    <s v="Air Cooler 120L"/>
    <n v="20"/>
    <s v="Nos"/>
    <m/>
    <m/>
    <m/>
    <n v="0"/>
  </r>
  <r>
    <n v="618"/>
    <s v="G20-36003"/>
    <x v="19"/>
    <x v="6"/>
    <s v="Washing Machine"/>
    <n v="2"/>
    <s v="Nos"/>
    <m/>
    <m/>
    <m/>
    <n v="0"/>
  </r>
  <r>
    <n v="619"/>
    <s v="G20-36003"/>
    <x v="19"/>
    <x v="6"/>
    <s v="Refridgerator"/>
    <n v="2"/>
    <s v="Nos"/>
    <m/>
    <m/>
    <m/>
    <n v="0"/>
  </r>
  <r>
    <m/>
    <m/>
    <x v="20"/>
    <x v="24"/>
    <m/>
    <m/>
    <m/>
    <m/>
    <m/>
    <m/>
    <n v="5.0277030897600001"/>
  </r>
  <r>
    <m/>
    <m/>
    <x v="20"/>
    <x v="2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1BF0D-8048-4285-8420-B23B774EDBE0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C26" firstHeaderRow="1" firstDataRow="2" firstDataCol="1"/>
  <pivotFields count="12">
    <pivotField compact="0" outline="0" showAll="0" defaultSubtotal="0"/>
    <pivotField compact="0" outline="0" showAll="0" defaultSubtotal="0"/>
    <pivotField axis="axisRow" compact="0" outline="0" showAll="0" defaultSubtotal="0">
      <items count="21">
        <item x="1"/>
        <item x="3"/>
        <item x="17"/>
        <item x="4"/>
        <item x="11"/>
        <item x="10"/>
        <item x="6"/>
        <item x="14"/>
        <item x="12"/>
        <item x="5"/>
        <item x="9"/>
        <item x="0"/>
        <item x="8"/>
        <item x="7"/>
        <item x="13"/>
        <item x="15"/>
        <item x="16"/>
        <item x="2"/>
        <item x="20"/>
        <item x="18"/>
        <item x="19"/>
      </items>
    </pivotField>
    <pivotField axis="axisCol" compact="0" outline="0" showAll="0" defaultSubtotal="0">
      <items count="27">
        <item x="11"/>
        <item x="16"/>
        <item x="6"/>
        <item x="2"/>
        <item x="0"/>
        <item x="1"/>
        <item x="26"/>
        <item x="3"/>
        <item x="4"/>
        <item x="5"/>
        <item x="7"/>
        <item x="8"/>
        <item x="9"/>
        <item x="10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dataFields count="1">
    <dataField name="Sum of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CBE29-D1B0-4968-A01F-0BAA31F643B7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C26" firstHeaderRow="1" firstDataRow="2" firstDataCol="1"/>
  <pivotFields count="12">
    <pivotField showAll="0"/>
    <pivotField showAll="0"/>
    <pivotField axis="axisRow" showAll="0">
      <items count="22">
        <item x="1"/>
        <item x="3"/>
        <item x="17"/>
        <item x="4"/>
        <item x="19"/>
        <item x="11"/>
        <item x="10"/>
        <item x="6"/>
        <item x="14"/>
        <item x="12"/>
        <item x="5"/>
        <item x="18"/>
        <item x="9"/>
        <item x="0"/>
        <item x="8"/>
        <item x="7"/>
        <item x="13"/>
        <item x="15"/>
        <item x="16"/>
        <item x="2"/>
        <item x="20"/>
        <item t="default"/>
      </items>
    </pivotField>
    <pivotField axis="axisCol" showAll="0">
      <items count="28">
        <item x="11"/>
        <item x="16"/>
        <item x="6"/>
        <item x="2"/>
        <item x="0"/>
        <item x="1"/>
        <item x="26"/>
        <item x="3"/>
        <item x="4"/>
        <item x="5"/>
        <item x="7"/>
        <item x="8"/>
        <item x="9"/>
        <item x="10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dataFields count="1">
    <dataField name="Sum of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31635-56EB-4879-A43F-991F41190044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A26" firstHeaderRow="1" firstDataRow="2" firstDataCol="1"/>
  <pivotFields count="11">
    <pivotField showAll="0"/>
    <pivotField showAll="0"/>
    <pivotField axis="axisRow" showAll="0">
      <items count="22">
        <item x="14"/>
        <item x="1"/>
        <item x="3"/>
        <item x="18"/>
        <item x="4"/>
        <item x="17"/>
        <item x="10"/>
        <item x="6"/>
        <item x="13"/>
        <item x="11"/>
        <item x="5"/>
        <item x="19"/>
        <item x="9"/>
        <item x="0"/>
        <item x="8"/>
        <item x="7"/>
        <item x="12"/>
        <item x="15"/>
        <item x="16"/>
        <item x="2"/>
        <item x="20"/>
        <item t="default"/>
      </items>
    </pivotField>
    <pivotField axis="axisCol" showAll="0">
      <items count="26">
        <item x="12"/>
        <item x="13"/>
        <item x="20"/>
        <item x="4"/>
        <item x="3"/>
        <item x="22"/>
        <item x="11"/>
        <item x="8"/>
        <item x="14"/>
        <item x="19"/>
        <item x="15"/>
        <item x="18"/>
        <item x="10"/>
        <item x="6"/>
        <item x="2"/>
        <item x="0"/>
        <item x="23"/>
        <item x="17"/>
        <item x="7"/>
        <item x="5"/>
        <item x="9"/>
        <item x="1"/>
        <item x="16"/>
        <item x="21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Sum of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7636-6AD9-4B56-AE0D-C74B75641DF2}">
  <dimension ref="A3:AC26"/>
  <sheetViews>
    <sheetView topLeftCell="C15" workbookViewId="0">
      <selection activeCell="C16" sqref="C16"/>
    </sheetView>
  </sheetViews>
  <sheetFormatPr defaultRowHeight="14.5"/>
  <cols>
    <col min="1" max="1" width="38.1796875" bestFit="1" customWidth="1"/>
    <col min="2" max="28" width="17.90625" bestFit="1" customWidth="1"/>
    <col min="29" max="29" width="11.81640625" bestFit="1" customWidth="1"/>
  </cols>
  <sheetData>
    <row r="3" spans="1:29">
      <c r="A3" s="43" t="s">
        <v>903</v>
      </c>
      <c r="B3" s="43" t="s">
        <v>894</v>
      </c>
    </row>
    <row r="4" spans="1:29">
      <c r="A4" s="43" t="s">
        <v>2</v>
      </c>
      <c r="B4" t="s">
        <v>899</v>
      </c>
      <c r="C4" t="s">
        <v>900</v>
      </c>
      <c r="D4" t="s">
        <v>897</v>
      </c>
      <c r="E4" t="s">
        <v>896</v>
      </c>
      <c r="F4" t="s">
        <v>895</v>
      </c>
      <c r="G4" t="s">
        <v>862</v>
      </c>
      <c r="H4" t="s">
        <v>901</v>
      </c>
      <c r="I4" t="s">
        <v>721</v>
      </c>
      <c r="J4" t="s">
        <v>977</v>
      </c>
      <c r="K4" t="s">
        <v>716</v>
      </c>
      <c r="L4" t="s">
        <v>978</v>
      </c>
      <c r="M4" t="s">
        <v>979</v>
      </c>
      <c r="N4" t="s">
        <v>717</v>
      </c>
      <c r="O4" t="s">
        <v>288</v>
      </c>
      <c r="P4" t="s">
        <v>980</v>
      </c>
      <c r="Q4" t="s">
        <v>981</v>
      </c>
      <c r="R4" t="s">
        <v>982</v>
      </c>
      <c r="S4" t="s">
        <v>983</v>
      </c>
      <c r="T4" t="s">
        <v>984</v>
      </c>
      <c r="U4" t="s">
        <v>985</v>
      </c>
      <c r="V4" t="s">
        <v>986</v>
      </c>
      <c r="W4" t="s">
        <v>987</v>
      </c>
      <c r="X4" t="s">
        <v>988</v>
      </c>
      <c r="Y4" t="s">
        <v>989</v>
      </c>
      <c r="Z4" t="s">
        <v>990</v>
      </c>
      <c r="AA4" t="s">
        <v>991</v>
      </c>
      <c r="AB4" t="s">
        <v>992</v>
      </c>
      <c r="AC4" t="s">
        <v>902</v>
      </c>
    </row>
    <row r="5" spans="1:29">
      <c r="A5" t="s">
        <v>18</v>
      </c>
      <c r="E5">
        <v>3.0835000000000001E-2</v>
      </c>
      <c r="G5">
        <v>0.31715599999999999</v>
      </c>
      <c r="AC5">
        <v>0.34799099999999999</v>
      </c>
    </row>
    <row r="6" spans="1:29">
      <c r="A6" t="s">
        <v>211</v>
      </c>
      <c r="D6">
        <v>4.1416500000000002E-3</v>
      </c>
      <c r="G6">
        <v>1.2852499999999999E-2</v>
      </c>
      <c r="AC6">
        <v>1.699415E-2</v>
      </c>
    </row>
    <row r="7" spans="1:29">
      <c r="A7" t="s">
        <v>893</v>
      </c>
      <c r="D7">
        <v>3.7523899999999999E-2</v>
      </c>
      <c r="F7">
        <v>9.0665999999999993E-3</v>
      </c>
      <c r="G7">
        <v>3.18313E-2</v>
      </c>
      <c r="I7">
        <v>5.82523E-2</v>
      </c>
      <c r="M7">
        <v>2.8759699999999999E-2</v>
      </c>
      <c r="AC7">
        <v>0.16543379999999999</v>
      </c>
    </row>
    <row r="8" spans="1:29">
      <c r="A8" t="s">
        <v>254</v>
      </c>
      <c r="D8">
        <v>9.7644999999999989E-3</v>
      </c>
      <c r="F8">
        <v>1.08249E-2</v>
      </c>
      <c r="G8">
        <v>4.8912400000000002E-2</v>
      </c>
      <c r="AC8">
        <v>6.9501800000000002E-2</v>
      </c>
    </row>
    <row r="9" spans="1:29">
      <c r="A9" t="s">
        <v>564</v>
      </c>
      <c r="B9">
        <v>5.3521100000000002E-2</v>
      </c>
      <c r="D9">
        <v>2.8482499999999997E-2</v>
      </c>
      <c r="F9">
        <v>6.687499999999999E-2</v>
      </c>
      <c r="G9">
        <v>1.1870480000000001E-2</v>
      </c>
      <c r="Q9">
        <v>4.7185550000000001E-3</v>
      </c>
      <c r="R9">
        <v>1.2192874999999999E-2</v>
      </c>
      <c r="S9">
        <v>9.2279399999999987E-3</v>
      </c>
      <c r="AC9">
        <v>0.18688844999999996</v>
      </c>
    </row>
    <row r="10" spans="1:29">
      <c r="A10" t="s">
        <v>439</v>
      </c>
      <c r="B10">
        <v>3.5568925000000001E-2</v>
      </c>
      <c r="D10">
        <v>8.0034999999999995E-2</v>
      </c>
      <c r="F10">
        <v>2.9899200000000001E-2</v>
      </c>
      <c r="AC10">
        <v>0.14550312500000001</v>
      </c>
    </row>
    <row r="11" spans="1:29">
      <c r="A11" t="s">
        <v>340</v>
      </c>
      <c r="D11">
        <v>1.2356500000000001E-2</v>
      </c>
      <c r="G11">
        <v>8.6551000000000006E-3</v>
      </c>
      <c r="AC11">
        <v>2.1011600000000002E-2</v>
      </c>
    </row>
    <row r="12" spans="1:29">
      <c r="A12" t="s">
        <v>758</v>
      </c>
      <c r="B12">
        <v>0.1280097</v>
      </c>
      <c r="C12">
        <v>3.0518499999999997E-2</v>
      </c>
      <c r="D12">
        <v>0.216529995</v>
      </c>
      <c r="F12">
        <v>7.6923720000000001E-2</v>
      </c>
      <c r="I12">
        <v>6.4150000000000003E-4</v>
      </c>
      <c r="K12">
        <v>0.10100164199999999</v>
      </c>
      <c r="N12">
        <v>3.0767190000000003E-3</v>
      </c>
      <c r="O12">
        <v>0</v>
      </c>
      <c r="P12">
        <v>3.7100000000000002E-3</v>
      </c>
      <c r="R12">
        <v>7.1520975999999998E-3</v>
      </c>
      <c r="S12">
        <v>3.3999999999999998E-3</v>
      </c>
      <c r="T12">
        <v>1.8816975000000003E-3</v>
      </c>
      <c r="AC12">
        <v>0.57284557110000001</v>
      </c>
    </row>
    <row r="13" spans="1:29">
      <c r="A13" t="s">
        <v>590</v>
      </c>
      <c r="B13">
        <v>4.9405611999999995E-2</v>
      </c>
      <c r="D13">
        <v>7.3499040000000002E-2</v>
      </c>
      <c r="F13">
        <v>9.4013399999999997E-2</v>
      </c>
      <c r="AC13">
        <v>0.216918052</v>
      </c>
    </row>
    <row r="14" spans="1:29">
      <c r="A14" t="s">
        <v>323</v>
      </c>
      <c r="D14">
        <v>0.17669775700000001</v>
      </c>
      <c r="O14">
        <v>5.0492999999999996E-3</v>
      </c>
      <c r="AC14">
        <v>0.18174705700000002</v>
      </c>
    </row>
    <row r="15" spans="1:29">
      <c r="A15" t="s">
        <v>421</v>
      </c>
      <c r="G15">
        <v>7.2099999999999997E-2</v>
      </c>
      <c r="AC15">
        <v>7.2099999999999997E-2</v>
      </c>
    </row>
    <row r="16" spans="1:29">
      <c r="A16" t="s">
        <v>11</v>
      </c>
      <c r="F16">
        <v>8.2799999999999999E-2</v>
      </c>
      <c r="AC16">
        <v>8.2799999999999999E-2</v>
      </c>
    </row>
    <row r="17" spans="1:29">
      <c r="A17" t="s">
        <v>417</v>
      </c>
      <c r="D17">
        <v>3.4265760000000002E-3</v>
      </c>
      <c r="F17">
        <v>5.3518739999999995E-3</v>
      </c>
      <c r="AC17">
        <v>8.7784500000000001E-3</v>
      </c>
    </row>
    <row r="18" spans="1:29">
      <c r="A18" t="s">
        <v>408</v>
      </c>
      <c r="B18">
        <v>4.5661085000000004E-2</v>
      </c>
      <c r="D18">
        <v>3.5213833999999992E-2</v>
      </c>
      <c r="F18">
        <v>2.3772351000000004E-2</v>
      </c>
      <c r="G18">
        <v>8.3394699999999992E-4</v>
      </c>
      <c r="I18">
        <v>3.1915600000000002E-4</v>
      </c>
      <c r="J18">
        <v>1.6637520000000001E-3</v>
      </c>
      <c r="L18">
        <v>3.8509999999999998E-3</v>
      </c>
      <c r="M18">
        <v>1.0593800000000001E-4</v>
      </c>
      <c r="P18">
        <v>3.3868740000000001E-2</v>
      </c>
      <c r="AC18">
        <v>0.145289803</v>
      </c>
    </row>
    <row r="19" spans="1:29">
      <c r="A19" t="s">
        <v>621</v>
      </c>
      <c r="B19">
        <v>0.46576364900000011</v>
      </c>
      <c r="C19">
        <v>0.132629</v>
      </c>
      <c r="AC19">
        <v>0.59839264900000011</v>
      </c>
    </row>
    <row r="20" spans="1:29">
      <c r="A20" t="s">
        <v>829</v>
      </c>
      <c r="B20">
        <v>6.8937449999999997E-2</v>
      </c>
      <c r="D20">
        <v>3.9249999999999997E-3</v>
      </c>
      <c r="O20">
        <v>1.021E-2</v>
      </c>
      <c r="U20">
        <v>0.53750000000000009</v>
      </c>
      <c r="V20">
        <v>0.30771999999999999</v>
      </c>
      <c r="W20">
        <v>0.16619534999999999</v>
      </c>
      <c r="X20">
        <v>1.2815999999999999E-2</v>
      </c>
      <c r="AC20">
        <v>1.1073037999999999</v>
      </c>
    </row>
    <row r="21" spans="1:29">
      <c r="A21" t="s">
        <v>852</v>
      </c>
      <c r="B21">
        <v>1.21028E-2</v>
      </c>
      <c r="D21">
        <v>0</v>
      </c>
      <c r="U21">
        <v>9.7812475159999995E-2</v>
      </c>
      <c r="X21">
        <v>1.9974949000000002E-2</v>
      </c>
      <c r="Y21">
        <v>2.9696E-2</v>
      </c>
      <c r="Z21">
        <v>0</v>
      </c>
      <c r="AC21">
        <v>0.15958622415999998</v>
      </c>
    </row>
    <row r="22" spans="1:29">
      <c r="A22" t="s">
        <v>39</v>
      </c>
      <c r="D22">
        <v>0.144950462</v>
      </c>
      <c r="F22">
        <v>6.6656340000000008E-2</v>
      </c>
      <c r="I22">
        <v>0.12796195099999999</v>
      </c>
      <c r="J22">
        <v>0.68848211800000003</v>
      </c>
      <c r="K22">
        <v>7.1473090000000017E-2</v>
      </c>
      <c r="L22">
        <v>0.16350954600000001</v>
      </c>
      <c r="M22">
        <v>6.1237395999999999E-2</v>
      </c>
      <c r="N22">
        <v>7.0633950000000001E-3</v>
      </c>
      <c r="AC22">
        <v>1.331334298</v>
      </c>
    </row>
    <row r="23" spans="1:29">
      <c r="A23" t="s">
        <v>901</v>
      </c>
      <c r="H23">
        <v>5.5165755212599974</v>
      </c>
      <c r="AC23">
        <v>5.5165755212599974</v>
      </c>
    </row>
    <row r="24" spans="1:29">
      <c r="A24" t="s">
        <v>947</v>
      </c>
      <c r="D24">
        <v>9.4918899999999991E-4</v>
      </c>
      <c r="F24">
        <v>1.575E-5</v>
      </c>
      <c r="V24">
        <v>5.57648E-4</v>
      </c>
      <c r="Y24">
        <v>1.4800000000000001E-2</v>
      </c>
      <c r="AA24">
        <v>1.6348000000000003E-4</v>
      </c>
      <c r="AB24">
        <v>0</v>
      </c>
      <c r="AC24">
        <v>1.6486067E-2</v>
      </c>
    </row>
    <row r="25" spans="1:29">
      <c r="A25" t="s">
        <v>871</v>
      </c>
      <c r="D25">
        <v>6.4136045000000003E-2</v>
      </c>
      <c r="G25">
        <v>5.5335799999999997E-3</v>
      </c>
      <c r="AC25">
        <v>6.9669624999999999E-2</v>
      </c>
    </row>
    <row r="26" spans="1:29">
      <c r="A26" t="s">
        <v>902</v>
      </c>
      <c r="B26">
        <v>0.85897032100000004</v>
      </c>
      <c r="C26">
        <v>0.1631475</v>
      </c>
      <c r="D26">
        <v>0.89163194799999979</v>
      </c>
      <c r="E26">
        <v>3.0835000000000001E-2</v>
      </c>
      <c r="F26">
        <v>0.46619913499999999</v>
      </c>
      <c r="G26">
        <v>0.50974530700000009</v>
      </c>
      <c r="H26">
        <v>5.5165755212599974</v>
      </c>
      <c r="I26">
        <v>0.187174907</v>
      </c>
      <c r="J26">
        <v>0.69014587000000005</v>
      </c>
      <c r="K26">
        <v>0.17247473200000002</v>
      </c>
      <c r="L26">
        <v>0.167360546</v>
      </c>
      <c r="M26">
        <v>9.0103033999999999E-2</v>
      </c>
      <c r="N26">
        <v>1.0140114E-2</v>
      </c>
      <c r="O26">
        <v>1.52593E-2</v>
      </c>
      <c r="P26">
        <v>3.7578739999999999E-2</v>
      </c>
      <c r="Q26">
        <v>4.7185550000000001E-3</v>
      </c>
      <c r="R26">
        <v>1.93449726E-2</v>
      </c>
      <c r="S26">
        <v>1.2627939999999999E-2</v>
      </c>
      <c r="T26">
        <v>1.8816975000000003E-3</v>
      </c>
      <c r="U26">
        <v>0.63531247516000011</v>
      </c>
      <c r="V26">
        <v>0.30827764800000002</v>
      </c>
      <c r="W26">
        <v>0.16619534999999999</v>
      </c>
      <c r="X26">
        <v>3.2790949E-2</v>
      </c>
      <c r="Y26">
        <v>4.4496000000000001E-2</v>
      </c>
      <c r="Z26">
        <v>0</v>
      </c>
      <c r="AA26">
        <v>1.6348000000000003E-4</v>
      </c>
      <c r="AB26">
        <v>0</v>
      </c>
      <c r="AC26">
        <v>11.033151042519998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FBE0-D74C-4598-8A19-FF80BFFB101B}">
  <dimension ref="A1:V45"/>
  <sheetViews>
    <sheetView topLeftCell="A33" workbookViewId="0">
      <selection activeCell="F50" sqref="F50"/>
    </sheetView>
  </sheetViews>
  <sheetFormatPr defaultRowHeight="14.5"/>
  <cols>
    <col min="1" max="1" width="10.7265625" bestFit="1" customWidth="1"/>
    <col min="2" max="2" width="38.1796875" bestFit="1" customWidth="1"/>
    <col min="3" max="3" width="14.6328125" bestFit="1" customWidth="1"/>
    <col min="4" max="4" width="7.26953125" customWidth="1"/>
    <col min="5" max="5" width="29.81640625" bestFit="1" customWidth="1"/>
    <col min="6" max="6" width="11.90625" bestFit="1" customWidth="1"/>
    <col min="7" max="7" width="10.36328125" bestFit="1" customWidth="1"/>
    <col min="8" max="8" width="11.90625" bestFit="1" customWidth="1"/>
    <col min="9" max="9" width="10.36328125" bestFit="1" customWidth="1"/>
    <col min="10" max="10" width="11.90625" bestFit="1" customWidth="1"/>
    <col min="11" max="11" width="10.90625" bestFit="1" customWidth="1"/>
    <col min="12" max="12" width="14.453125" bestFit="1" customWidth="1"/>
    <col min="13" max="13" width="9.81640625" customWidth="1"/>
    <col min="16" max="16" width="30.36328125" bestFit="1" customWidth="1"/>
    <col min="17" max="22" width="13.453125" bestFit="1" customWidth="1"/>
  </cols>
  <sheetData>
    <row r="1" spans="1:13">
      <c r="A1" s="90" t="s">
        <v>964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>
      <c r="A2" s="89" t="s">
        <v>963</v>
      </c>
      <c r="B2" s="89"/>
      <c r="C2" s="89"/>
      <c r="D2" s="89"/>
      <c r="E2" s="89"/>
      <c r="F2" s="89" t="s">
        <v>962</v>
      </c>
      <c r="G2" s="89"/>
      <c r="H2" s="89"/>
      <c r="I2" s="89"/>
      <c r="J2" s="89"/>
      <c r="K2" s="89"/>
      <c r="L2" s="51"/>
      <c r="M2" s="51"/>
    </row>
    <row r="3" spans="1:13" ht="43.5">
      <c r="A3" s="44" t="s">
        <v>904</v>
      </c>
      <c r="B3" s="44" t="s">
        <v>2</v>
      </c>
      <c r="C3" s="44" t="s">
        <v>948</v>
      </c>
      <c r="D3" s="44" t="s">
        <v>905</v>
      </c>
      <c r="E3" s="44" t="s">
        <v>906</v>
      </c>
      <c r="F3" s="44" t="s">
        <v>899</v>
      </c>
      <c r="G3" s="44" t="s">
        <v>900</v>
      </c>
      <c r="H3" s="44" t="s">
        <v>897</v>
      </c>
      <c r="I3" s="44" t="s">
        <v>896</v>
      </c>
      <c r="J3" s="44" t="s">
        <v>895</v>
      </c>
      <c r="K3" s="44" t="s">
        <v>862</v>
      </c>
      <c r="L3" s="44" t="s">
        <v>902</v>
      </c>
      <c r="M3" s="68" t="s">
        <v>976</v>
      </c>
    </row>
    <row r="4" spans="1:13">
      <c r="A4" s="10" t="s">
        <v>950</v>
      </c>
      <c r="B4" s="10" t="s">
        <v>18</v>
      </c>
      <c r="C4" s="12">
        <v>80.020537508999993</v>
      </c>
      <c r="D4" s="47">
        <v>0.57012690328240878</v>
      </c>
      <c r="E4" s="10" t="s">
        <v>949</v>
      </c>
      <c r="F4" s="12"/>
      <c r="G4" s="12"/>
      <c r="H4" s="12"/>
      <c r="I4" s="12">
        <v>3.0835000000000001E-2</v>
      </c>
      <c r="J4" s="12"/>
      <c r="K4" s="12">
        <v>0.31715599999999999</v>
      </c>
      <c r="L4" s="12">
        <v>0.34799099999999999</v>
      </c>
      <c r="M4" s="50">
        <f>L4/C4</f>
        <v>4.3487710884329046E-3</v>
      </c>
    </row>
    <row r="5" spans="1:13">
      <c r="A5" s="10" t="s">
        <v>950</v>
      </c>
      <c r="B5" s="10" t="s">
        <v>211</v>
      </c>
      <c r="C5" s="12">
        <v>18.179332232</v>
      </c>
      <c r="D5" s="48">
        <v>1</v>
      </c>
      <c r="E5" s="10" t="s">
        <v>949</v>
      </c>
      <c r="F5" s="12"/>
      <c r="G5" s="12"/>
      <c r="H5" s="12">
        <v>4.1416500000000002E-3</v>
      </c>
      <c r="I5" s="12"/>
      <c r="J5" s="12"/>
      <c r="K5" s="12">
        <v>1.2852499999999999E-2</v>
      </c>
      <c r="L5" s="12">
        <v>1.699415E-2</v>
      </c>
      <c r="M5" s="50">
        <f t="shared" ref="M5:M30" si="0">L5/C5</f>
        <v>9.3480606345299117E-4</v>
      </c>
    </row>
    <row r="6" spans="1:13">
      <c r="A6" s="10" t="s">
        <v>951</v>
      </c>
      <c r="B6" s="10" t="s">
        <v>893</v>
      </c>
      <c r="C6" s="10">
        <v>101.73</v>
      </c>
      <c r="D6" s="48">
        <v>0.91</v>
      </c>
      <c r="E6" s="10" t="s">
        <v>949</v>
      </c>
      <c r="F6" s="12"/>
      <c r="G6" s="12"/>
      <c r="H6" s="12">
        <v>0.1245359</v>
      </c>
      <c r="I6" s="12"/>
      <c r="J6" s="12">
        <v>9.0665999999999993E-3</v>
      </c>
      <c r="K6" s="12">
        <v>3.18313E-2</v>
      </c>
      <c r="L6" s="12">
        <v>0.16543380000000002</v>
      </c>
      <c r="M6" s="50">
        <f t="shared" si="0"/>
        <v>1.6262046593925098E-3</v>
      </c>
    </row>
    <row r="7" spans="1:13">
      <c r="A7" s="10" t="s">
        <v>950</v>
      </c>
      <c r="B7" s="10" t="s">
        <v>254</v>
      </c>
      <c r="C7" s="12">
        <v>33.072287428000003</v>
      </c>
      <c r="D7" s="48">
        <v>0.78</v>
      </c>
      <c r="E7" s="10" t="s">
        <v>949</v>
      </c>
      <c r="F7" s="12"/>
      <c r="G7" s="12"/>
      <c r="H7" s="12">
        <v>9.7644999999999989E-3</v>
      </c>
      <c r="I7" s="12"/>
      <c r="J7" s="12">
        <v>1.08249E-2</v>
      </c>
      <c r="K7" s="12">
        <v>4.8912400000000002E-2</v>
      </c>
      <c r="L7" s="12">
        <v>6.9501800000000002E-2</v>
      </c>
      <c r="M7" s="50">
        <f t="shared" si="0"/>
        <v>2.1015117309714014E-3</v>
      </c>
    </row>
    <row r="8" spans="1:13">
      <c r="A8" s="10" t="s">
        <v>950</v>
      </c>
      <c r="B8" s="10" t="s">
        <v>564</v>
      </c>
      <c r="C8" s="10">
        <v>82.81</v>
      </c>
      <c r="D8" s="48">
        <v>0.83</v>
      </c>
      <c r="E8" s="10" t="s">
        <v>949</v>
      </c>
      <c r="F8" s="12">
        <v>5.3521100000000002E-2</v>
      </c>
      <c r="G8" s="12"/>
      <c r="H8" s="12">
        <v>5.4621870000000003E-2</v>
      </c>
      <c r="I8" s="12"/>
      <c r="J8" s="12">
        <v>6.687499999999999E-2</v>
      </c>
      <c r="K8" s="12">
        <v>1.1870480000000001E-2</v>
      </c>
      <c r="L8" s="12">
        <v>0.18688844999999998</v>
      </c>
      <c r="M8" s="50">
        <f t="shared" si="0"/>
        <v>2.256834319526627E-3</v>
      </c>
    </row>
    <row r="9" spans="1:13">
      <c r="A9" s="10" t="s">
        <v>950</v>
      </c>
      <c r="B9" s="10" t="s">
        <v>439</v>
      </c>
      <c r="C9" s="10">
        <v>74.7</v>
      </c>
      <c r="D9" s="48">
        <v>0.56000000000000005</v>
      </c>
      <c r="E9" s="10" t="s">
        <v>949</v>
      </c>
      <c r="F9" s="12">
        <v>3.5568925000000001E-2</v>
      </c>
      <c r="G9" s="12"/>
      <c r="H9" s="12">
        <v>8.0034999999999995E-2</v>
      </c>
      <c r="I9" s="12"/>
      <c r="J9" s="12">
        <v>2.9899200000000001E-2</v>
      </c>
      <c r="K9" s="12"/>
      <c r="L9" s="12">
        <v>0.14550312500000001</v>
      </c>
      <c r="M9" s="50">
        <f t="shared" si="0"/>
        <v>1.9478329986613119E-3</v>
      </c>
    </row>
    <row r="10" spans="1:13">
      <c r="A10" s="10" t="s">
        <v>950</v>
      </c>
      <c r="B10" s="10" t="s">
        <v>340</v>
      </c>
      <c r="C10" s="10">
        <v>33.42</v>
      </c>
      <c r="D10" s="48">
        <v>1</v>
      </c>
      <c r="E10" s="10" t="s">
        <v>949</v>
      </c>
      <c r="F10" s="12"/>
      <c r="G10" s="12"/>
      <c r="H10" s="12">
        <v>1.2356500000000001E-2</v>
      </c>
      <c r="I10" s="12"/>
      <c r="J10" s="12"/>
      <c r="K10" s="12">
        <v>8.6551000000000006E-3</v>
      </c>
      <c r="L10" s="12">
        <v>2.1011600000000002E-2</v>
      </c>
      <c r="M10" s="50">
        <f t="shared" si="0"/>
        <v>6.2871334530221427E-4</v>
      </c>
    </row>
    <row r="11" spans="1:13">
      <c r="A11" s="10" t="s">
        <v>952</v>
      </c>
      <c r="B11" s="10" t="s">
        <v>871</v>
      </c>
      <c r="C11" s="10">
        <v>33.840000000000003</v>
      </c>
      <c r="D11" s="48">
        <v>0.88</v>
      </c>
      <c r="E11" s="10" t="s">
        <v>949</v>
      </c>
      <c r="F11" s="12"/>
      <c r="G11" s="12"/>
      <c r="H11" s="12">
        <v>6.6000000000000003E-2</v>
      </c>
      <c r="I11" s="12"/>
      <c r="J11" s="12"/>
      <c r="K11" s="12">
        <v>5.0000000000000001E-3</v>
      </c>
      <c r="L11" s="12">
        <v>6.9669624999999999E-2</v>
      </c>
      <c r="M11" s="50">
        <f>L11/C11</f>
        <v>2.0587950650118201E-3</v>
      </c>
    </row>
    <row r="12" spans="1:13">
      <c r="A12" s="10" t="s">
        <v>952</v>
      </c>
      <c r="B12" s="10" t="s">
        <v>758</v>
      </c>
      <c r="C12" s="10">
        <v>55.1</v>
      </c>
      <c r="D12" s="48">
        <v>0.67</v>
      </c>
      <c r="E12" s="10" t="s">
        <v>949</v>
      </c>
      <c r="F12" s="12">
        <v>0.1280097</v>
      </c>
      <c r="G12" s="12"/>
      <c r="H12" s="12">
        <v>0.36791215110000031</v>
      </c>
      <c r="I12" s="12"/>
      <c r="J12" s="12">
        <v>7.6923720000000001E-2</v>
      </c>
      <c r="K12" s="12"/>
      <c r="L12" s="12">
        <v>0.57284557110000034</v>
      </c>
      <c r="M12" s="50">
        <f t="shared" si="0"/>
        <v>1.0396471344827593E-2</v>
      </c>
    </row>
    <row r="13" spans="1:13">
      <c r="A13" s="10" t="s">
        <v>950</v>
      </c>
      <c r="B13" s="10" t="s">
        <v>590</v>
      </c>
      <c r="C13" s="10">
        <v>97.37</v>
      </c>
      <c r="D13" s="48">
        <v>0.56999999999999995</v>
      </c>
      <c r="E13" s="10" t="s">
        <v>949</v>
      </c>
      <c r="F13" s="12">
        <v>4.9405611999999995E-2</v>
      </c>
      <c r="G13" s="12"/>
      <c r="H13" s="12">
        <v>7.3499040000000002E-2</v>
      </c>
      <c r="I13" s="12"/>
      <c r="J13" s="12">
        <v>9.4013399999999997E-2</v>
      </c>
      <c r="K13" s="12"/>
      <c r="L13" s="12">
        <v>0.216918052</v>
      </c>
      <c r="M13" s="50">
        <f t="shared" si="0"/>
        <v>2.2277708945260344E-3</v>
      </c>
    </row>
    <row r="14" spans="1:13">
      <c r="A14" s="10" t="s">
        <v>950</v>
      </c>
      <c r="B14" s="10" t="s">
        <v>323</v>
      </c>
      <c r="C14" s="10">
        <v>14.36</v>
      </c>
      <c r="D14" s="48">
        <v>0.6</v>
      </c>
      <c r="E14" s="10" t="s">
        <v>949</v>
      </c>
      <c r="F14" s="12"/>
      <c r="G14" s="12"/>
      <c r="H14" s="12">
        <v>0.18174705699999999</v>
      </c>
      <c r="I14" s="12"/>
      <c r="J14" s="12"/>
      <c r="K14" s="12"/>
      <c r="L14" s="12">
        <v>0.18174705699999999</v>
      </c>
      <c r="M14" s="50">
        <f t="shared" si="0"/>
        <v>1.2656480292479108E-2</v>
      </c>
    </row>
    <row r="15" spans="1:13">
      <c r="A15" s="10" t="s">
        <v>950</v>
      </c>
      <c r="B15" s="10" t="s">
        <v>421</v>
      </c>
      <c r="C15" s="10">
        <v>134.99</v>
      </c>
      <c r="D15" s="48">
        <v>1</v>
      </c>
      <c r="E15" s="10" t="s">
        <v>949</v>
      </c>
      <c r="F15" s="12"/>
      <c r="G15" s="12"/>
      <c r="H15" s="12"/>
      <c r="I15" s="12"/>
      <c r="J15" s="12"/>
      <c r="K15" s="12">
        <v>7.2099999999999997E-2</v>
      </c>
      <c r="L15" s="12">
        <v>7.2099999999999997E-2</v>
      </c>
      <c r="M15" s="50">
        <f t="shared" si="0"/>
        <v>5.3411363804726272E-4</v>
      </c>
    </row>
    <row r="16" spans="1:13">
      <c r="A16" s="10" t="s">
        <v>950</v>
      </c>
      <c r="B16" s="10" t="s">
        <v>11</v>
      </c>
      <c r="C16" s="10">
        <v>24.93</v>
      </c>
      <c r="D16" s="48">
        <v>0.28000000000000003</v>
      </c>
      <c r="E16" s="10" t="s">
        <v>949</v>
      </c>
      <c r="F16" s="12"/>
      <c r="G16" s="12"/>
      <c r="H16" s="12"/>
      <c r="I16" s="12"/>
      <c r="J16" s="12">
        <v>8.2799999999999999E-2</v>
      </c>
      <c r="K16" s="12"/>
      <c r="L16" s="12">
        <v>8.2799999999999999E-2</v>
      </c>
      <c r="M16" s="50">
        <f t="shared" si="0"/>
        <v>3.3212996389891695E-3</v>
      </c>
    </row>
    <row r="17" spans="1:13">
      <c r="A17" s="10" t="s">
        <v>950</v>
      </c>
      <c r="B17" s="10" t="s">
        <v>417</v>
      </c>
      <c r="C17" s="10">
        <v>13.72</v>
      </c>
      <c r="D17" s="48">
        <v>0.68</v>
      </c>
      <c r="E17" s="10" t="s">
        <v>949</v>
      </c>
      <c r="F17" s="12"/>
      <c r="G17" s="12"/>
      <c r="H17" s="12">
        <v>3.4265760000000002E-3</v>
      </c>
      <c r="I17" s="12"/>
      <c r="J17" s="12">
        <v>5.3518739999999995E-3</v>
      </c>
      <c r="K17" s="12"/>
      <c r="L17" s="12">
        <v>8.7784500000000001E-3</v>
      </c>
      <c r="M17" s="50">
        <f t="shared" si="0"/>
        <v>6.3982871720116613E-4</v>
      </c>
    </row>
    <row r="18" spans="1:13">
      <c r="A18" s="10" t="s">
        <v>950</v>
      </c>
      <c r="B18" s="10" t="s">
        <v>408</v>
      </c>
      <c r="C18" s="10">
        <v>14.71</v>
      </c>
      <c r="D18" s="48">
        <v>0.86</v>
      </c>
      <c r="E18" s="10" t="s">
        <v>949</v>
      </c>
      <c r="F18" s="12">
        <v>4.5661085000000004E-2</v>
      </c>
      <c r="G18" s="12"/>
      <c r="H18" s="12">
        <v>7.5856366999999994E-2</v>
      </c>
      <c r="I18" s="12"/>
      <c r="J18" s="12">
        <v>2.3772351000000004E-2</v>
      </c>
      <c r="K18" s="12"/>
      <c r="L18" s="12">
        <v>0.145289803</v>
      </c>
      <c r="M18" s="50">
        <f t="shared" si="0"/>
        <v>9.8769410605030576E-3</v>
      </c>
    </row>
    <row r="19" spans="1:13">
      <c r="A19" s="10" t="s">
        <v>953</v>
      </c>
      <c r="B19" s="10" t="s">
        <v>621</v>
      </c>
      <c r="C19" s="10">
        <v>115.66</v>
      </c>
      <c r="D19" s="48">
        <v>0.77</v>
      </c>
      <c r="E19" s="10" t="s">
        <v>949</v>
      </c>
      <c r="F19" s="12">
        <v>0.46576364900000011</v>
      </c>
      <c r="G19" s="12">
        <v>0.132629</v>
      </c>
      <c r="H19" s="12"/>
      <c r="I19" s="12"/>
      <c r="J19" s="12"/>
      <c r="K19" s="12"/>
      <c r="L19" s="12">
        <v>0.59839264900000011</v>
      </c>
      <c r="M19" s="50">
        <f t="shared" si="0"/>
        <v>5.1737216756008999E-3</v>
      </c>
    </row>
    <row r="20" spans="1:13">
      <c r="A20" s="10" t="s">
        <v>954</v>
      </c>
      <c r="B20" s="10" t="s">
        <v>829</v>
      </c>
      <c r="C20" s="10">
        <v>52.45</v>
      </c>
      <c r="D20" s="48">
        <v>0.94</v>
      </c>
      <c r="E20" s="10" t="s">
        <v>949</v>
      </c>
      <c r="F20" s="12">
        <v>6.8937449999999997E-2</v>
      </c>
      <c r="G20" s="12"/>
      <c r="H20" s="12">
        <v>1.0383663500000002</v>
      </c>
      <c r="I20" s="12"/>
      <c r="J20" s="12"/>
      <c r="K20" s="12"/>
      <c r="L20" s="12">
        <v>0.36</v>
      </c>
      <c r="M20" s="50">
        <f t="shared" si="0"/>
        <v>6.8636796949475684E-3</v>
      </c>
    </row>
    <row r="21" spans="1:13">
      <c r="A21" s="10" t="s">
        <v>954</v>
      </c>
      <c r="B21" s="10" t="s">
        <v>852</v>
      </c>
      <c r="C21" s="10">
        <v>138.21</v>
      </c>
      <c r="D21" s="48">
        <v>0.91</v>
      </c>
      <c r="E21" s="10" t="s">
        <v>949</v>
      </c>
      <c r="F21" s="12">
        <v>1.4874800000000001E-2</v>
      </c>
      <c r="G21" s="12"/>
      <c r="H21" s="12">
        <v>0.14471142415999999</v>
      </c>
      <c r="I21" s="12"/>
      <c r="J21" s="12"/>
      <c r="K21" s="12"/>
      <c r="L21" s="12">
        <v>0.15958622415999998</v>
      </c>
      <c r="M21" s="50">
        <f t="shared" si="0"/>
        <v>1.1546648155705084E-3</v>
      </c>
    </row>
    <row r="22" spans="1:13">
      <c r="A22" s="10" t="s">
        <v>950</v>
      </c>
      <c r="B22" s="10" t="s">
        <v>39</v>
      </c>
      <c r="C22" s="10">
        <v>41.44</v>
      </c>
      <c r="D22" s="48">
        <v>0.62</v>
      </c>
      <c r="E22" s="10" t="s">
        <v>949</v>
      </c>
      <c r="F22" s="12"/>
      <c r="G22" s="12"/>
      <c r="H22" s="12">
        <v>1.2646779580000003</v>
      </c>
      <c r="I22" s="12"/>
      <c r="J22" s="12">
        <v>6.6656340000000008E-2</v>
      </c>
      <c r="K22" s="12"/>
      <c r="L22" s="12">
        <v>1.3313342980000002</v>
      </c>
      <c r="M22" s="50">
        <f t="shared" si="0"/>
        <v>3.2126792905405412E-2</v>
      </c>
    </row>
    <row r="23" spans="1:13" hidden="1">
      <c r="A23" s="10" t="s">
        <v>950</v>
      </c>
      <c r="B23" s="10" t="s">
        <v>956</v>
      </c>
      <c r="C23" s="12">
        <v>172.95857000000001</v>
      </c>
      <c r="D23" s="48">
        <v>7.0000000000000007E-2</v>
      </c>
      <c r="E23" s="10" t="s">
        <v>765</v>
      </c>
      <c r="F23" s="12"/>
      <c r="G23" s="12"/>
      <c r="H23" s="12"/>
      <c r="I23" s="12"/>
      <c r="J23" s="12"/>
      <c r="K23" s="12"/>
      <c r="L23" s="12"/>
      <c r="M23" s="50"/>
    </row>
    <row r="24" spans="1:13" hidden="1">
      <c r="A24" s="10" t="s">
        <v>950</v>
      </c>
      <c r="B24" s="10" t="s">
        <v>957</v>
      </c>
      <c r="C24" s="10"/>
      <c r="D24" s="10"/>
      <c r="E24" s="10" t="s">
        <v>765</v>
      </c>
      <c r="F24" s="12"/>
      <c r="G24" s="12"/>
      <c r="H24" s="12"/>
      <c r="I24" s="12"/>
      <c r="J24" s="12"/>
      <c r="K24" s="12"/>
      <c r="L24" s="12"/>
      <c r="M24" s="50"/>
    </row>
    <row r="25" spans="1:13" hidden="1">
      <c r="A25" s="10" t="s">
        <v>950</v>
      </c>
      <c r="B25" s="10" t="s">
        <v>965</v>
      </c>
      <c r="C25" s="12">
        <v>62.656633663000001</v>
      </c>
      <c r="D25" s="48">
        <v>0.44</v>
      </c>
      <c r="E25" s="10" t="s">
        <v>765</v>
      </c>
      <c r="F25" s="12"/>
      <c r="G25" s="12"/>
      <c r="H25" s="12"/>
      <c r="I25" s="12"/>
      <c r="J25" s="12"/>
      <c r="K25" s="12"/>
      <c r="L25" s="12"/>
      <c r="M25" s="50"/>
    </row>
    <row r="26" spans="1:13" hidden="1">
      <c r="A26" s="10" t="s">
        <v>950</v>
      </c>
      <c r="B26" s="10" t="s">
        <v>958</v>
      </c>
      <c r="C26" s="12">
        <v>8.9437942079999999</v>
      </c>
      <c r="D26" s="48">
        <v>1</v>
      </c>
      <c r="E26" s="10" t="s">
        <v>765</v>
      </c>
      <c r="F26" s="12"/>
      <c r="G26" s="12"/>
      <c r="H26" s="12"/>
      <c r="I26" s="12"/>
      <c r="J26" s="12"/>
      <c r="K26" s="12"/>
      <c r="L26" s="12"/>
      <c r="M26" s="50"/>
    </row>
    <row r="27" spans="1:13" hidden="1">
      <c r="A27" s="10" t="s">
        <v>950</v>
      </c>
      <c r="B27" s="10" t="s">
        <v>959</v>
      </c>
      <c r="C27" s="12">
        <v>25.96840152</v>
      </c>
      <c r="D27" s="48">
        <v>0.83</v>
      </c>
      <c r="E27" s="10" t="s">
        <v>765</v>
      </c>
      <c r="F27" s="12"/>
      <c r="G27" s="12"/>
      <c r="H27" s="12"/>
      <c r="I27" s="12"/>
      <c r="J27" s="12"/>
      <c r="K27" s="12"/>
      <c r="L27" s="12"/>
      <c r="M27" s="50"/>
    </row>
    <row r="28" spans="1:13" hidden="1">
      <c r="A28" s="10" t="s">
        <v>950</v>
      </c>
      <c r="B28" s="10" t="s">
        <v>960</v>
      </c>
      <c r="C28" s="12">
        <v>44.83</v>
      </c>
      <c r="D28" s="48">
        <v>0.02</v>
      </c>
      <c r="E28" s="10" t="s">
        <v>765</v>
      </c>
      <c r="F28" s="12"/>
      <c r="G28" s="12"/>
      <c r="H28" s="12"/>
      <c r="I28" s="12"/>
      <c r="J28" s="12"/>
      <c r="K28" s="12"/>
      <c r="L28" s="12"/>
      <c r="M28" s="50"/>
    </row>
    <row r="29" spans="1:13" hidden="1">
      <c r="A29" s="10" t="s">
        <v>950</v>
      </c>
      <c r="B29" s="10" t="s">
        <v>961</v>
      </c>
      <c r="C29" s="12">
        <v>45.161226599000003</v>
      </c>
      <c r="D29" s="48">
        <v>0.04</v>
      </c>
      <c r="E29" s="10" t="s">
        <v>765</v>
      </c>
      <c r="F29" s="12"/>
      <c r="G29" s="12"/>
      <c r="H29" s="12"/>
      <c r="I29" s="12"/>
      <c r="J29" s="12"/>
      <c r="K29" s="12"/>
      <c r="L29" s="12"/>
      <c r="M29" s="50"/>
    </row>
    <row r="30" spans="1:13">
      <c r="A30" s="10" t="s">
        <v>955</v>
      </c>
      <c r="B30" s="10" t="s">
        <v>947</v>
      </c>
      <c r="C30" s="10">
        <v>189.07</v>
      </c>
      <c r="D30" s="48">
        <v>0.92</v>
      </c>
      <c r="E30" s="10" t="s">
        <v>949</v>
      </c>
      <c r="F30" s="12"/>
      <c r="G30" s="12"/>
      <c r="H30" s="12">
        <v>1.6470316999999998E-2</v>
      </c>
      <c r="I30" s="12"/>
      <c r="J30" s="12">
        <v>1.575E-5</v>
      </c>
      <c r="K30" s="12"/>
      <c r="L30" s="12">
        <v>1.6486066999999997E-2</v>
      </c>
      <c r="M30" s="50">
        <f t="shared" si="0"/>
        <v>8.7195573068175793E-5</v>
      </c>
    </row>
    <row r="31" spans="1:13">
      <c r="A31" s="44" t="s">
        <v>902</v>
      </c>
      <c r="B31" s="44"/>
      <c r="C31" s="44"/>
      <c r="D31" s="44"/>
      <c r="E31" s="44"/>
      <c r="F31" s="49">
        <v>0.86174232100000003</v>
      </c>
      <c r="G31" s="49">
        <v>0.132629</v>
      </c>
      <c r="H31" s="49">
        <v>3.452122660260001</v>
      </c>
      <c r="I31" s="49">
        <v>3.0835000000000001E-2</v>
      </c>
      <c r="J31" s="49">
        <v>0.46619913499999999</v>
      </c>
      <c r="K31" s="49">
        <v>0.50337778000000011</v>
      </c>
      <c r="L31" s="49">
        <f>SUM(L4:L30)</f>
        <v>4.76927172126</v>
      </c>
      <c r="M31" s="10"/>
    </row>
    <row r="34" spans="5:22">
      <c r="E34" s="9" t="s">
        <v>904</v>
      </c>
      <c r="F34" s="9" t="s">
        <v>950</v>
      </c>
      <c r="G34" s="9" t="s">
        <v>952</v>
      </c>
      <c r="H34" s="9" t="s">
        <v>967</v>
      </c>
      <c r="I34" s="9" t="s">
        <v>968</v>
      </c>
      <c r="J34" s="9" t="s">
        <v>955</v>
      </c>
      <c r="K34" s="9" t="s">
        <v>16</v>
      </c>
    </row>
    <row r="35" spans="5:22">
      <c r="E35" s="9" t="s">
        <v>1349</v>
      </c>
      <c r="F35" s="13">
        <v>1.506</v>
      </c>
      <c r="G35" s="13">
        <v>0</v>
      </c>
      <c r="H35" s="13">
        <v>0.59799999999999998</v>
      </c>
      <c r="I35" s="13">
        <v>0</v>
      </c>
      <c r="J35" s="13">
        <v>0</v>
      </c>
      <c r="K35" s="13">
        <f>SUM(F35:J35)</f>
        <v>2.1040000000000001</v>
      </c>
      <c r="P35" s="9" t="s">
        <v>904</v>
      </c>
      <c r="Q35" s="9" t="s">
        <v>950</v>
      </c>
      <c r="R35" s="9" t="s">
        <v>952</v>
      </c>
      <c r="S35" s="9" t="s">
        <v>967</v>
      </c>
      <c r="T35" s="9" t="s">
        <v>968</v>
      </c>
      <c r="U35" s="9" t="s">
        <v>955</v>
      </c>
      <c r="V35" s="9" t="s">
        <v>16</v>
      </c>
    </row>
    <row r="36" spans="5:22">
      <c r="E36" s="9" t="s">
        <v>1350</v>
      </c>
      <c r="F36" s="13">
        <v>3.01</v>
      </c>
      <c r="G36" s="13">
        <v>0.81</v>
      </c>
      <c r="H36" s="13">
        <v>0.67</v>
      </c>
      <c r="I36" s="13">
        <v>0.52</v>
      </c>
      <c r="J36" s="13">
        <f>L30</f>
        <v>1.6486066999999997E-2</v>
      </c>
      <c r="K36" s="13">
        <f>SUM(F36:J36)</f>
        <v>5.0264860669999996</v>
      </c>
      <c r="P36" s="9" t="s">
        <v>1350</v>
      </c>
      <c r="Q36" s="13">
        <v>2.8268577850000005</v>
      </c>
      <c r="R36" s="13">
        <v>0.80794899610000037</v>
      </c>
      <c r="S36" s="13">
        <f>0.598392649+0.073</f>
        <v>0.67139264899999995</v>
      </c>
      <c r="T36" s="13">
        <v>1.2668900241600001</v>
      </c>
      <c r="U36" s="13">
        <v>1.6486066999999997E-2</v>
      </c>
      <c r="V36" s="13">
        <f>SUM(Q36:U36)</f>
        <v>5.5895755212600013</v>
      </c>
    </row>
    <row r="42" spans="5:22">
      <c r="I42" t="s">
        <v>972</v>
      </c>
    </row>
    <row r="43" spans="5:22">
      <c r="I43" t="s">
        <v>973</v>
      </c>
      <c r="J43" t="s">
        <v>974</v>
      </c>
    </row>
    <row r="44" spans="5:22">
      <c r="H44" t="s">
        <v>966</v>
      </c>
      <c r="I44">
        <v>2.1</v>
      </c>
      <c r="J44" s="123">
        <f>K36</f>
        <v>5.0264860669999996</v>
      </c>
    </row>
    <row r="45" spans="5:22">
      <c r="H45" t="s">
        <v>975</v>
      </c>
      <c r="I45">
        <v>0.27</v>
      </c>
      <c r="J45">
        <v>0</v>
      </c>
    </row>
  </sheetData>
  <mergeCells count="3">
    <mergeCell ref="F2:K2"/>
    <mergeCell ref="A2:E2"/>
    <mergeCell ref="A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5D00-FC69-4E9D-8317-38786A299C63}">
  <dimension ref="A1:AE23"/>
  <sheetViews>
    <sheetView topLeftCell="J12" workbookViewId="0">
      <selection activeCell="C19" sqref="C19"/>
    </sheetView>
  </sheetViews>
  <sheetFormatPr defaultRowHeight="14.5"/>
  <cols>
    <col min="1" max="1" width="10.6328125" customWidth="1"/>
    <col min="2" max="2" width="41.1796875" bestFit="1" customWidth="1"/>
    <col min="3" max="3" width="8.81640625" bestFit="1" customWidth="1"/>
    <col min="4" max="4" width="6.26953125" bestFit="1" customWidth="1"/>
    <col min="5" max="5" width="20.6328125" bestFit="1" customWidth="1"/>
    <col min="6" max="6" width="5.453125" bestFit="1" customWidth="1"/>
    <col min="7" max="7" width="5.7265625" customWidth="1"/>
    <col min="8" max="8" width="5.36328125" bestFit="1" customWidth="1"/>
    <col min="9" max="9" width="5.453125" bestFit="1" customWidth="1"/>
    <col min="10" max="11" width="5.36328125" bestFit="1" customWidth="1"/>
    <col min="12" max="12" width="5.90625" bestFit="1" customWidth="1"/>
    <col min="13" max="13" width="8.08984375" bestFit="1" customWidth="1"/>
    <col min="14" max="14" width="5.36328125" bestFit="1" customWidth="1"/>
    <col min="15" max="15" width="6.36328125" bestFit="1" customWidth="1"/>
    <col min="16" max="16" width="6.1796875" bestFit="1" customWidth="1"/>
    <col min="17" max="17" width="7.6328125" bestFit="1" customWidth="1"/>
    <col min="18" max="18" width="5.36328125" bestFit="1" customWidth="1"/>
    <col min="19" max="19" width="7.36328125" bestFit="1" customWidth="1"/>
    <col min="20" max="20" width="9.1796875" bestFit="1" customWidth="1"/>
    <col min="21" max="21" width="7.54296875" bestFit="1" customWidth="1"/>
    <col min="22" max="22" width="5.36328125" bestFit="1" customWidth="1"/>
    <col min="23" max="23" width="6.453125" bestFit="1" customWidth="1"/>
    <col min="24" max="24" width="5.36328125" bestFit="1" customWidth="1"/>
    <col min="25" max="25" width="9.6328125" bestFit="1" customWidth="1"/>
    <col min="26" max="26" width="5.36328125" bestFit="1" customWidth="1"/>
    <col min="27" max="27" width="8.08984375" bestFit="1" customWidth="1"/>
    <col min="28" max="28" width="9.1796875" bestFit="1" customWidth="1"/>
    <col min="29" max="29" width="10.6328125" customWidth="1"/>
    <col min="30" max="30" width="10.7265625" bestFit="1" customWidth="1"/>
    <col min="31" max="31" width="11.6328125" customWidth="1"/>
  </cols>
  <sheetData>
    <row r="1" spans="1:31" ht="29">
      <c r="A1" s="44" t="s">
        <v>904</v>
      </c>
      <c r="B1" s="44" t="s">
        <v>2</v>
      </c>
      <c r="C1" s="44" t="s">
        <v>948</v>
      </c>
      <c r="D1" s="44" t="s">
        <v>905</v>
      </c>
      <c r="E1" s="44" t="s">
        <v>995</v>
      </c>
      <c r="F1" s="44" t="s">
        <v>899</v>
      </c>
      <c r="G1" s="68" t="s">
        <v>900</v>
      </c>
      <c r="H1" s="44" t="s">
        <v>897</v>
      </c>
      <c r="I1" s="44" t="s">
        <v>896</v>
      </c>
      <c r="J1" s="44" t="s">
        <v>895</v>
      </c>
      <c r="K1" s="44" t="s">
        <v>862</v>
      </c>
      <c r="L1" s="44" t="s">
        <v>721</v>
      </c>
      <c r="M1" s="44" t="s">
        <v>977</v>
      </c>
      <c r="N1" s="44" t="s">
        <v>716</v>
      </c>
      <c r="O1" s="44" t="s">
        <v>978</v>
      </c>
      <c r="P1" s="44" t="s">
        <v>979</v>
      </c>
      <c r="Q1" s="44" t="s">
        <v>717</v>
      </c>
      <c r="R1" s="44" t="s">
        <v>288</v>
      </c>
      <c r="S1" s="44" t="s">
        <v>980</v>
      </c>
      <c r="T1" s="44" t="s">
        <v>981</v>
      </c>
      <c r="U1" s="44" t="s">
        <v>982</v>
      </c>
      <c r="V1" s="44" t="s">
        <v>983</v>
      </c>
      <c r="W1" s="44" t="s">
        <v>984</v>
      </c>
      <c r="X1" s="44" t="s">
        <v>985</v>
      </c>
      <c r="Y1" s="44" t="s">
        <v>986</v>
      </c>
      <c r="Z1" s="44" t="s">
        <v>987</v>
      </c>
      <c r="AA1" s="44" t="s">
        <v>988</v>
      </c>
      <c r="AB1" s="44" t="s">
        <v>989</v>
      </c>
      <c r="AC1" s="68" t="s">
        <v>991</v>
      </c>
      <c r="AD1" s="44" t="s">
        <v>902</v>
      </c>
      <c r="AE1" s="68" t="s">
        <v>976</v>
      </c>
    </row>
    <row r="2" spans="1:31">
      <c r="A2" s="10" t="s">
        <v>950</v>
      </c>
      <c r="B2" s="10" t="s">
        <v>18</v>
      </c>
      <c r="C2" s="12">
        <v>80.020537508999993</v>
      </c>
      <c r="D2" s="47">
        <v>0.57012690328240878</v>
      </c>
      <c r="E2" s="10" t="s">
        <v>949</v>
      </c>
      <c r="F2" s="40"/>
      <c r="G2" s="40"/>
      <c r="H2" s="40"/>
      <c r="I2" s="40">
        <v>3.0835000000000001E-2</v>
      </c>
      <c r="J2" s="40"/>
      <c r="K2" s="40">
        <v>0.31715599999999999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>
        <v>0.34799099999999999</v>
      </c>
      <c r="AE2" s="50">
        <f>AD2/C2</f>
        <v>4.3487710884329046E-3</v>
      </c>
    </row>
    <row r="3" spans="1:31">
      <c r="A3" s="10" t="s">
        <v>950</v>
      </c>
      <c r="B3" s="10" t="s">
        <v>211</v>
      </c>
      <c r="C3" s="12">
        <v>18.179332232</v>
      </c>
      <c r="D3" s="48">
        <v>1</v>
      </c>
      <c r="E3" s="10" t="s">
        <v>949</v>
      </c>
      <c r="F3" s="40"/>
      <c r="G3" s="40"/>
      <c r="H3" s="40">
        <v>4.1416500000000002E-3</v>
      </c>
      <c r="I3" s="40"/>
      <c r="J3" s="40"/>
      <c r="K3" s="40">
        <v>1.2852499999999999E-2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>
        <v>1.699415E-2</v>
      </c>
      <c r="AE3" s="50">
        <f t="shared" ref="AE3:AE22" si="0">AD3/C3</f>
        <v>9.3480606345299117E-4</v>
      </c>
    </row>
    <row r="4" spans="1:31">
      <c r="A4" s="10" t="s">
        <v>950</v>
      </c>
      <c r="B4" s="10" t="s">
        <v>254</v>
      </c>
      <c r="C4" s="12">
        <v>33.072287428000003</v>
      </c>
      <c r="D4" s="48">
        <v>0.78</v>
      </c>
      <c r="E4" s="10" t="s">
        <v>949</v>
      </c>
      <c r="F4" s="40"/>
      <c r="G4" s="40"/>
      <c r="H4" s="40">
        <v>9.7644999999999989E-3</v>
      </c>
      <c r="I4" s="40"/>
      <c r="J4" s="40">
        <v>1.08249E-2</v>
      </c>
      <c r="K4" s="40">
        <v>4.8912400000000002E-2</v>
      </c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>
        <v>6.9501800000000002E-2</v>
      </c>
      <c r="AE4" s="50">
        <f t="shared" si="0"/>
        <v>2.1015117309714014E-3</v>
      </c>
    </row>
    <row r="5" spans="1:31">
      <c r="A5" s="10" t="s">
        <v>950</v>
      </c>
      <c r="B5" s="10" t="s">
        <v>564</v>
      </c>
      <c r="C5" s="10">
        <v>82.81</v>
      </c>
      <c r="D5" s="48">
        <v>0.83</v>
      </c>
      <c r="E5" s="10" t="s">
        <v>949</v>
      </c>
      <c r="F5" s="40">
        <v>5.3521100000000002E-2</v>
      </c>
      <c r="G5" s="40"/>
      <c r="H5" s="40">
        <v>2.8482499999999997E-2</v>
      </c>
      <c r="I5" s="40"/>
      <c r="J5" s="40">
        <v>6.687499999999999E-2</v>
      </c>
      <c r="K5" s="40">
        <v>1.1870480000000001E-2</v>
      </c>
      <c r="L5" s="40"/>
      <c r="M5" s="40"/>
      <c r="N5" s="40"/>
      <c r="O5" s="40"/>
      <c r="P5" s="40"/>
      <c r="Q5" s="40"/>
      <c r="R5" s="40"/>
      <c r="S5" s="40"/>
      <c r="T5" s="40">
        <v>4.7185550000000001E-3</v>
      </c>
      <c r="U5" s="40">
        <v>1.2192874999999999E-2</v>
      </c>
      <c r="V5" s="40">
        <v>9.2279399999999987E-3</v>
      </c>
      <c r="W5" s="40"/>
      <c r="X5" s="40"/>
      <c r="Y5" s="40"/>
      <c r="Z5" s="40"/>
      <c r="AA5" s="40"/>
      <c r="AB5" s="40"/>
      <c r="AC5" s="40"/>
      <c r="AD5" s="40">
        <v>0.18688844999999996</v>
      </c>
      <c r="AE5" s="50">
        <f t="shared" si="0"/>
        <v>2.2568343195266266E-3</v>
      </c>
    </row>
    <row r="6" spans="1:31">
      <c r="A6" s="10" t="s">
        <v>950</v>
      </c>
      <c r="B6" s="10" t="s">
        <v>439</v>
      </c>
      <c r="C6" s="10">
        <v>74.7</v>
      </c>
      <c r="D6" s="48">
        <v>0.56000000000000005</v>
      </c>
      <c r="E6" s="10" t="s">
        <v>949</v>
      </c>
      <c r="F6" s="40">
        <v>3.5568925000000001E-2</v>
      </c>
      <c r="G6" s="40"/>
      <c r="H6" s="40">
        <v>8.0034999999999995E-2</v>
      </c>
      <c r="I6" s="40"/>
      <c r="J6" s="40">
        <v>2.9899200000000001E-2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>
        <v>0.14550312500000001</v>
      </c>
      <c r="AE6" s="50">
        <f t="shared" si="0"/>
        <v>1.9478329986613119E-3</v>
      </c>
    </row>
    <row r="7" spans="1:31">
      <c r="A7" s="10" t="s">
        <v>950</v>
      </c>
      <c r="B7" s="10" t="s">
        <v>340</v>
      </c>
      <c r="C7" s="10">
        <v>33.42</v>
      </c>
      <c r="D7" s="48">
        <v>1</v>
      </c>
      <c r="E7" s="10" t="s">
        <v>949</v>
      </c>
      <c r="F7" s="40"/>
      <c r="G7" s="40"/>
      <c r="H7" s="40">
        <v>1.2356500000000001E-2</v>
      </c>
      <c r="I7" s="40"/>
      <c r="J7" s="40"/>
      <c r="K7" s="40">
        <v>8.6551000000000006E-3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>
        <v>2.1011600000000002E-2</v>
      </c>
      <c r="AE7" s="50">
        <f t="shared" si="0"/>
        <v>6.2871334530221427E-4</v>
      </c>
    </row>
    <row r="8" spans="1:31">
      <c r="A8" s="10" t="s">
        <v>950</v>
      </c>
      <c r="B8" s="10" t="s">
        <v>590</v>
      </c>
      <c r="C8" s="10">
        <v>97.37</v>
      </c>
      <c r="D8" s="48">
        <v>0.56999999999999995</v>
      </c>
      <c r="E8" s="10" t="s">
        <v>949</v>
      </c>
      <c r="F8" s="40">
        <v>4.9405611999999995E-2</v>
      </c>
      <c r="G8" s="40"/>
      <c r="H8" s="40">
        <v>7.3499040000000002E-2</v>
      </c>
      <c r="I8" s="40"/>
      <c r="J8" s="40">
        <v>9.4013399999999997E-2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>
        <v>0.216918052</v>
      </c>
      <c r="AE8" s="50">
        <f t="shared" si="0"/>
        <v>2.2277708945260344E-3</v>
      </c>
    </row>
    <row r="9" spans="1:31">
      <c r="A9" s="10" t="s">
        <v>950</v>
      </c>
      <c r="B9" s="10" t="s">
        <v>323</v>
      </c>
      <c r="C9" s="10">
        <v>14.36</v>
      </c>
      <c r="D9" s="48">
        <v>0.6</v>
      </c>
      <c r="E9" s="10" t="s">
        <v>949</v>
      </c>
      <c r="F9" s="40"/>
      <c r="G9" s="40"/>
      <c r="H9" s="40">
        <v>0.17669775700000001</v>
      </c>
      <c r="I9" s="40"/>
      <c r="J9" s="40"/>
      <c r="K9" s="40"/>
      <c r="L9" s="40"/>
      <c r="M9" s="40"/>
      <c r="N9" s="40"/>
      <c r="O9" s="40"/>
      <c r="P9" s="40"/>
      <c r="Q9" s="40"/>
      <c r="R9" s="40">
        <v>5.0492999999999996E-3</v>
      </c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>
        <v>0.18174705700000002</v>
      </c>
      <c r="AE9" s="50">
        <f t="shared" si="0"/>
        <v>1.265648029247911E-2</v>
      </c>
    </row>
    <row r="10" spans="1:31">
      <c r="A10" s="10" t="s">
        <v>950</v>
      </c>
      <c r="B10" s="10" t="s">
        <v>421</v>
      </c>
      <c r="C10" s="10">
        <v>134.99</v>
      </c>
      <c r="D10" s="48">
        <v>1</v>
      </c>
      <c r="E10" s="10" t="s">
        <v>949</v>
      </c>
      <c r="F10" s="40"/>
      <c r="G10" s="40"/>
      <c r="H10" s="40"/>
      <c r="I10" s="40"/>
      <c r="J10" s="40"/>
      <c r="K10" s="40">
        <v>7.2099999999999997E-2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>
        <v>7.2099999999999997E-2</v>
      </c>
      <c r="AE10" s="50">
        <f t="shared" si="0"/>
        <v>5.3411363804726272E-4</v>
      </c>
    </row>
    <row r="11" spans="1:31">
      <c r="A11" s="10" t="s">
        <v>950</v>
      </c>
      <c r="B11" s="10" t="s">
        <v>11</v>
      </c>
      <c r="C11" s="10">
        <v>24.93</v>
      </c>
      <c r="D11" s="48">
        <v>0.28000000000000003</v>
      </c>
      <c r="E11" s="10" t="s">
        <v>949</v>
      </c>
      <c r="F11" s="40"/>
      <c r="G11" s="40"/>
      <c r="H11" s="40"/>
      <c r="I11" s="40"/>
      <c r="J11" s="40">
        <v>8.2799999999999999E-2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>
        <v>8.2799999999999999E-2</v>
      </c>
      <c r="AE11" s="50">
        <f t="shared" si="0"/>
        <v>3.3212996389891695E-3</v>
      </c>
    </row>
    <row r="12" spans="1:31">
      <c r="A12" s="10" t="s">
        <v>950</v>
      </c>
      <c r="B12" s="10" t="s">
        <v>417</v>
      </c>
      <c r="C12" s="10">
        <v>13.72</v>
      </c>
      <c r="D12" s="48">
        <v>0.68</v>
      </c>
      <c r="E12" s="10" t="s">
        <v>949</v>
      </c>
      <c r="F12" s="40"/>
      <c r="G12" s="40"/>
      <c r="H12" s="40">
        <v>3.4265760000000002E-3</v>
      </c>
      <c r="I12" s="40"/>
      <c r="J12" s="40">
        <v>5.3518739999999995E-3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>
        <v>8.7784500000000001E-3</v>
      </c>
      <c r="AE12" s="50">
        <f t="shared" si="0"/>
        <v>6.3982871720116613E-4</v>
      </c>
    </row>
    <row r="13" spans="1:31">
      <c r="A13" s="10" t="s">
        <v>950</v>
      </c>
      <c r="B13" s="10" t="s">
        <v>408</v>
      </c>
      <c r="C13" s="10">
        <v>14.71</v>
      </c>
      <c r="D13" s="48">
        <v>0.86</v>
      </c>
      <c r="E13" s="10" t="s">
        <v>949</v>
      </c>
      <c r="F13" s="40">
        <v>4.5661085000000004E-2</v>
      </c>
      <c r="G13" s="40"/>
      <c r="H13" s="40">
        <v>3.5213833999999992E-2</v>
      </c>
      <c r="I13" s="40"/>
      <c r="J13" s="40">
        <v>2.3772351000000004E-2</v>
      </c>
      <c r="K13" s="40">
        <v>8.3394699999999992E-4</v>
      </c>
      <c r="L13" s="40">
        <v>3.1915600000000002E-4</v>
      </c>
      <c r="M13" s="40">
        <v>1.6637520000000001E-3</v>
      </c>
      <c r="N13" s="40"/>
      <c r="O13" s="40">
        <v>3.8509999999999998E-3</v>
      </c>
      <c r="P13" s="40">
        <v>1.0593800000000001E-4</v>
      </c>
      <c r="Q13" s="40"/>
      <c r="R13" s="40"/>
      <c r="S13" s="40">
        <v>3.3868740000000001E-2</v>
      </c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>
        <v>0.145289803</v>
      </c>
      <c r="AE13" s="50">
        <f t="shared" si="0"/>
        <v>9.8769410605030576E-3</v>
      </c>
    </row>
    <row r="14" spans="1:31" ht="25.5" customHeight="1">
      <c r="A14" s="10" t="s">
        <v>950</v>
      </c>
      <c r="B14" s="10" t="s">
        <v>39</v>
      </c>
      <c r="C14" s="10">
        <v>41.44</v>
      </c>
      <c r="D14" s="48">
        <v>0.62</v>
      </c>
      <c r="E14" s="10" t="s">
        <v>949</v>
      </c>
      <c r="F14" s="40"/>
      <c r="G14" s="40"/>
      <c r="H14" s="40">
        <v>0.144950462</v>
      </c>
      <c r="I14" s="40"/>
      <c r="J14" s="40">
        <v>6.6656340000000008E-2</v>
      </c>
      <c r="K14" s="40"/>
      <c r="L14" s="40">
        <v>0.12796195099999999</v>
      </c>
      <c r="M14" s="40">
        <v>0.68848211800000003</v>
      </c>
      <c r="N14" s="40">
        <v>7.1473090000000017E-2</v>
      </c>
      <c r="O14" s="40">
        <v>0.16350954600000001</v>
      </c>
      <c r="P14" s="40">
        <v>6.1237395999999999E-2</v>
      </c>
      <c r="Q14" s="40">
        <v>7.0633950000000001E-3</v>
      </c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>
        <v>1.331334298</v>
      </c>
      <c r="AE14" s="50">
        <f t="shared" si="0"/>
        <v>3.2126792905405405E-2</v>
      </c>
    </row>
    <row r="15" spans="1:31">
      <c r="A15" s="10" t="s">
        <v>952</v>
      </c>
      <c r="B15" s="10" t="s">
        <v>893</v>
      </c>
      <c r="C15" s="10">
        <v>101.73</v>
      </c>
      <c r="D15" s="48">
        <v>0.91</v>
      </c>
      <c r="E15" s="10" t="s">
        <v>949</v>
      </c>
      <c r="F15" s="40"/>
      <c r="G15" s="40"/>
      <c r="H15" s="40">
        <v>3.7523899999999999E-2</v>
      </c>
      <c r="I15" s="40"/>
      <c r="J15" s="40">
        <v>9.0665999999999993E-3</v>
      </c>
      <c r="K15" s="40">
        <v>3.18313E-2</v>
      </c>
      <c r="L15" s="40">
        <v>5.82523E-2</v>
      </c>
      <c r="M15" s="40"/>
      <c r="N15" s="40"/>
      <c r="O15" s="40"/>
      <c r="P15" s="40">
        <v>2.8759699999999999E-2</v>
      </c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>
        <v>0.16543379999999999</v>
      </c>
      <c r="AE15" s="50">
        <f t="shared" si="0"/>
        <v>1.6262046593925094E-3</v>
      </c>
    </row>
    <row r="16" spans="1:31">
      <c r="A16" s="10" t="s">
        <v>952</v>
      </c>
      <c r="B16" s="10" t="s">
        <v>871</v>
      </c>
      <c r="C16" s="10">
        <v>33.840000000000003</v>
      </c>
      <c r="D16" s="48">
        <v>0.88</v>
      </c>
      <c r="E16" s="10" t="s">
        <v>949</v>
      </c>
      <c r="F16" s="40"/>
      <c r="G16" s="40"/>
      <c r="H16" s="40">
        <v>6.4136045000000003E-2</v>
      </c>
      <c r="I16" s="40"/>
      <c r="J16" s="40"/>
      <c r="K16" s="40">
        <v>5.5335799999999997E-3</v>
      </c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>
        <v>6.9669624999999999E-2</v>
      </c>
      <c r="AE16" s="50">
        <f t="shared" si="0"/>
        <v>2.0587950650118201E-3</v>
      </c>
    </row>
    <row r="17" spans="1:31">
      <c r="A17" s="10" t="s">
        <v>952</v>
      </c>
      <c r="B17" s="10" t="s">
        <v>758</v>
      </c>
      <c r="C17" s="10">
        <v>55.1</v>
      </c>
      <c r="D17" s="48">
        <v>0.67</v>
      </c>
      <c r="E17" s="10" t="s">
        <v>949</v>
      </c>
      <c r="F17" s="40">
        <v>0.1280097</v>
      </c>
      <c r="G17" s="40">
        <v>3.0518499999999997E-2</v>
      </c>
      <c r="H17" s="40">
        <v>0.216529995</v>
      </c>
      <c r="I17" s="40"/>
      <c r="J17" s="40">
        <v>7.6923720000000001E-2</v>
      </c>
      <c r="K17" s="40"/>
      <c r="L17" s="40">
        <v>6.4150000000000003E-4</v>
      </c>
      <c r="M17" s="40"/>
      <c r="N17" s="40">
        <v>0.10100164199999999</v>
      </c>
      <c r="O17" s="40"/>
      <c r="P17" s="40"/>
      <c r="Q17" s="40">
        <v>3.0767190000000003E-3</v>
      </c>
      <c r="R17" s="40">
        <v>0</v>
      </c>
      <c r="S17" s="40">
        <v>3.7100000000000002E-3</v>
      </c>
      <c r="T17" s="40"/>
      <c r="U17" s="40">
        <v>7.1520975999999998E-3</v>
      </c>
      <c r="V17" s="40">
        <v>3.3999999999999998E-3</v>
      </c>
      <c r="W17" s="40">
        <v>1.8816975000000003E-3</v>
      </c>
      <c r="X17" s="40"/>
      <c r="Y17" s="40"/>
      <c r="Z17" s="40"/>
      <c r="AA17" s="40"/>
      <c r="AB17" s="40"/>
      <c r="AC17" s="40"/>
      <c r="AD17" s="40">
        <v>0.57284557110000001</v>
      </c>
      <c r="AE17" s="50">
        <f t="shared" si="0"/>
        <v>1.0396471344827586E-2</v>
      </c>
    </row>
    <row r="18" spans="1:31">
      <c r="A18" s="10" t="s">
        <v>953</v>
      </c>
      <c r="B18" s="10" t="s">
        <v>621</v>
      </c>
      <c r="C18" s="10">
        <v>115.66</v>
      </c>
      <c r="D18" s="48">
        <v>0.77</v>
      </c>
      <c r="E18" s="10" t="s">
        <v>949</v>
      </c>
      <c r="F18" s="40">
        <v>0.46576364900000011</v>
      </c>
      <c r="G18" s="40">
        <v>0.132629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>
        <v>0.59839264900000011</v>
      </c>
      <c r="AE18" s="50">
        <f t="shared" si="0"/>
        <v>5.1737216756008999E-3</v>
      </c>
    </row>
    <row r="19" spans="1:31">
      <c r="A19" s="10" t="s">
        <v>953</v>
      </c>
      <c r="B19" s="10" t="s">
        <v>996</v>
      </c>
      <c r="C19" s="10">
        <v>108.18</v>
      </c>
      <c r="D19" s="70">
        <v>0.63</v>
      </c>
      <c r="E19" s="10" t="s">
        <v>949</v>
      </c>
      <c r="F19" s="40"/>
      <c r="G19" s="40"/>
      <c r="H19" s="40">
        <v>7.2767399999999996E-2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50">
        <f t="shared" si="0"/>
        <v>0</v>
      </c>
    </row>
    <row r="20" spans="1:31" ht="15" customHeight="1">
      <c r="A20" s="10" t="s">
        <v>968</v>
      </c>
      <c r="B20" s="10" t="s">
        <v>829</v>
      </c>
      <c r="C20" s="10">
        <v>52.45</v>
      </c>
      <c r="D20" s="48">
        <v>0.94</v>
      </c>
      <c r="E20" s="10" t="s">
        <v>949</v>
      </c>
      <c r="F20" s="40">
        <v>6.8937449999999997E-2</v>
      </c>
      <c r="G20" s="40"/>
      <c r="H20" s="40">
        <v>3.9249999999999997E-3</v>
      </c>
      <c r="I20" s="40"/>
      <c r="J20" s="40"/>
      <c r="K20" s="40"/>
      <c r="L20" s="40"/>
      <c r="M20" s="40"/>
      <c r="N20" s="40"/>
      <c r="O20" s="40"/>
      <c r="P20" s="40"/>
      <c r="Q20" s="40"/>
      <c r="R20" s="40">
        <v>1.021E-2</v>
      </c>
      <c r="S20" s="40"/>
      <c r="T20" s="40"/>
      <c r="U20" s="40"/>
      <c r="V20" s="40"/>
      <c r="W20" s="40"/>
      <c r="X20" s="40">
        <v>0.53750000000000009</v>
      </c>
      <c r="Y20" s="40">
        <v>0.30771999999999999</v>
      </c>
      <c r="Z20" s="40">
        <v>0.16619534999999999</v>
      </c>
      <c r="AA20" s="40">
        <v>1.2815999999999999E-2</v>
      </c>
      <c r="AB20" s="40"/>
      <c r="AC20" s="40"/>
      <c r="AD20" s="40">
        <v>1.1073037999999999</v>
      </c>
      <c r="AE20" s="50">
        <f t="shared" si="0"/>
        <v>2.111160724499523E-2</v>
      </c>
    </row>
    <row r="21" spans="1:31">
      <c r="A21" s="10" t="s">
        <v>968</v>
      </c>
      <c r="B21" s="10" t="s">
        <v>852</v>
      </c>
      <c r="C21" s="10">
        <v>138.21</v>
      </c>
      <c r="D21" s="48">
        <v>0.91</v>
      </c>
      <c r="E21" s="10" t="s">
        <v>949</v>
      </c>
      <c r="F21" s="40">
        <v>1.21028E-2</v>
      </c>
      <c r="G21" s="40"/>
      <c r="H21" s="40">
        <v>0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>
        <v>9.7812475159999995E-2</v>
      </c>
      <c r="Y21" s="40"/>
      <c r="Z21" s="40"/>
      <c r="AA21" s="40">
        <v>1.9974949000000002E-2</v>
      </c>
      <c r="AB21" s="40">
        <v>2.9696E-2</v>
      </c>
      <c r="AC21" s="40"/>
      <c r="AD21" s="40">
        <v>0.15958622415999998</v>
      </c>
      <c r="AE21" s="50">
        <f t="shared" si="0"/>
        <v>1.1546648155705084E-3</v>
      </c>
    </row>
    <row r="22" spans="1:31">
      <c r="A22" s="10" t="s">
        <v>955</v>
      </c>
      <c r="B22" s="10" t="s">
        <v>947</v>
      </c>
      <c r="C22" s="10">
        <v>189.07</v>
      </c>
      <c r="D22" s="48">
        <v>0.92</v>
      </c>
      <c r="E22" s="10" t="s">
        <v>949</v>
      </c>
      <c r="F22" s="40"/>
      <c r="G22" s="40"/>
      <c r="H22" s="40">
        <v>9.4918899999999991E-4</v>
      </c>
      <c r="I22" s="40"/>
      <c r="J22" s="40">
        <v>1.575E-5</v>
      </c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>
        <v>5.57648E-4</v>
      </c>
      <c r="Z22" s="40"/>
      <c r="AA22" s="40"/>
      <c r="AB22" s="40">
        <v>1.4800000000000001E-2</v>
      </c>
      <c r="AC22" s="71">
        <v>1.6348000000000003E-4</v>
      </c>
      <c r="AD22" s="40">
        <v>1.6486067E-2</v>
      </c>
      <c r="AE22" s="50">
        <f t="shared" si="0"/>
        <v>8.7195573068175807E-5</v>
      </c>
    </row>
    <row r="23" spans="1:31">
      <c r="A23" s="10"/>
      <c r="B23" s="44" t="s">
        <v>902</v>
      </c>
      <c r="C23" s="44"/>
      <c r="D23" s="44"/>
      <c r="E23" s="44"/>
      <c r="F23" s="73">
        <v>0.85897032100000004</v>
      </c>
      <c r="G23" s="73">
        <v>0.1631475</v>
      </c>
      <c r="H23" s="73">
        <v>0.89163194800000001</v>
      </c>
      <c r="I23" s="73">
        <v>3.0835000000000001E-2</v>
      </c>
      <c r="J23" s="73">
        <v>0.46619913499999999</v>
      </c>
      <c r="K23" s="73">
        <v>0.50974530699999998</v>
      </c>
      <c r="L23" s="73">
        <v>0.187174907</v>
      </c>
      <c r="M23" s="73">
        <v>0.69014587000000005</v>
      </c>
      <c r="N23" s="73">
        <v>0.17247473200000002</v>
      </c>
      <c r="O23" s="73">
        <v>0.167360546</v>
      </c>
      <c r="P23" s="73">
        <v>9.0103033999999999E-2</v>
      </c>
      <c r="Q23" s="73">
        <v>1.0140114E-2</v>
      </c>
      <c r="R23" s="73">
        <v>1.52593E-2</v>
      </c>
      <c r="S23" s="73">
        <v>3.7578739999999999E-2</v>
      </c>
      <c r="T23" s="73">
        <v>4.7185550000000001E-3</v>
      </c>
      <c r="U23" s="73">
        <v>1.93449726E-2</v>
      </c>
      <c r="V23" s="73">
        <v>1.2627939999999999E-2</v>
      </c>
      <c r="W23" s="73">
        <v>1.8816975000000003E-3</v>
      </c>
      <c r="X23" s="73">
        <v>0.63531247516000011</v>
      </c>
      <c r="Y23" s="73">
        <v>0.30827764800000002</v>
      </c>
      <c r="Z23" s="73">
        <v>0.16619534999999999</v>
      </c>
      <c r="AA23" s="73">
        <v>3.2790949E-2</v>
      </c>
      <c r="AB23" s="73">
        <v>4.4496000000000001E-2</v>
      </c>
      <c r="AC23" s="72">
        <v>1.6348000000000003E-4</v>
      </c>
      <c r="AD23" s="73">
        <f>SUM(AD2:AD22)</f>
        <v>5.5165755212599992</v>
      </c>
      <c r="AE2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6693-39F8-4099-8E6E-2891888BA1CF}">
  <dimension ref="A3:AC26"/>
  <sheetViews>
    <sheetView topLeftCell="A16" workbookViewId="0">
      <selection activeCell="A8" sqref="A8"/>
    </sheetView>
  </sheetViews>
  <sheetFormatPr defaultRowHeight="14.5"/>
  <cols>
    <col min="1" max="1" width="38.1796875" bestFit="1" customWidth="1"/>
    <col min="2" max="2" width="15.26953125" bestFit="1" customWidth="1"/>
    <col min="3" max="3" width="9.81640625" bestFit="1" customWidth="1"/>
    <col min="4" max="4" width="11.81640625" bestFit="1" customWidth="1"/>
    <col min="5" max="5" width="8.81640625" bestFit="1" customWidth="1"/>
    <col min="6" max="14" width="11.81640625" bestFit="1" customWidth="1"/>
    <col min="15" max="15" width="9.81640625" bestFit="1" customWidth="1"/>
    <col min="16" max="16" width="10.81640625" bestFit="1" customWidth="1"/>
    <col min="17" max="18" width="11.81640625" bestFit="1" customWidth="1"/>
    <col min="19" max="19" width="10.81640625" bestFit="1" customWidth="1"/>
    <col min="20" max="22" width="11.81640625" bestFit="1" customWidth="1"/>
    <col min="23" max="23" width="10.81640625" bestFit="1" customWidth="1"/>
    <col min="24" max="24" width="11.81640625" bestFit="1" customWidth="1"/>
    <col min="25" max="25" width="9.1796875" bestFit="1" customWidth="1"/>
    <col min="26" max="26" width="3.6328125" bestFit="1" customWidth="1"/>
    <col min="27" max="27" width="17.90625" bestFit="1" customWidth="1"/>
    <col min="28" max="28" width="16.1796875" bestFit="1" customWidth="1"/>
    <col min="29" max="29" width="11.81640625" bestFit="1" customWidth="1"/>
  </cols>
  <sheetData>
    <row r="3" spans="1:29">
      <c r="A3" s="43" t="s">
        <v>903</v>
      </c>
      <c r="B3" s="43" t="s">
        <v>994</v>
      </c>
    </row>
    <row r="4" spans="1:29">
      <c r="A4" s="43" t="s">
        <v>993</v>
      </c>
      <c r="B4" t="s">
        <v>899</v>
      </c>
      <c r="C4" t="s">
        <v>900</v>
      </c>
      <c r="D4" t="s">
        <v>897</v>
      </c>
      <c r="E4" t="s">
        <v>896</v>
      </c>
      <c r="F4" t="s">
        <v>895</v>
      </c>
      <c r="G4" t="s">
        <v>862</v>
      </c>
      <c r="H4" t="s">
        <v>901</v>
      </c>
      <c r="I4" t="s">
        <v>721</v>
      </c>
      <c r="J4" t="s">
        <v>977</v>
      </c>
      <c r="K4" t="s">
        <v>716</v>
      </c>
      <c r="L4" t="s">
        <v>978</v>
      </c>
      <c r="M4" t="s">
        <v>979</v>
      </c>
      <c r="N4" t="s">
        <v>717</v>
      </c>
      <c r="O4" t="s">
        <v>288</v>
      </c>
      <c r="P4" t="s">
        <v>980</v>
      </c>
      <c r="Q4" t="s">
        <v>981</v>
      </c>
      <c r="R4" t="s">
        <v>982</v>
      </c>
      <c r="S4" t="s">
        <v>983</v>
      </c>
      <c r="T4" t="s">
        <v>984</v>
      </c>
      <c r="U4" t="s">
        <v>985</v>
      </c>
      <c r="V4" t="s">
        <v>986</v>
      </c>
      <c r="W4" t="s">
        <v>987</v>
      </c>
      <c r="X4" t="s">
        <v>988</v>
      </c>
      <c r="Y4" t="s">
        <v>989</v>
      </c>
      <c r="Z4" t="s">
        <v>990</v>
      </c>
      <c r="AA4" t="s">
        <v>991</v>
      </c>
      <c r="AB4" t="s">
        <v>992</v>
      </c>
      <c r="AC4" t="s">
        <v>902</v>
      </c>
    </row>
    <row r="5" spans="1:29">
      <c r="A5" s="69" t="s">
        <v>18</v>
      </c>
      <c r="E5">
        <v>3.0835000000000001E-2</v>
      </c>
      <c r="G5">
        <v>0.31715599999999999</v>
      </c>
      <c r="AC5">
        <v>0.34799099999999999</v>
      </c>
    </row>
    <row r="6" spans="1:29">
      <c r="A6" s="69" t="s">
        <v>211</v>
      </c>
      <c r="D6">
        <v>4.1416500000000002E-3</v>
      </c>
      <c r="G6">
        <v>1.2852499999999999E-2</v>
      </c>
      <c r="AC6">
        <v>1.699415E-2</v>
      </c>
    </row>
    <row r="7" spans="1:29">
      <c r="A7" s="69" t="s">
        <v>893</v>
      </c>
      <c r="D7">
        <v>3.7523899999999999E-2</v>
      </c>
      <c r="F7">
        <v>9.0665999999999993E-3</v>
      </c>
      <c r="G7">
        <v>3.18313E-2</v>
      </c>
      <c r="I7">
        <v>5.82523E-2</v>
      </c>
      <c r="M7">
        <v>2.8759699999999999E-2</v>
      </c>
      <c r="AC7">
        <v>0.16543379999999999</v>
      </c>
    </row>
    <row r="8" spans="1:29">
      <c r="A8" s="69" t="s">
        <v>254</v>
      </c>
      <c r="D8">
        <v>9.7644999999999989E-3</v>
      </c>
      <c r="F8">
        <v>1.08249E-2</v>
      </c>
      <c r="G8">
        <v>4.8912400000000002E-2</v>
      </c>
      <c r="AC8">
        <v>6.9501800000000002E-2</v>
      </c>
    </row>
    <row r="9" spans="1:29">
      <c r="A9" s="69" t="s">
        <v>871</v>
      </c>
      <c r="D9">
        <v>6.4136045000000003E-2</v>
      </c>
      <c r="G9">
        <v>5.5335799999999997E-3</v>
      </c>
      <c r="AC9">
        <v>6.9669624999999999E-2</v>
      </c>
    </row>
    <row r="10" spans="1:29">
      <c r="A10" s="69" t="s">
        <v>564</v>
      </c>
      <c r="B10">
        <v>5.3521100000000002E-2</v>
      </c>
      <c r="D10">
        <v>2.8482499999999997E-2</v>
      </c>
      <c r="F10">
        <v>6.687499999999999E-2</v>
      </c>
      <c r="G10">
        <v>1.1870480000000001E-2</v>
      </c>
      <c r="Q10">
        <v>4.7185550000000001E-3</v>
      </c>
      <c r="R10">
        <v>1.2192874999999999E-2</v>
      </c>
      <c r="S10">
        <v>9.2279399999999987E-3</v>
      </c>
      <c r="AC10">
        <v>0.18688844999999996</v>
      </c>
    </row>
    <row r="11" spans="1:29">
      <c r="A11" s="69" t="s">
        <v>439</v>
      </c>
      <c r="B11">
        <v>3.5568925000000001E-2</v>
      </c>
      <c r="D11">
        <v>8.0034999999999995E-2</v>
      </c>
      <c r="F11">
        <v>2.9899200000000001E-2</v>
      </c>
      <c r="AC11">
        <v>0.14550312500000001</v>
      </c>
    </row>
    <row r="12" spans="1:29">
      <c r="A12" s="69" t="s">
        <v>340</v>
      </c>
      <c r="D12">
        <v>1.2356500000000001E-2</v>
      </c>
      <c r="G12">
        <v>8.6551000000000006E-3</v>
      </c>
      <c r="AC12">
        <v>2.1011600000000002E-2</v>
      </c>
    </row>
    <row r="13" spans="1:29">
      <c r="A13" s="69" t="s">
        <v>758</v>
      </c>
      <c r="B13">
        <v>0.1280097</v>
      </c>
      <c r="C13">
        <v>3.0518499999999997E-2</v>
      </c>
      <c r="D13">
        <v>0.216529995</v>
      </c>
      <c r="F13">
        <v>7.6923720000000001E-2</v>
      </c>
      <c r="I13">
        <v>6.4150000000000003E-4</v>
      </c>
      <c r="K13">
        <v>0.10100164199999999</v>
      </c>
      <c r="N13">
        <v>3.0767190000000003E-3</v>
      </c>
      <c r="O13">
        <v>0</v>
      </c>
      <c r="P13">
        <v>3.7100000000000002E-3</v>
      </c>
      <c r="R13">
        <v>7.1520975999999998E-3</v>
      </c>
      <c r="S13">
        <v>3.3999999999999998E-3</v>
      </c>
      <c r="T13">
        <v>1.8816975000000003E-3</v>
      </c>
      <c r="AC13">
        <v>0.57284557110000001</v>
      </c>
    </row>
    <row r="14" spans="1:29">
      <c r="A14" s="69" t="s">
        <v>590</v>
      </c>
      <c r="B14">
        <v>4.9405611999999995E-2</v>
      </c>
      <c r="D14">
        <v>7.3499040000000002E-2</v>
      </c>
      <c r="F14">
        <v>9.4013399999999997E-2</v>
      </c>
      <c r="AC14">
        <v>0.216918052</v>
      </c>
    </row>
    <row r="15" spans="1:29">
      <c r="A15" s="69" t="s">
        <v>323</v>
      </c>
      <c r="D15">
        <v>0.17669775700000001</v>
      </c>
      <c r="O15">
        <v>5.0492999999999996E-3</v>
      </c>
      <c r="AC15">
        <v>0.18174705700000002</v>
      </c>
    </row>
    <row r="16" spans="1:29">
      <c r="A16" s="69" t="s">
        <v>947</v>
      </c>
      <c r="D16">
        <v>9.4918899999999991E-4</v>
      </c>
      <c r="F16">
        <v>1.575E-5</v>
      </c>
      <c r="V16">
        <v>5.57648E-4</v>
      </c>
      <c r="Y16">
        <v>1.4800000000000001E-2</v>
      </c>
      <c r="AA16">
        <v>1.6348000000000003E-4</v>
      </c>
      <c r="AB16">
        <v>0</v>
      </c>
      <c r="AC16">
        <v>1.6486067E-2</v>
      </c>
    </row>
    <row r="17" spans="1:29">
      <c r="A17" s="69" t="s">
        <v>421</v>
      </c>
      <c r="G17">
        <v>7.2099999999999997E-2</v>
      </c>
      <c r="AC17">
        <v>7.2099999999999997E-2</v>
      </c>
    </row>
    <row r="18" spans="1:29">
      <c r="A18" s="69" t="s">
        <v>11</v>
      </c>
      <c r="F18">
        <v>8.2799999999999999E-2</v>
      </c>
      <c r="AC18">
        <v>8.2799999999999999E-2</v>
      </c>
    </row>
    <row r="19" spans="1:29">
      <c r="A19" s="69" t="s">
        <v>417</v>
      </c>
      <c r="D19">
        <v>3.4265760000000002E-3</v>
      </c>
      <c r="F19">
        <v>5.3518739999999995E-3</v>
      </c>
      <c r="AC19">
        <v>8.7784500000000001E-3</v>
      </c>
    </row>
    <row r="20" spans="1:29">
      <c r="A20" s="69" t="s">
        <v>408</v>
      </c>
      <c r="B20">
        <v>4.5661085000000004E-2</v>
      </c>
      <c r="D20">
        <v>3.5213833999999992E-2</v>
      </c>
      <c r="F20">
        <v>2.3772351000000004E-2</v>
      </c>
      <c r="G20">
        <v>8.3394699999999992E-4</v>
      </c>
      <c r="I20">
        <v>3.1915600000000002E-4</v>
      </c>
      <c r="J20">
        <v>1.6637520000000001E-3</v>
      </c>
      <c r="L20">
        <v>3.8509999999999998E-3</v>
      </c>
      <c r="M20">
        <v>1.0593800000000001E-4</v>
      </c>
      <c r="P20">
        <v>3.3868740000000001E-2</v>
      </c>
      <c r="AC20">
        <v>0.145289803</v>
      </c>
    </row>
    <row r="21" spans="1:29">
      <c r="A21" s="69" t="s">
        <v>621</v>
      </c>
      <c r="B21">
        <v>0.46576364900000011</v>
      </c>
      <c r="C21">
        <v>0.132629</v>
      </c>
      <c r="AC21">
        <v>0.59839264900000011</v>
      </c>
    </row>
    <row r="22" spans="1:29">
      <c r="A22" s="69" t="s">
        <v>829</v>
      </c>
      <c r="B22">
        <v>6.8937449999999997E-2</v>
      </c>
      <c r="D22">
        <v>3.9249999999999997E-3</v>
      </c>
      <c r="O22">
        <v>1.021E-2</v>
      </c>
      <c r="U22">
        <v>0.53750000000000009</v>
      </c>
      <c r="V22">
        <v>0.30771999999999999</v>
      </c>
      <c r="W22">
        <v>0.16619534999999999</v>
      </c>
      <c r="X22">
        <v>1.2815999999999999E-2</v>
      </c>
      <c r="AC22">
        <v>1.1073037999999999</v>
      </c>
    </row>
    <row r="23" spans="1:29">
      <c r="A23" s="69" t="s">
        <v>852</v>
      </c>
      <c r="B23">
        <v>1.21028E-2</v>
      </c>
      <c r="D23">
        <v>0</v>
      </c>
      <c r="U23">
        <v>9.7812475159999995E-2</v>
      </c>
      <c r="X23">
        <v>1.9974949000000002E-2</v>
      </c>
      <c r="Y23">
        <v>2.9696E-2</v>
      </c>
      <c r="Z23">
        <v>0</v>
      </c>
      <c r="AC23">
        <v>0.15958622415999998</v>
      </c>
    </row>
    <row r="24" spans="1:29">
      <c r="A24" s="69" t="s">
        <v>39</v>
      </c>
      <c r="D24">
        <v>0.144950462</v>
      </c>
      <c r="F24">
        <v>6.6656340000000008E-2</v>
      </c>
      <c r="I24">
        <v>0.12796195099999999</v>
      </c>
      <c r="J24">
        <v>0.68848211800000003</v>
      </c>
      <c r="K24">
        <v>7.1473090000000017E-2</v>
      </c>
      <c r="L24">
        <v>0.16350954600000001</v>
      </c>
      <c r="M24">
        <v>6.1237395999999999E-2</v>
      </c>
      <c r="N24">
        <v>7.0633950000000001E-3</v>
      </c>
      <c r="AC24">
        <v>1.331334298</v>
      </c>
    </row>
    <row r="25" spans="1:29">
      <c r="A25" s="69" t="s">
        <v>901</v>
      </c>
      <c r="H25">
        <v>5.5165755212599974</v>
      </c>
      <c r="AC25">
        <v>5.5165755212599974</v>
      </c>
    </row>
    <row r="26" spans="1:29">
      <c r="A26" s="69" t="s">
        <v>902</v>
      </c>
      <c r="B26">
        <v>0.85897032100000004</v>
      </c>
      <c r="C26">
        <v>0.1631475</v>
      </c>
      <c r="D26">
        <v>0.8916319479999999</v>
      </c>
      <c r="E26">
        <v>3.0835000000000001E-2</v>
      </c>
      <c r="F26">
        <v>0.46619913499999999</v>
      </c>
      <c r="G26">
        <v>0.50974530699999998</v>
      </c>
      <c r="H26">
        <v>5.5165755212599974</v>
      </c>
      <c r="I26">
        <v>0.187174907</v>
      </c>
      <c r="J26">
        <v>0.69014587000000005</v>
      </c>
      <c r="K26">
        <v>0.17247473200000002</v>
      </c>
      <c r="L26">
        <v>0.167360546</v>
      </c>
      <c r="M26">
        <v>9.0103033999999999E-2</v>
      </c>
      <c r="N26">
        <v>1.0140114E-2</v>
      </c>
      <c r="O26">
        <v>1.52593E-2</v>
      </c>
      <c r="P26">
        <v>3.7578739999999999E-2</v>
      </c>
      <c r="Q26">
        <v>4.7185550000000001E-3</v>
      </c>
      <c r="R26">
        <v>1.93449726E-2</v>
      </c>
      <c r="S26">
        <v>1.2627939999999999E-2</v>
      </c>
      <c r="T26">
        <v>1.8816975000000003E-3</v>
      </c>
      <c r="U26">
        <v>0.63531247516000011</v>
      </c>
      <c r="V26">
        <v>0.30827764800000002</v>
      </c>
      <c r="W26">
        <v>0.16619534999999999</v>
      </c>
      <c r="X26">
        <v>3.2790949E-2</v>
      </c>
      <c r="Y26">
        <v>4.4496000000000001E-2</v>
      </c>
      <c r="Z26">
        <v>0</v>
      </c>
      <c r="AA26">
        <v>1.6348000000000003E-4</v>
      </c>
      <c r="AB26">
        <v>0</v>
      </c>
      <c r="AC26">
        <v>11.033151042519997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3703-3885-4735-845A-B7C8340313E7}">
  <sheetPr filterMode="1"/>
  <dimension ref="A1:L737"/>
  <sheetViews>
    <sheetView workbookViewId="0">
      <selection activeCell="E642" sqref="E642"/>
    </sheetView>
  </sheetViews>
  <sheetFormatPr defaultRowHeight="14.5"/>
  <cols>
    <col min="2" max="2" width="11.26953125" bestFit="1" customWidth="1"/>
    <col min="3" max="3" width="30.6328125" bestFit="1" customWidth="1"/>
    <col min="4" max="4" width="27.08984375" customWidth="1"/>
    <col min="5" max="5" width="39.81640625" bestFit="1" customWidth="1"/>
    <col min="6" max="6" width="39.6328125" bestFit="1" customWidth="1"/>
    <col min="9" max="9" width="35.08984375" bestFit="1" customWidth="1"/>
    <col min="10" max="10" width="22.6328125" bestFit="1" customWidth="1"/>
    <col min="11" max="11" width="10.26953125" bestFit="1" customWidth="1"/>
    <col min="12" max="12" width="11.453125" bestFit="1" customWidth="1"/>
  </cols>
  <sheetData>
    <row r="1" spans="1:12">
      <c r="A1" s="9" t="s">
        <v>0</v>
      </c>
      <c r="B1" s="9" t="s">
        <v>1</v>
      </c>
      <c r="C1" s="9" t="s">
        <v>2</v>
      </c>
      <c r="D1" s="9" t="s">
        <v>894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t="s">
        <v>37</v>
      </c>
    </row>
    <row r="2" spans="1:12" hidden="1">
      <c r="A2" s="10">
        <v>1</v>
      </c>
      <c r="B2" s="10" t="s">
        <v>10</v>
      </c>
      <c r="C2" s="10" t="s">
        <v>11</v>
      </c>
      <c r="D2" s="10" t="s">
        <v>895</v>
      </c>
      <c r="E2" s="2" t="s">
        <v>12</v>
      </c>
      <c r="F2" s="2" t="s">
        <v>13</v>
      </c>
      <c r="G2" s="2">
        <v>60</v>
      </c>
      <c r="H2" s="2" t="s">
        <v>14</v>
      </c>
      <c r="I2" s="2" t="s">
        <v>15</v>
      </c>
      <c r="J2" s="10">
        <v>13800</v>
      </c>
      <c r="K2" s="12">
        <f t="shared" ref="K2:K65" si="0">(J2*G2)/10000000</f>
        <v>8.2799999999999999E-2</v>
      </c>
      <c r="L2" s="37">
        <v>46062</v>
      </c>
    </row>
    <row r="3" spans="1:12" hidden="1">
      <c r="A3" s="10">
        <v>2</v>
      </c>
      <c r="B3" s="10" t="s">
        <v>17</v>
      </c>
      <c r="C3" s="10" t="s">
        <v>18</v>
      </c>
      <c r="D3" s="10" t="s">
        <v>862</v>
      </c>
      <c r="E3" s="2" t="s">
        <v>19</v>
      </c>
      <c r="F3" s="2" t="s">
        <v>30</v>
      </c>
      <c r="G3" s="8">
        <v>17</v>
      </c>
      <c r="H3" s="2" t="s">
        <v>33</v>
      </c>
      <c r="I3" s="2" t="s">
        <v>35</v>
      </c>
      <c r="J3" s="11">
        <v>42680</v>
      </c>
      <c r="K3" s="12">
        <f t="shared" si="0"/>
        <v>7.2555999999999995E-2</v>
      </c>
      <c r="L3" s="37">
        <v>46056</v>
      </c>
    </row>
    <row r="4" spans="1:12" hidden="1">
      <c r="A4" s="10">
        <v>3</v>
      </c>
      <c r="B4" s="10" t="s">
        <v>17</v>
      </c>
      <c r="C4" s="10" t="s">
        <v>18</v>
      </c>
      <c r="D4" s="10" t="s">
        <v>862</v>
      </c>
      <c r="E4" s="2" t="s">
        <v>20</v>
      </c>
      <c r="F4" s="2" t="s">
        <v>30</v>
      </c>
      <c r="G4" s="8">
        <v>23</v>
      </c>
      <c r="H4" s="2" t="s">
        <v>33</v>
      </c>
      <c r="I4" s="2" t="s">
        <v>35</v>
      </c>
      <c r="J4" s="11">
        <v>42680</v>
      </c>
      <c r="K4" s="12">
        <f t="shared" si="0"/>
        <v>9.8164000000000001E-2</v>
      </c>
    </row>
    <row r="5" spans="1:12" hidden="1">
      <c r="A5" s="10">
        <v>4</v>
      </c>
      <c r="B5" s="10" t="s">
        <v>17</v>
      </c>
      <c r="C5" s="10" t="s">
        <v>18</v>
      </c>
      <c r="D5" s="10" t="s">
        <v>862</v>
      </c>
      <c r="E5" s="2" t="s">
        <v>21</v>
      </c>
      <c r="F5" s="2" t="s">
        <v>30</v>
      </c>
      <c r="G5" s="8">
        <v>26</v>
      </c>
      <c r="H5" s="2" t="s">
        <v>33</v>
      </c>
      <c r="I5" s="2" t="s">
        <v>35</v>
      </c>
      <c r="J5" s="11">
        <v>42680</v>
      </c>
      <c r="K5" s="12">
        <f t="shared" si="0"/>
        <v>0.110968</v>
      </c>
    </row>
    <row r="6" spans="1:12" hidden="1">
      <c r="A6" s="10">
        <v>5</v>
      </c>
      <c r="B6" s="10" t="s">
        <v>17</v>
      </c>
      <c r="C6" s="10" t="s">
        <v>18</v>
      </c>
      <c r="D6" s="10" t="s">
        <v>862</v>
      </c>
      <c r="E6" s="2" t="s">
        <v>22</v>
      </c>
      <c r="F6" s="2" t="s">
        <v>30</v>
      </c>
      <c r="G6" s="8">
        <v>7</v>
      </c>
      <c r="H6" s="2" t="s">
        <v>33</v>
      </c>
      <c r="I6" s="2" t="s">
        <v>35</v>
      </c>
      <c r="J6" s="11">
        <v>42680</v>
      </c>
      <c r="K6" s="12">
        <f t="shared" si="0"/>
        <v>2.9876E-2</v>
      </c>
    </row>
    <row r="7" spans="1:12" hidden="1">
      <c r="A7" s="10">
        <v>6</v>
      </c>
      <c r="B7" s="10" t="s">
        <v>17</v>
      </c>
      <c r="C7" s="10" t="s">
        <v>18</v>
      </c>
      <c r="D7" s="10" t="s">
        <v>862</v>
      </c>
      <c r="E7" s="2" t="s">
        <v>23</v>
      </c>
      <c r="F7" s="2" t="s">
        <v>30</v>
      </c>
      <c r="G7" s="8">
        <v>1</v>
      </c>
      <c r="H7" s="2" t="s">
        <v>33</v>
      </c>
      <c r="I7" s="2" t="s">
        <v>35</v>
      </c>
      <c r="J7" s="11">
        <v>55920</v>
      </c>
      <c r="K7" s="12">
        <f t="shared" si="0"/>
        <v>5.5919999999999997E-3</v>
      </c>
    </row>
    <row r="8" spans="1:12" hidden="1">
      <c r="A8" s="10">
        <v>7</v>
      </c>
      <c r="B8" s="10" t="s">
        <v>17</v>
      </c>
      <c r="C8" s="10" t="s">
        <v>18</v>
      </c>
      <c r="D8" s="10" t="s">
        <v>896</v>
      </c>
      <c r="E8" s="2" t="s">
        <v>24</v>
      </c>
      <c r="F8" s="2" t="s">
        <v>31</v>
      </c>
      <c r="G8" s="8">
        <v>1</v>
      </c>
      <c r="H8" s="2" t="s">
        <v>34</v>
      </c>
      <c r="I8" s="2" t="s">
        <v>36</v>
      </c>
      <c r="J8" s="10">
        <v>18204</v>
      </c>
      <c r="K8" s="12">
        <f t="shared" si="0"/>
        <v>1.8204E-3</v>
      </c>
    </row>
    <row r="9" spans="1:12" hidden="1">
      <c r="A9" s="10">
        <v>8</v>
      </c>
      <c r="B9" s="10" t="s">
        <v>17</v>
      </c>
      <c r="C9" s="10" t="s">
        <v>18</v>
      </c>
      <c r="D9" s="10" t="s">
        <v>896</v>
      </c>
      <c r="E9" s="2" t="s">
        <v>25</v>
      </c>
      <c r="F9" s="2" t="s">
        <v>31</v>
      </c>
      <c r="G9" s="8">
        <v>5</v>
      </c>
      <c r="H9" s="2" t="s">
        <v>34</v>
      </c>
      <c r="I9" s="2" t="s">
        <v>36</v>
      </c>
      <c r="J9" s="11">
        <v>17461</v>
      </c>
      <c r="K9" s="12">
        <f t="shared" si="0"/>
        <v>8.7305000000000004E-3</v>
      </c>
    </row>
    <row r="10" spans="1:12" hidden="1">
      <c r="A10" s="10">
        <v>9</v>
      </c>
      <c r="B10" s="10" t="s">
        <v>17</v>
      </c>
      <c r="C10" s="10" t="s">
        <v>18</v>
      </c>
      <c r="D10" s="10" t="s">
        <v>896</v>
      </c>
      <c r="E10" s="2" t="s">
        <v>26</v>
      </c>
      <c r="F10" s="2" t="s">
        <v>32</v>
      </c>
      <c r="G10" s="8">
        <v>5</v>
      </c>
      <c r="H10" s="2" t="s">
        <v>34</v>
      </c>
      <c r="I10" s="2" t="s">
        <v>36</v>
      </c>
      <c r="J10" s="11">
        <v>14266</v>
      </c>
      <c r="K10" s="12">
        <f t="shared" si="0"/>
        <v>7.1329999999999996E-3</v>
      </c>
    </row>
    <row r="11" spans="1:12" hidden="1">
      <c r="A11" s="10">
        <v>10</v>
      </c>
      <c r="B11" s="10" t="s">
        <v>17</v>
      </c>
      <c r="C11" s="10" t="s">
        <v>18</v>
      </c>
      <c r="D11" s="10" t="s">
        <v>896</v>
      </c>
      <c r="E11" s="2" t="s">
        <v>27</v>
      </c>
      <c r="F11" s="2" t="s">
        <v>32</v>
      </c>
      <c r="G11" s="8">
        <v>2</v>
      </c>
      <c r="H11" s="2" t="s">
        <v>34</v>
      </c>
      <c r="I11" s="2" t="s">
        <v>36</v>
      </c>
      <c r="J11" s="11">
        <v>14117</v>
      </c>
      <c r="K11" s="12">
        <f t="shared" si="0"/>
        <v>2.8234000000000002E-3</v>
      </c>
    </row>
    <row r="12" spans="1:12" hidden="1">
      <c r="A12" s="10">
        <v>11</v>
      </c>
      <c r="B12" s="10" t="s">
        <v>17</v>
      </c>
      <c r="C12" s="10" t="s">
        <v>18</v>
      </c>
      <c r="D12" s="10" t="s">
        <v>896</v>
      </c>
      <c r="E12" s="2" t="s">
        <v>28</v>
      </c>
      <c r="F12" s="2" t="s">
        <v>32</v>
      </c>
      <c r="G12" s="8">
        <v>1</v>
      </c>
      <c r="H12" s="2" t="s">
        <v>34</v>
      </c>
      <c r="I12" s="2" t="s">
        <v>36</v>
      </c>
      <c r="J12" s="11">
        <v>14117</v>
      </c>
      <c r="K12" s="12">
        <f t="shared" si="0"/>
        <v>1.4117000000000001E-3</v>
      </c>
    </row>
    <row r="13" spans="1:12" hidden="1">
      <c r="A13" s="10">
        <v>12</v>
      </c>
      <c r="B13" s="10" t="s">
        <v>17</v>
      </c>
      <c r="C13" s="10" t="s">
        <v>18</v>
      </c>
      <c r="D13" s="10" t="s">
        <v>896</v>
      </c>
      <c r="E13" s="2" t="s">
        <v>29</v>
      </c>
      <c r="F13" s="2" t="s">
        <v>32</v>
      </c>
      <c r="G13" s="8">
        <v>5</v>
      </c>
      <c r="H13" s="2" t="s">
        <v>34</v>
      </c>
      <c r="I13" s="2" t="s">
        <v>36</v>
      </c>
      <c r="J13" s="11">
        <v>17832</v>
      </c>
      <c r="K13" s="12">
        <f t="shared" si="0"/>
        <v>8.9160000000000003E-3</v>
      </c>
    </row>
    <row r="14" spans="1:12" hidden="1">
      <c r="A14" s="10">
        <v>13</v>
      </c>
      <c r="B14" s="10" t="s">
        <v>38</v>
      </c>
      <c r="C14" s="10" t="s">
        <v>39</v>
      </c>
      <c r="D14" s="10" t="s">
        <v>721</v>
      </c>
      <c r="E14" s="2" t="s">
        <v>40</v>
      </c>
      <c r="F14" s="2" t="s">
        <v>179</v>
      </c>
      <c r="G14" s="2">
        <v>2</v>
      </c>
      <c r="H14" s="2" t="s">
        <v>33</v>
      </c>
      <c r="I14" s="2" t="s">
        <v>188</v>
      </c>
      <c r="J14" s="11">
        <v>28808.68</v>
      </c>
      <c r="K14" s="12">
        <f t="shared" si="0"/>
        <v>5.7617359999999999E-3</v>
      </c>
    </row>
    <row r="15" spans="1:12" hidden="1">
      <c r="A15" s="10">
        <v>14</v>
      </c>
      <c r="B15" s="10" t="s">
        <v>38</v>
      </c>
      <c r="C15" s="10" t="s">
        <v>39</v>
      </c>
      <c r="D15" s="10" t="s">
        <v>721</v>
      </c>
      <c r="E15" s="2" t="s">
        <v>41</v>
      </c>
      <c r="F15" s="2" t="s">
        <v>179</v>
      </c>
      <c r="G15" s="2">
        <v>2</v>
      </c>
      <c r="H15" s="2" t="s">
        <v>33</v>
      </c>
      <c r="I15" s="2" t="s">
        <v>188</v>
      </c>
      <c r="J15" s="11">
        <v>21796.25</v>
      </c>
      <c r="K15" s="12">
        <f t="shared" si="0"/>
        <v>4.3592500000000003E-3</v>
      </c>
    </row>
    <row r="16" spans="1:12" hidden="1">
      <c r="A16" s="10">
        <v>15</v>
      </c>
      <c r="B16" s="10" t="s">
        <v>38</v>
      </c>
      <c r="C16" s="10" t="s">
        <v>39</v>
      </c>
      <c r="D16" s="10" t="s">
        <v>721</v>
      </c>
      <c r="E16" s="2" t="s">
        <v>42</v>
      </c>
      <c r="F16" s="2" t="s">
        <v>179</v>
      </c>
      <c r="G16" s="2">
        <v>4</v>
      </c>
      <c r="H16" s="2" t="s">
        <v>33</v>
      </c>
      <c r="I16" s="2" t="s">
        <v>189</v>
      </c>
      <c r="J16" s="11">
        <v>7647</v>
      </c>
      <c r="K16" s="12">
        <f t="shared" si="0"/>
        <v>3.0588E-3</v>
      </c>
    </row>
    <row r="17" spans="1:11" hidden="1">
      <c r="A17" s="10">
        <v>16</v>
      </c>
      <c r="B17" s="10" t="s">
        <v>38</v>
      </c>
      <c r="C17" s="10" t="s">
        <v>39</v>
      </c>
      <c r="D17" s="10" t="s">
        <v>721</v>
      </c>
      <c r="E17" s="2" t="s">
        <v>43</v>
      </c>
      <c r="F17" s="2" t="s">
        <v>179</v>
      </c>
      <c r="G17" s="2">
        <v>2</v>
      </c>
      <c r="H17" s="2" t="s">
        <v>33</v>
      </c>
      <c r="I17" s="2" t="s">
        <v>190</v>
      </c>
      <c r="J17" s="11">
        <v>3501.25</v>
      </c>
      <c r="K17" s="12">
        <f t="shared" si="0"/>
        <v>7.0025000000000003E-4</v>
      </c>
    </row>
    <row r="18" spans="1:11" hidden="1">
      <c r="A18" s="10">
        <v>17</v>
      </c>
      <c r="B18" s="10" t="s">
        <v>38</v>
      </c>
      <c r="C18" s="10" t="s">
        <v>39</v>
      </c>
      <c r="D18" s="10" t="s">
        <v>721</v>
      </c>
      <c r="E18" s="2" t="s">
        <v>43</v>
      </c>
      <c r="F18" s="2" t="s">
        <v>179</v>
      </c>
      <c r="G18" s="2">
        <v>1</v>
      </c>
      <c r="H18" s="2" t="s">
        <v>33</v>
      </c>
      <c r="I18" s="2" t="s">
        <v>189</v>
      </c>
      <c r="J18" s="11">
        <v>3501.25</v>
      </c>
      <c r="K18" s="12">
        <f t="shared" si="0"/>
        <v>3.5012500000000001E-4</v>
      </c>
    </row>
    <row r="19" spans="1:11" hidden="1">
      <c r="A19" s="10">
        <v>18</v>
      </c>
      <c r="B19" s="10" t="s">
        <v>38</v>
      </c>
      <c r="C19" s="10" t="s">
        <v>39</v>
      </c>
      <c r="D19" s="10" t="s">
        <v>721</v>
      </c>
      <c r="E19" s="2" t="s">
        <v>44</v>
      </c>
      <c r="F19" s="2" t="s">
        <v>179</v>
      </c>
      <c r="G19" s="2">
        <v>1</v>
      </c>
      <c r="H19" s="2" t="s">
        <v>33</v>
      </c>
      <c r="I19" s="2" t="s">
        <v>189</v>
      </c>
      <c r="J19" s="11">
        <v>3501.25</v>
      </c>
      <c r="K19" s="12">
        <f t="shared" si="0"/>
        <v>3.5012500000000001E-4</v>
      </c>
    </row>
    <row r="20" spans="1:11" hidden="1">
      <c r="A20" s="10">
        <v>19</v>
      </c>
      <c r="B20" s="10" t="s">
        <v>38</v>
      </c>
      <c r="C20" s="10" t="s">
        <v>39</v>
      </c>
      <c r="D20" s="10" t="s">
        <v>721</v>
      </c>
      <c r="E20" s="2" t="s">
        <v>45</v>
      </c>
      <c r="F20" s="2" t="s">
        <v>179</v>
      </c>
      <c r="G20" s="2">
        <v>3</v>
      </c>
      <c r="H20" s="2" t="s">
        <v>33</v>
      </c>
      <c r="I20" s="2" t="s">
        <v>188</v>
      </c>
      <c r="J20" s="11">
        <v>1958.09</v>
      </c>
      <c r="K20" s="12">
        <f t="shared" si="0"/>
        <v>5.8742699999999996E-4</v>
      </c>
    </row>
    <row r="21" spans="1:11" hidden="1">
      <c r="A21" s="10">
        <v>20</v>
      </c>
      <c r="B21" s="10" t="s">
        <v>38</v>
      </c>
      <c r="C21" s="10" t="s">
        <v>39</v>
      </c>
      <c r="D21" s="10" t="s">
        <v>721</v>
      </c>
      <c r="E21" s="2" t="s">
        <v>46</v>
      </c>
      <c r="F21" s="2" t="s">
        <v>179</v>
      </c>
      <c r="G21" s="2">
        <v>6</v>
      </c>
      <c r="H21" s="2" t="s">
        <v>33</v>
      </c>
      <c r="I21" s="2" t="s">
        <v>189</v>
      </c>
      <c r="J21" s="11">
        <v>1958.09</v>
      </c>
      <c r="K21" s="12">
        <f t="shared" si="0"/>
        <v>1.1748539999999999E-3</v>
      </c>
    </row>
    <row r="22" spans="1:11" hidden="1">
      <c r="A22" s="10">
        <v>21</v>
      </c>
      <c r="B22" s="10" t="s">
        <v>38</v>
      </c>
      <c r="C22" s="10" t="s">
        <v>39</v>
      </c>
      <c r="D22" s="10" t="s">
        <v>721</v>
      </c>
      <c r="E22" s="2" t="s">
        <v>46</v>
      </c>
      <c r="F22" s="2" t="s">
        <v>179</v>
      </c>
      <c r="G22" s="2">
        <v>47</v>
      </c>
      <c r="H22" s="2" t="s">
        <v>33</v>
      </c>
      <c r="I22" s="2" t="s">
        <v>188</v>
      </c>
      <c r="J22" s="11">
        <v>1958.09</v>
      </c>
      <c r="K22" s="12">
        <f t="shared" si="0"/>
        <v>9.2030229999999994E-3</v>
      </c>
    </row>
    <row r="23" spans="1:11" hidden="1">
      <c r="A23" s="10">
        <v>22</v>
      </c>
      <c r="B23" s="10" t="s">
        <v>38</v>
      </c>
      <c r="C23" s="10" t="s">
        <v>39</v>
      </c>
      <c r="D23" s="10" t="s">
        <v>721</v>
      </c>
      <c r="E23" s="2" t="s">
        <v>47</v>
      </c>
      <c r="F23" s="2" t="s">
        <v>179</v>
      </c>
      <c r="G23" s="2">
        <v>67</v>
      </c>
      <c r="H23" s="2" t="s">
        <v>33</v>
      </c>
      <c r="I23" s="2" t="s">
        <v>191</v>
      </c>
      <c r="J23" s="11">
        <v>1538.57</v>
      </c>
      <c r="K23" s="12">
        <f t="shared" si="0"/>
        <v>1.0308419000000001E-2</v>
      </c>
    </row>
    <row r="24" spans="1:11" hidden="1">
      <c r="A24" s="10">
        <v>23</v>
      </c>
      <c r="B24" s="10" t="s">
        <v>38</v>
      </c>
      <c r="C24" s="10" t="s">
        <v>39</v>
      </c>
      <c r="D24" s="10" t="s">
        <v>721</v>
      </c>
      <c r="E24" s="2" t="s">
        <v>48</v>
      </c>
      <c r="F24" s="2" t="s">
        <v>179</v>
      </c>
      <c r="G24" s="2">
        <v>32</v>
      </c>
      <c r="H24" s="2" t="s">
        <v>33</v>
      </c>
      <c r="I24" s="2" t="s">
        <v>188</v>
      </c>
      <c r="J24" s="11">
        <v>1538.57</v>
      </c>
      <c r="K24" s="12">
        <f t="shared" si="0"/>
        <v>4.923424E-3</v>
      </c>
    </row>
    <row r="25" spans="1:11" hidden="1">
      <c r="A25" s="10">
        <v>24</v>
      </c>
      <c r="B25" s="10" t="s">
        <v>38</v>
      </c>
      <c r="C25" s="10" t="s">
        <v>39</v>
      </c>
      <c r="D25" s="10" t="s">
        <v>721</v>
      </c>
      <c r="E25" s="2" t="s">
        <v>49</v>
      </c>
      <c r="F25" s="2" t="s">
        <v>179</v>
      </c>
      <c r="G25" s="2">
        <v>160</v>
      </c>
      <c r="H25" s="2" t="s">
        <v>33</v>
      </c>
      <c r="I25" s="2" t="s">
        <v>191</v>
      </c>
      <c r="J25" s="11">
        <v>1538.57</v>
      </c>
      <c r="K25" s="12">
        <f t="shared" si="0"/>
        <v>2.4617119999999999E-2</v>
      </c>
    </row>
    <row r="26" spans="1:11" hidden="1">
      <c r="A26" s="10">
        <v>25</v>
      </c>
      <c r="B26" s="10" t="s">
        <v>38</v>
      </c>
      <c r="C26" s="10" t="s">
        <v>39</v>
      </c>
      <c r="D26" s="10" t="s">
        <v>721</v>
      </c>
      <c r="E26" s="2" t="s">
        <v>50</v>
      </c>
      <c r="F26" s="2" t="s">
        <v>179</v>
      </c>
      <c r="G26" s="2">
        <v>163</v>
      </c>
      <c r="H26" s="2" t="s">
        <v>33</v>
      </c>
      <c r="I26" s="2" t="s">
        <v>191</v>
      </c>
      <c r="J26" s="11">
        <v>1538.57</v>
      </c>
      <c r="K26" s="12">
        <f t="shared" si="0"/>
        <v>2.5078691E-2</v>
      </c>
    </row>
    <row r="27" spans="1:11" hidden="1">
      <c r="A27" s="10">
        <v>26</v>
      </c>
      <c r="B27" s="10" t="s">
        <v>38</v>
      </c>
      <c r="C27" s="10" t="s">
        <v>39</v>
      </c>
      <c r="D27" s="10" t="s">
        <v>721</v>
      </c>
      <c r="E27" s="2" t="s">
        <v>51</v>
      </c>
      <c r="F27" s="2" t="s">
        <v>179</v>
      </c>
      <c r="G27" s="2">
        <v>15</v>
      </c>
      <c r="H27" s="2" t="s">
        <v>33</v>
      </c>
      <c r="I27" s="2" t="s">
        <v>188</v>
      </c>
      <c r="J27" s="11">
        <v>1538.57</v>
      </c>
      <c r="K27" s="12">
        <f t="shared" si="0"/>
        <v>2.3078549999999997E-3</v>
      </c>
    </row>
    <row r="28" spans="1:11" hidden="1">
      <c r="A28" s="10">
        <v>27</v>
      </c>
      <c r="B28" s="10" t="s">
        <v>38</v>
      </c>
      <c r="C28" s="10" t="s">
        <v>39</v>
      </c>
      <c r="D28" s="10" t="s">
        <v>977</v>
      </c>
      <c r="E28" s="2" t="s">
        <v>52</v>
      </c>
      <c r="F28" s="2" t="s">
        <v>179</v>
      </c>
      <c r="G28" s="2">
        <v>22</v>
      </c>
      <c r="H28" s="2" t="s">
        <v>33</v>
      </c>
      <c r="I28" s="2" t="s">
        <v>189</v>
      </c>
      <c r="J28" s="11">
        <v>21050.66</v>
      </c>
      <c r="K28" s="12">
        <f t="shared" si="0"/>
        <v>4.6311452000000003E-2</v>
      </c>
    </row>
    <row r="29" spans="1:11" hidden="1">
      <c r="A29" s="10">
        <v>28</v>
      </c>
      <c r="B29" s="10" t="s">
        <v>38</v>
      </c>
      <c r="C29" s="10" t="s">
        <v>39</v>
      </c>
      <c r="D29" s="10" t="s">
        <v>977</v>
      </c>
      <c r="E29" s="2" t="s">
        <v>53</v>
      </c>
      <c r="F29" s="2" t="s">
        <v>179</v>
      </c>
      <c r="G29" s="2">
        <v>9</v>
      </c>
      <c r="H29" s="2" t="s">
        <v>33</v>
      </c>
      <c r="I29" s="2" t="s">
        <v>189</v>
      </c>
      <c r="J29" s="11">
        <v>14595</v>
      </c>
      <c r="K29" s="12">
        <f t="shared" si="0"/>
        <v>1.31355E-2</v>
      </c>
    </row>
    <row r="30" spans="1:11" hidden="1">
      <c r="A30" s="10">
        <v>29</v>
      </c>
      <c r="B30" s="10" t="s">
        <v>38</v>
      </c>
      <c r="C30" s="10" t="s">
        <v>39</v>
      </c>
      <c r="D30" s="10" t="s">
        <v>977</v>
      </c>
      <c r="E30" s="2" t="s">
        <v>54</v>
      </c>
      <c r="F30" s="2" t="s">
        <v>179</v>
      </c>
      <c r="G30" s="2">
        <v>134</v>
      </c>
      <c r="H30" s="2" t="s">
        <v>33</v>
      </c>
      <c r="I30" s="2" t="s">
        <v>189</v>
      </c>
      <c r="J30" s="10">
        <v>21050.66</v>
      </c>
      <c r="K30" s="12">
        <f t="shared" si="0"/>
        <v>0.282078844</v>
      </c>
    </row>
    <row r="31" spans="1:11" hidden="1">
      <c r="A31" s="10">
        <v>30</v>
      </c>
      <c r="B31" s="10" t="s">
        <v>38</v>
      </c>
      <c r="C31" s="10" t="s">
        <v>39</v>
      </c>
      <c r="D31" s="10" t="s">
        <v>977</v>
      </c>
      <c r="E31" s="2" t="s">
        <v>55</v>
      </c>
      <c r="F31" s="2" t="s">
        <v>179</v>
      </c>
      <c r="G31" s="2">
        <v>106</v>
      </c>
      <c r="H31" s="2" t="s">
        <v>33</v>
      </c>
      <c r="I31" s="2" t="s">
        <v>189</v>
      </c>
      <c r="J31" s="11">
        <v>6682</v>
      </c>
      <c r="K31" s="12">
        <f t="shared" si="0"/>
        <v>7.0829199999999995E-2</v>
      </c>
    </row>
    <row r="32" spans="1:11" hidden="1">
      <c r="A32" s="10">
        <v>31</v>
      </c>
      <c r="B32" s="10" t="s">
        <v>38</v>
      </c>
      <c r="C32" s="10" t="s">
        <v>39</v>
      </c>
      <c r="D32" s="10" t="s">
        <v>977</v>
      </c>
      <c r="E32" s="2" t="s">
        <v>55</v>
      </c>
      <c r="F32" s="2" t="s">
        <v>179</v>
      </c>
      <c r="G32" s="2">
        <v>39</v>
      </c>
      <c r="H32" s="2" t="s">
        <v>33</v>
      </c>
      <c r="I32" s="2" t="s">
        <v>191</v>
      </c>
      <c r="J32" s="11">
        <v>6682</v>
      </c>
      <c r="K32" s="12">
        <f t="shared" si="0"/>
        <v>2.6059800000000001E-2</v>
      </c>
    </row>
    <row r="33" spans="1:11" hidden="1">
      <c r="A33" s="10">
        <v>32</v>
      </c>
      <c r="B33" s="10" t="s">
        <v>38</v>
      </c>
      <c r="C33" s="10" t="s">
        <v>39</v>
      </c>
      <c r="D33" s="10" t="s">
        <v>977</v>
      </c>
      <c r="E33" s="2" t="s">
        <v>56</v>
      </c>
      <c r="F33" s="2" t="s">
        <v>179</v>
      </c>
      <c r="G33" s="2">
        <v>53</v>
      </c>
      <c r="H33" s="2" t="s">
        <v>33</v>
      </c>
      <c r="I33" s="2" t="s">
        <v>189</v>
      </c>
      <c r="J33" s="11">
        <v>3674.75</v>
      </c>
      <c r="K33" s="12">
        <f t="shared" si="0"/>
        <v>1.9476174999999998E-2</v>
      </c>
    </row>
    <row r="34" spans="1:11" hidden="1">
      <c r="A34" s="10">
        <v>33</v>
      </c>
      <c r="B34" s="10" t="s">
        <v>38</v>
      </c>
      <c r="C34" s="10" t="s">
        <v>39</v>
      </c>
      <c r="D34" s="10" t="s">
        <v>977</v>
      </c>
      <c r="E34" s="2" t="s">
        <v>56</v>
      </c>
      <c r="F34" s="2" t="s">
        <v>179</v>
      </c>
      <c r="G34" s="2">
        <v>131</v>
      </c>
      <c r="H34" s="2" t="s">
        <v>33</v>
      </c>
      <c r="I34" s="2" t="s">
        <v>191</v>
      </c>
      <c r="J34" s="11">
        <v>3674.75</v>
      </c>
      <c r="K34" s="12">
        <f t="shared" si="0"/>
        <v>4.8139225000000001E-2</v>
      </c>
    </row>
    <row r="35" spans="1:11" hidden="1">
      <c r="A35" s="10">
        <v>34</v>
      </c>
      <c r="B35" s="10" t="s">
        <v>38</v>
      </c>
      <c r="C35" s="10" t="s">
        <v>39</v>
      </c>
      <c r="D35" s="10" t="s">
        <v>977</v>
      </c>
      <c r="E35" s="2" t="s">
        <v>57</v>
      </c>
      <c r="F35" s="2" t="s">
        <v>179</v>
      </c>
      <c r="G35" s="2">
        <v>43</v>
      </c>
      <c r="H35" s="2" t="s">
        <v>33</v>
      </c>
      <c r="I35" s="2" t="s">
        <v>191</v>
      </c>
      <c r="J35" s="11">
        <v>3452</v>
      </c>
      <c r="K35" s="12">
        <f t="shared" si="0"/>
        <v>1.48436E-2</v>
      </c>
    </row>
    <row r="36" spans="1:11" hidden="1">
      <c r="A36" s="10">
        <v>35</v>
      </c>
      <c r="B36" s="10" t="s">
        <v>38</v>
      </c>
      <c r="C36" s="10" t="s">
        <v>39</v>
      </c>
      <c r="D36" s="10" t="s">
        <v>977</v>
      </c>
      <c r="E36" s="2" t="s">
        <v>57</v>
      </c>
      <c r="F36" s="2" t="s">
        <v>179</v>
      </c>
      <c r="G36" s="2">
        <v>25</v>
      </c>
      <c r="H36" s="2" t="s">
        <v>33</v>
      </c>
      <c r="I36" s="2" t="s">
        <v>189</v>
      </c>
      <c r="J36" s="11">
        <v>3452</v>
      </c>
      <c r="K36" s="12">
        <f t="shared" si="0"/>
        <v>8.6300000000000005E-3</v>
      </c>
    </row>
    <row r="37" spans="1:11" hidden="1">
      <c r="A37" s="10">
        <v>36</v>
      </c>
      <c r="B37" s="10" t="s">
        <v>38</v>
      </c>
      <c r="C37" s="10" t="s">
        <v>39</v>
      </c>
      <c r="D37" s="10" t="s">
        <v>977</v>
      </c>
      <c r="E37" s="2" t="s">
        <v>58</v>
      </c>
      <c r="F37" s="2" t="s">
        <v>179</v>
      </c>
      <c r="G37" s="2">
        <v>171</v>
      </c>
      <c r="H37" s="2" t="s">
        <v>33</v>
      </c>
      <c r="I37" s="2" t="s">
        <v>191</v>
      </c>
      <c r="J37" s="11">
        <v>2376.09</v>
      </c>
      <c r="K37" s="12">
        <f t="shared" si="0"/>
        <v>4.0631139000000004E-2</v>
      </c>
    </row>
    <row r="38" spans="1:11" hidden="1">
      <c r="A38" s="10">
        <v>37</v>
      </c>
      <c r="B38" s="10" t="s">
        <v>38</v>
      </c>
      <c r="C38" s="10" t="s">
        <v>39</v>
      </c>
      <c r="D38" s="10" t="s">
        <v>977</v>
      </c>
      <c r="E38" s="2" t="s">
        <v>58</v>
      </c>
      <c r="F38" s="2" t="s">
        <v>179</v>
      </c>
      <c r="G38" s="2">
        <v>78</v>
      </c>
      <c r="H38" s="2" t="s">
        <v>33</v>
      </c>
      <c r="I38" s="2" t="s">
        <v>189</v>
      </c>
      <c r="J38" s="11">
        <v>2376.09</v>
      </c>
      <c r="K38" s="12">
        <f t="shared" si="0"/>
        <v>1.8533502E-2</v>
      </c>
    </row>
    <row r="39" spans="1:11" hidden="1">
      <c r="A39" s="10">
        <v>38</v>
      </c>
      <c r="B39" s="10" t="s">
        <v>38</v>
      </c>
      <c r="C39" s="10" t="s">
        <v>39</v>
      </c>
      <c r="D39" s="10" t="s">
        <v>977</v>
      </c>
      <c r="E39" s="2" t="s">
        <v>59</v>
      </c>
      <c r="F39" s="2" t="s">
        <v>179</v>
      </c>
      <c r="G39" s="2">
        <v>85</v>
      </c>
      <c r="H39" s="2" t="s">
        <v>33</v>
      </c>
      <c r="I39" s="2" t="s">
        <v>189</v>
      </c>
      <c r="J39" s="11">
        <v>2675.97</v>
      </c>
      <c r="K39" s="12">
        <f t="shared" si="0"/>
        <v>2.2745744999999998E-2</v>
      </c>
    </row>
    <row r="40" spans="1:11" hidden="1">
      <c r="A40" s="10">
        <v>39</v>
      </c>
      <c r="B40" s="10" t="s">
        <v>38</v>
      </c>
      <c r="C40" s="10" t="s">
        <v>39</v>
      </c>
      <c r="D40" s="10" t="s">
        <v>977</v>
      </c>
      <c r="E40" s="2" t="s">
        <v>59</v>
      </c>
      <c r="F40" s="2" t="s">
        <v>179</v>
      </c>
      <c r="G40" s="2">
        <v>76</v>
      </c>
      <c r="H40" s="2" t="s">
        <v>33</v>
      </c>
      <c r="I40" s="2" t="s">
        <v>191</v>
      </c>
      <c r="J40" s="11">
        <v>2675.97</v>
      </c>
      <c r="K40" s="12">
        <f t="shared" si="0"/>
        <v>2.0337371999999996E-2</v>
      </c>
    </row>
    <row r="41" spans="1:11" hidden="1">
      <c r="A41" s="10">
        <v>40</v>
      </c>
      <c r="B41" s="10" t="s">
        <v>38</v>
      </c>
      <c r="C41" s="10" t="s">
        <v>39</v>
      </c>
      <c r="D41" s="10" t="s">
        <v>977</v>
      </c>
      <c r="E41" s="2" t="s">
        <v>60</v>
      </c>
      <c r="F41" s="2" t="s">
        <v>179</v>
      </c>
      <c r="G41" s="2">
        <v>212</v>
      </c>
      <c r="H41" s="2" t="s">
        <v>33</v>
      </c>
      <c r="I41" s="2" t="s">
        <v>191</v>
      </c>
      <c r="J41" s="11">
        <v>2675.97</v>
      </c>
      <c r="K41" s="12">
        <f t="shared" si="0"/>
        <v>5.6730564000000004E-2</v>
      </c>
    </row>
    <row r="42" spans="1:11" hidden="1">
      <c r="A42" s="10">
        <v>41</v>
      </c>
      <c r="B42" s="10" t="s">
        <v>38</v>
      </c>
      <c r="C42" s="10" t="s">
        <v>39</v>
      </c>
      <c r="D42" s="10" t="s">
        <v>716</v>
      </c>
      <c r="E42" s="2" t="s">
        <v>61</v>
      </c>
      <c r="F42" s="2" t="s">
        <v>179</v>
      </c>
      <c r="G42" s="2">
        <v>1</v>
      </c>
      <c r="H42" s="2" t="s">
        <v>33</v>
      </c>
      <c r="I42" s="2" t="s">
        <v>188</v>
      </c>
      <c r="J42" s="11">
        <v>10796</v>
      </c>
      <c r="K42" s="12">
        <f t="shared" si="0"/>
        <v>1.0796E-3</v>
      </c>
    </row>
    <row r="43" spans="1:11" hidden="1">
      <c r="A43" s="10">
        <v>42</v>
      </c>
      <c r="B43" s="10" t="s">
        <v>38</v>
      </c>
      <c r="C43" s="10" t="s">
        <v>39</v>
      </c>
      <c r="D43" s="10" t="s">
        <v>716</v>
      </c>
      <c r="E43" s="2" t="s">
        <v>62</v>
      </c>
      <c r="F43" s="2" t="s">
        <v>179</v>
      </c>
      <c r="G43" s="2">
        <v>1</v>
      </c>
      <c r="H43" s="2" t="s">
        <v>33</v>
      </c>
      <c r="I43" s="2" t="s">
        <v>189</v>
      </c>
      <c r="J43" s="11">
        <v>6897</v>
      </c>
      <c r="K43" s="12">
        <f t="shared" si="0"/>
        <v>6.8970000000000001E-4</v>
      </c>
    </row>
    <row r="44" spans="1:11" hidden="1">
      <c r="A44" s="10">
        <v>43</v>
      </c>
      <c r="B44" s="10" t="s">
        <v>38</v>
      </c>
      <c r="C44" s="10" t="s">
        <v>39</v>
      </c>
      <c r="D44" s="10" t="s">
        <v>716</v>
      </c>
      <c r="E44" s="2" t="s">
        <v>63</v>
      </c>
      <c r="F44" s="2" t="s">
        <v>179</v>
      </c>
      <c r="G44" s="2">
        <v>1</v>
      </c>
      <c r="H44" s="2" t="s">
        <v>33</v>
      </c>
      <c r="I44" s="2" t="s">
        <v>189</v>
      </c>
      <c r="J44" s="11">
        <v>6897</v>
      </c>
      <c r="K44" s="12">
        <f t="shared" si="0"/>
        <v>6.8970000000000001E-4</v>
      </c>
    </row>
    <row r="45" spans="1:11" hidden="1">
      <c r="A45" s="10">
        <v>44</v>
      </c>
      <c r="B45" s="10" t="s">
        <v>38</v>
      </c>
      <c r="C45" s="10" t="s">
        <v>39</v>
      </c>
      <c r="D45" s="10" t="s">
        <v>716</v>
      </c>
      <c r="E45" s="2" t="s">
        <v>64</v>
      </c>
      <c r="F45" s="2" t="s">
        <v>179</v>
      </c>
      <c r="G45" s="2">
        <v>1</v>
      </c>
      <c r="H45" s="2" t="s">
        <v>33</v>
      </c>
      <c r="I45" s="2" t="s">
        <v>189</v>
      </c>
      <c r="J45" s="11">
        <v>13685.3</v>
      </c>
      <c r="K45" s="12">
        <f t="shared" si="0"/>
        <v>1.36853E-3</v>
      </c>
    </row>
    <row r="46" spans="1:11" hidden="1">
      <c r="A46" s="10">
        <v>45</v>
      </c>
      <c r="B46" s="10" t="s">
        <v>38</v>
      </c>
      <c r="C46" s="10" t="s">
        <v>39</v>
      </c>
      <c r="D46" s="10" t="s">
        <v>716</v>
      </c>
      <c r="E46" s="2" t="s">
        <v>65</v>
      </c>
      <c r="F46" s="2" t="s">
        <v>179</v>
      </c>
      <c r="G46" s="2">
        <v>6</v>
      </c>
      <c r="H46" s="2" t="s">
        <v>33</v>
      </c>
      <c r="I46" s="2" t="s">
        <v>189</v>
      </c>
      <c r="J46" s="11">
        <v>9060.9699999999993</v>
      </c>
      <c r="K46" s="12">
        <f t="shared" si="0"/>
        <v>5.4365819999999988E-3</v>
      </c>
    </row>
    <row r="47" spans="1:11" hidden="1">
      <c r="A47" s="10">
        <v>46</v>
      </c>
      <c r="B47" s="10" t="s">
        <v>38</v>
      </c>
      <c r="C47" s="10" t="s">
        <v>39</v>
      </c>
      <c r="D47" s="10" t="s">
        <v>716</v>
      </c>
      <c r="E47" s="2" t="s">
        <v>66</v>
      </c>
      <c r="F47" s="2" t="s">
        <v>179</v>
      </c>
      <c r="G47" s="2">
        <v>8</v>
      </c>
      <c r="H47" s="2" t="s">
        <v>33</v>
      </c>
      <c r="I47" s="2" t="s">
        <v>189</v>
      </c>
      <c r="J47" s="11">
        <v>1708.35</v>
      </c>
      <c r="K47" s="12">
        <f t="shared" si="0"/>
        <v>1.3666799999999999E-3</v>
      </c>
    </row>
    <row r="48" spans="1:11" hidden="1">
      <c r="A48" s="10">
        <v>47</v>
      </c>
      <c r="B48" s="10" t="s">
        <v>38</v>
      </c>
      <c r="C48" s="10" t="s">
        <v>39</v>
      </c>
      <c r="D48" s="10" t="s">
        <v>716</v>
      </c>
      <c r="E48" s="2" t="s">
        <v>66</v>
      </c>
      <c r="F48" s="2" t="s">
        <v>179</v>
      </c>
      <c r="G48" s="2">
        <v>1</v>
      </c>
      <c r="H48" s="2" t="s">
        <v>33</v>
      </c>
      <c r="I48" s="2" t="s">
        <v>191</v>
      </c>
      <c r="J48" s="11">
        <v>1708.35</v>
      </c>
      <c r="K48" s="12">
        <f t="shared" si="0"/>
        <v>1.7083499999999999E-4</v>
      </c>
    </row>
    <row r="49" spans="1:11" hidden="1">
      <c r="A49" s="10">
        <v>48</v>
      </c>
      <c r="B49" s="10" t="s">
        <v>38</v>
      </c>
      <c r="C49" s="10" t="s">
        <v>39</v>
      </c>
      <c r="D49" s="10" t="s">
        <v>716</v>
      </c>
      <c r="E49" s="2" t="s">
        <v>67</v>
      </c>
      <c r="F49" s="2" t="s">
        <v>179</v>
      </c>
      <c r="G49" s="2">
        <v>1</v>
      </c>
      <c r="H49" s="2" t="s">
        <v>33</v>
      </c>
      <c r="I49" s="2" t="s">
        <v>189</v>
      </c>
      <c r="J49" s="11">
        <v>1708.35</v>
      </c>
      <c r="K49" s="12">
        <f t="shared" si="0"/>
        <v>1.7083499999999999E-4</v>
      </c>
    </row>
    <row r="50" spans="1:11" hidden="1">
      <c r="A50" s="10">
        <v>49</v>
      </c>
      <c r="B50" s="10" t="s">
        <v>38</v>
      </c>
      <c r="C50" s="10" t="s">
        <v>39</v>
      </c>
      <c r="D50" s="10" t="s">
        <v>716</v>
      </c>
      <c r="E50" s="2" t="s">
        <v>67</v>
      </c>
      <c r="F50" s="2" t="s">
        <v>179</v>
      </c>
      <c r="G50" s="2">
        <v>1</v>
      </c>
      <c r="H50" s="2" t="s">
        <v>33</v>
      </c>
      <c r="I50" s="2" t="s">
        <v>188</v>
      </c>
      <c r="J50" s="11">
        <v>1708.35</v>
      </c>
      <c r="K50" s="12">
        <f t="shared" si="0"/>
        <v>1.7083499999999999E-4</v>
      </c>
    </row>
    <row r="51" spans="1:11" hidden="1">
      <c r="A51" s="10">
        <v>50</v>
      </c>
      <c r="B51" s="10" t="s">
        <v>38</v>
      </c>
      <c r="C51" s="10" t="s">
        <v>39</v>
      </c>
      <c r="D51" s="10" t="s">
        <v>716</v>
      </c>
      <c r="E51" s="2" t="s">
        <v>68</v>
      </c>
      <c r="F51" s="2" t="s">
        <v>179</v>
      </c>
      <c r="G51" s="2">
        <v>2</v>
      </c>
      <c r="H51" s="2" t="s">
        <v>33</v>
      </c>
      <c r="I51" s="2" t="s">
        <v>191</v>
      </c>
      <c r="J51" s="11">
        <v>1708.35</v>
      </c>
      <c r="K51" s="12">
        <f t="shared" si="0"/>
        <v>3.4166999999999997E-4</v>
      </c>
    </row>
    <row r="52" spans="1:11" hidden="1">
      <c r="A52" s="10">
        <v>51</v>
      </c>
      <c r="B52" s="10" t="s">
        <v>38</v>
      </c>
      <c r="C52" s="10" t="s">
        <v>39</v>
      </c>
      <c r="D52" s="10" t="s">
        <v>716</v>
      </c>
      <c r="E52" s="2" t="s">
        <v>69</v>
      </c>
      <c r="F52" s="2" t="s">
        <v>179</v>
      </c>
      <c r="G52" s="2">
        <v>1</v>
      </c>
      <c r="H52" s="2" t="s">
        <v>33</v>
      </c>
      <c r="I52" s="2" t="s">
        <v>191</v>
      </c>
      <c r="J52" s="11">
        <v>1708.35</v>
      </c>
      <c r="K52" s="12">
        <f t="shared" si="0"/>
        <v>1.7083499999999999E-4</v>
      </c>
    </row>
    <row r="53" spans="1:11" hidden="1">
      <c r="A53" s="10">
        <v>52</v>
      </c>
      <c r="B53" s="10" t="s">
        <v>38</v>
      </c>
      <c r="C53" s="10" t="s">
        <v>39</v>
      </c>
      <c r="D53" s="10" t="s">
        <v>716</v>
      </c>
      <c r="E53" s="2" t="s">
        <v>69</v>
      </c>
      <c r="F53" s="2" t="s">
        <v>179</v>
      </c>
      <c r="G53" s="2">
        <v>2</v>
      </c>
      <c r="H53" s="2" t="s">
        <v>33</v>
      </c>
      <c r="I53" s="2" t="s">
        <v>189</v>
      </c>
      <c r="J53" s="11">
        <v>1708.35</v>
      </c>
      <c r="K53" s="12">
        <f t="shared" si="0"/>
        <v>3.4166999999999997E-4</v>
      </c>
    </row>
    <row r="54" spans="1:11" hidden="1">
      <c r="A54" s="10">
        <v>53</v>
      </c>
      <c r="B54" s="10" t="s">
        <v>38</v>
      </c>
      <c r="C54" s="10" t="s">
        <v>39</v>
      </c>
      <c r="D54" s="10" t="s">
        <v>716</v>
      </c>
      <c r="E54" s="2" t="s">
        <v>70</v>
      </c>
      <c r="F54" s="2" t="s">
        <v>179</v>
      </c>
      <c r="G54" s="2">
        <v>4</v>
      </c>
      <c r="H54" s="2" t="s">
        <v>33</v>
      </c>
      <c r="I54" s="2" t="s">
        <v>189</v>
      </c>
      <c r="J54" s="11">
        <v>1708.35</v>
      </c>
      <c r="K54" s="12">
        <f t="shared" si="0"/>
        <v>6.8333999999999995E-4</v>
      </c>
    </row>
    <row r="55" spans="1:11" hidden="1">
      <c r="A55" s="10">
        <v>54</v>
      </c>
      <c r="B55" s="10" t="s">
        <v>38</v>
      </c>
      <c r="C55" s="10" t="s">
        <v>39</v>
      </c>
      <c r="D55" s="10" t="s">
        <v>716</v>
      </c>
      <c r="E55" s="2" t="s">
        <v>70</v>
      </c>
      <c r="F55" s="2" t="s">
        <v>179</v>
      </c>
      <c r="G55" s="2">
        <v>1</v>
      </c>
      <c r="H55" s="2" t="s">
        <v>33</v>
      </c>
      <c r="I55" s="2" t="s">
        <v>188</v>
      </c>
      <c r="J55" s="11">
        <v>1708.35</v>
      </c>
      <c r="K55" s="12">
        <f t="shared" si="0"/>
        <v>1.7083499999999999E-4</v>
      </c>
    </row>
    <row r="56" spans="1:11" hidden="1">
      <c r="A56" s="10">
        <v>55</v>
      </c>
      <c r="B56" s="10" t="s">
        <v>38</v>
      </c>
      <c r="C56" s="10" t="s">
        <v>39</v>
      </c>
      <c r="D56" s="10" t="s">
        <v>716</v>
      </c>
      <c r="E56" s="2" t="s">
        <v>71</v>
      </c>
      <c r="F56" s="2" t="s">
        <v>179</v>
      </c>
      <c r="G56" s="2">
        <v>2</v>
      </c>
      <c r="H56" s="2" t="s">
        <v>33</v>
      </c>
      <c r="I56" s="2" t="s">
        <v>188</v>
      </c>
      <c r="J56" s="11">
        <v>1708.35</v>
      </c>
      <c r="K56" s="12">
        <f t="shared" si="0"/>
        <v>3.4166999999999997E-4</v>
      </c>
    </row>
    <row r="57" spans="1:11" hidden="1">
      <c r="A57" s="10">
        <v>56</v>
      </c>
      <c r="B57" s="10" t="s">
        <v>38</v>
      </c>
      <c r="C57" s="10" t="s">
        <v>39</v>
      </c>
      <c r="D57" s="10" t="s">
        <v>716</v>
      </c>
      <c r="E57" s="2" t="s">
        <v>72</v>
      </c>
      <c r="F57" s="2" t="s">
        <v>179</v>
      </c>
      <c r="G57" s="2">
        <v>1</v>
      </c>
      <c r="H57" s="2" t="s">
        <v>33</v>
      </c>
      <c r="I57" s="2" t="s">
        <v>189</v>
      </c>
      <c r="J57" s="11">
        <v>1708.35</v>
      </c>
      <c r="K57" s="12">
        <f t="shared" si="0"/>
        <v>1.7083499999999999E-4</v>
      </c>
    </row>
    <row r="58" spans="1:11" hidden="1">
      <c r="A58" s="10">
        <v>57</v>
      </c>
      <c r="B58" s="10" t="s">
        <v>38</v>
      </c>
      <c r="C58" s="10" t="s">
        <v>39</v>
      </c>
      <c r="D58" s="10" t="s">
        <v>716</v>
      </c>
      <c r="E58" s="2" t="s">
        <v>73</v>
      </c>
      <c r="F58" s="2" t="s">
        <v>179</v>
      </c>
      <c r="G58" s="2">
        <v>6</v>
      </c>
      <c r="H58" s="2" t="s">
        <v>33</v>
      </c>
      <c r="I58" s="2" t="s">
        <v>191</v>
      </c>
      <c r="J58" s="11">
        <v>1708.35</v>
      </c>
      <c r="K58" s="12">
        <f t="shared" si="0"/>
        <v>1.0250099999999998E-3</v>
      </c>
    </row>
    <row r="59" spans="1:11" hidden="1">
      <c r="A59" s="10">
        <v>58</v>
      </c>
      <c r="B59" s="10" t="s">
        <v>38</v>
      </c>
      <c r="C59" s="10" t="s">
        <v>39</v>
      </c>
      <c r="D59" s="10" t="s">
        <v>716</v>
      </c>
      <c r="E59" s="2" t="s">
        <v>74</v>
      </c>
      <c r="F59" s="2" t="s">
        <v>179</v>
      </c>
      <c r="G59" s="2">
        <v>10</v>
      </c>
      <c r="H59" s="2" t="s">
        <v>33</v>
      </c>
      <c r="I59" s="2" t="s">
        <v>191</v>
      </c>
      <c r="J59" s="11">
        <v>1708.35</v>
      </c>
      <c r="K59" s="12">
        <f t="shared" si="0"/>
        <v>1.70835E-3</v>
      </c>
    </row>
    <row r="60" spans="1:11" hidden="1">
      <c r="A60" s="10">
        <v>59</v>
      </c>
      <c r="B60" s="10" t="s">
        <v>38</v>
      </c>
      <c r="C60" s="10" t="s">
        <v>39</v>
      </c>
      <c r="D60" s="10" t="s">
        <v>716</v>
      </c>
      <c r="E60" s="2" t="s">
        <v>75</v>
      </c>
      <c r="F60" s="2" t="s">
        <v>179</v>
      </c>
      <c r="G60" s="2">
        <v>2</v>
      </c>
      <c r="H60" s="2" t="s">
        <v>33</v>
      </c>
      <c r="I60" s="2" t="s">
        <v>189</v>
      </c>
      <c r="J60" s="11">
        <v>1708.35</v>
      </c>
      <c r="K60" s="12">
        <f t="shared" si="0"/>
        <v>3.4166999999999997E-4</v>
      </c>
    </row>
    <row r="61" spans="1:11" hidden="1">
      <c r="A61" s="10">
        <v>60</v>
      </c>
      <c r="B61" s="10" t="s">
        <v>38</v>
      </c>
      <c r="C61" s="10" t="s">
        <v>39</v>
      </c>
      <c r="D61" s="10" t="s">
        <v>716</v>
      </c>
      <c r="E61" s="2" t="s">
        <v>76</v>
      </c>
      <c r="F61" s="2" t="s">
        <v>179</v>
      </c>
      <c r="G61" s="2">
        <v>24</v>
      </c>
      <c r="H61" s="2" t="s">
        <v>33</v>
      </c>
      <c r="I61" s="2" t="s">
        <v>191</v>
      </c>
      <c r="J61" s="11">
        <v>1708.35</v>
      </c>
      <c r="K61" s="12">
        <f t="shared" si="0"/>
        <v>4.1000399999999992E-3</v>
      </c>
    </row>
    <row r="62" spans="1:11" hidden="1">
      <c r="A62" s="10">
        <v>61</v>
      </c>
      <c r="B62" s="10" t="s">
        <v>38</v>
      </c>
      <c r="C62" s="10" t="s">
        <v>39</v>
      </c>
      <c r="D62" s="10" t="s">
        <v>716</v>
      </c>
      <c r="E62" s="2" t="s">
        <v>76</v>
      </c>
      <c r="F62" s="2" t="s">
        <v>179</v>
      </c>
      <c r="G62" s="2">
        <v>6</v>
      </c>
      <c r="H62" s="2" t="s">
        <v>33</v>
      </c>
      <c r="I62" s="2" t="s">
        <v>189</v>
      </c>
      <c r="J62" s="11">
        <v>1708.35</v>
      </c>
      <c r="K62" s="12">
        <f t="shared" si="0"/>
        <v>1.0250099999999998E-3</v>
      </c>
    </row>
    <row r="63" spans="1:11" hidden="1">
      <c r="A63" s="10">
        <v>62</v>
      </c>
      <c r="B63" s="10" t="s">
        <v>38</v>
      </c>
      <c r="C63" s="10" t="s">
        <v>39</v>
      </c>
      <c r="D63" s="10" t="s">
        <v>716</v>
      </c>
      <c r="E63" s="2" t="s">
        <v>77</v>
      </c>
      <c r="F63" s="2" t="s">
        <v>179</v>
      </c>
      <c r="G63" s="2">
        <v>12</v>
      </c>
      <c r="H63" s="2" t="s">
        <v>33</v>
      </c>
      <c r="I63" s="2" t="s">
        <v>188</v>
      </c>
      <c r="J63" s="11">
        <v>1708.35</v>
      </c>
      <c r="K63" s="12">
        <f t="shared" si="0"/>
        <v>2.0500199999999996E-3</v>
      </c>
    </row>
    <row r="64" spans="1:11" hidden="1">
      <c r="A64" s="10">
        <v>63</v>
      </c>
      <c r="B64" s="10" t="s">
        <v>38</v>
      </c>
      <c r="C64" s="10" t="s">
        <v>39</v>
      </c>
      <c r="D64" s="10" t="s">
        <v>716</v>
      </c>
      <c r="E64" s="2" t="s">
        <v>77</v>
      </c>
      <c r="F64" s="2" t="s">
        <v>179</v>
      </c>
      <c r="G64" s="2">
        <v>4</v>
      </c>
      <c r="H64" s="2" t="s">
        <v>33</v>
      </c>
      <c r="I64" s="2" t="s">
        <v>189</v>
      </c>
      <c r="J64" s="11">
        <v>1708.35</v>
      </c>
      <c r="K64" s="12">
        <f t="shared" si="0"/>
        <v>6.8333999999999995E-4</v>
      </c>
    </row>
    <row r="65" spans="1:11" hidden="1">
      <c r="A65" s="10">
        <v>64</v>
      </c>
      <c r="B65" s="10" t="s">
        <v>38</v>
      </c>
      <c r="C65" s="10" t="s">
        <v>39</v>
      </c>
      <c r="D65" s="10" t="s">
        <v>716</v>
      </c>
      <c r="E65" s="2" t="s">
        <v>78</v>
      </c>
      <c r="F65" s="2" t="s">
        <v>179</v>
      </c>
      <c r="G65" s="2">
        <v>1</v>
      </c>
      <c r="H65" s="2" t="s">
        <v>33</v>
      </c>
      <c r="I65" s="2" t="s">
        <v>189</v>
      </c>
      <c r="J65" s="11">
        <v>1708.35</v>
      </c>
      <c r="K65" s="12">
        <f t="shared" si="0"/>
        <v>1.7083499999999999E-4</v>
      </c>
    </row>
    <row r="66" spans="1:11" hidden="1">
      <c r="A66" s="10">
        <v>65</v>
      </c>
      <c r="B66" s="10" t="s">
        <v>38</v>
      </c>
      <c r="C66" s="10" t="s">
        <v>39</v>
      </c>
      <c r="D66" s="10" t="s">
        <v>716</v>
      </c>
      <c r="E66" s="2" t="s">
        <v>79</v>
      </c>
      <c r="F66" s="2" t="s">
        <v>179</v>
      </c>
      <c r="G66" s="2">
        <v>1</v>
      </c>
      <c r="H66" s="2" t="s">
        <v>33</v>
      </c>
      <c r="I66" s="2" t="s">
        <v>191</v>
      </c>
      <c r="J66" s="11">
        <v>1708.35</v>
      </c>
      <c r="K66" s="12">
        <f t="shared" ref="K66:K129" si="1">(J66*G66)/10000000</f>
        <v>1.7083499999999999E-4</v>
      </c>
    </row>
    <row r="67" spans="1:11" hidden="1">
      <c r="A67" s="10">
        <v>66</v>
      </c>
      <c r="B67" s="10" t="s">
        <v>38</v>
      </c>
      <c r="C67" s="10" t="s">
        <v>39</v>
      </c>
      <c r="D67" s="10" t="s">
        <v>716</v>
      </c>
      <c r="E67" s="2" t="s">
        <v>80</v>
      </c>
      <c r="F67" s="2" t="s">
        <v>179</v>
      </c>
      <c r="G67" s="2">
        <v>24</v>
      </c>
      <c r="H67" s="2" t="s">
        <v>33</v>
      </c>
      <c r="I67" s="2" t="s">
        <v>191</v>
      </c>
      <c r="J67" s="11">
        <v>1708.35</v>
      </c>
      <c r="K67" s="12">
        <f t="shared" si="1"/>
        <v>4.1000399999999992E-3</v>
      </c>
    </row>
    <row r="68" spans="1:11" hidden="1">
      <c r="A68" s="10">
        <v>67</v>
      </c>
      <c r="B68" s="10" t="s">
        <v>38</v>
      </c>
      <c r="C68" s="10" t="s">
        <v>39</v>
      </c>
      <c r="D68" s="10" t="s">
        <v>716</v>
      </c>
      <c r="E68" s="2" t="s">
        <v>80</v>
      </c>
      <c r="F68" s="2" t="s">
        <v>179</v>
      </c>
      <c r="G68" s="2">
        <v>4</v>
      </c>
      <c r="H68" s="2" t="s">
        <v>33</v>
      </c>
      <c r="I68" s="2" t="s">
        <v>188</v>
      </c>
      <c r="J68" s="11">
        <v>1708.35</v>
      </c>
      <c r="K68" s="12">
        <f t="shared" si="1"/>
        <v>6.8333999999999995E-4</v>
      </c>
    </row>
    <row r="69" spans="1:11" hidden="1">
      <c r="A69" s="10">
        <v>68</v>
      </c>
      <c r="B69" s="10" t="s">
        <v>38</v>
      </c>
      <c r="C69" s="10" t="s">
        <v>39</v>
      </c>
      <c r="D69" s="10" t="s">
        <v>716</v>
      </c>
      <c r="E69" s="2" t="s">
        <v>80</v>
      </c>
      <c r="F69" s="2" t="s">
        <v>179</v>
      </c>
      <c r="G69" s="2">
        <v>2</v>
      </c>
      <c r="H69" s="2" t="s">
        <v>33</v>
      </c>
      <c r="I69" s="2" t="s">
        <v>189</v>
      </c>
      <c r="J69" s="11">
        <v>1708.35</v>
      </c>
      <c r="K69" s="12">
        <f t="shared" si="1"/>
        <v>3.4166999999999997E-4</v>
      </c>
    </row>
    <row r="70" spans="1:11" hidden="1">
      <c r="A70" s="10">
        <v>69</v>
      </c>
      <c r="B70" s="10" t="s">
        <v>38</v>
      </c>
      <c r="C70" s="10" t="s">
        <v>39</v>
      </c>
      <c r="D70" s="10" t="s">
        <v>716</v>
      </c>
      <c r="E70" s="2" t="s">
        <v>81</v>
      </c>
      <c r="F70" s="2" t="s">
        <v>179</v>
      </c>
      <c r="G70" s="2">
        <v>3</v>
      </c>
      <c r="H70" s="2" t="s">
        <v>33</v>
      </c>
      <c r="I70" s="2" t="s">
        <v>191</v>
      </c>
      <c r="J70" s="11">
        <v>1708.35</v>
      </c>
      <c r="K70" s="12">
        <f t="shared" si="1"/>
        <v>5.1250499999999991E-4</v>
      </c>
    </row>
    <row r="71" spans="1:11" hidden="1">
      <c r="A71" s="10">
        <v>70</v>
      </c>
      <c r="B71" s="10" t="s">
        <v>38</v>
      </c>
      <c r="C71" s="10" t="s">
        <v>39</v>
      </c>
      <c r="D71" s="10" t="s">
        <v>716</v>
      </c>
      <c r="E71" s="2" t="s">
        <v>81</v>
      </c>
      <c r="F71" s="2" t="s">
        <v>179</v>
      </c>
      <c r="G71" s="2">
        <v>2</v>
      </c>
      <c r="H71" s="2" t="s">
        <v>33</v>
      </c>
      <c r="I71" s="2" t="s">
        <v>189</v>
      </c>
      <c r="J71" s="11">
        <v>1708.35</v>
      </c>
      <c r="K71" s="12">
        <f t="shared" si="1"/>
        <v>3.4166999999999997E-4</v>
      </c>
    </row>
    <row r="72" spans="1:11" hidden="1">
      <c r="A72" s="10">
        <v>71</v>
      </c>
      <c r="B72" s="10" t="s">
        <v>38</v>
      </c>
      <c r="C72" s="10" t="s">
        <v>39</v>
      </c>
      <c r="D72" s="10" t="s">
        <v>716</v>
      </c>
      <c r="E72" s="2" t="s">
        <v>82</v>
      </c>
      <c r="F72" s="2" t="s">
        <v>179</v>
      </c>
      <c r="G72" s="2">
        <v>13</v>
      </c>
      <c r="H72" s="2" t="s">
        <v>33</v>
      </c>
      <c r="I72" s="2" t="s">
        <v>188</v>
      </c>
      <c r="J72" s="11">
        <v>1708.35</v>
      </c>
      <c r="K72" s="12">
        <f t="shared" si="1"/>
        <v>2.2208549999999999E-3</v>
      </c>
    </row>
    <row r="73" spans="1:11" hidden="1">
      <c r="A73" s="10">
        <v>72</v>
      </c>
      <c r="B73" s="10" t="s">
        <v>38</v>
      </c>
      <c r="C73" s="10" t="s">
        <v>39</v>
      </c>
      <c r="D73" s="10" t="s">
        <v>716</v>
      </c>
      <c r="E73" s="2" t="s">
        <v>83</v>
      </c>
      <c r="F73" s="2" t="s">
        <v>179</v>
      </c>
      <c r="G73" s="2">
        <v>1</v>
      </c>
      <c r="H73" s="2" t="s">
        <v>33</v>
      </c>
      <c r="I73" s="2" t="s">
        <v>188</v>
      </c>
      <c r="J73" s="11">
        <v>1708.35</v>
      </c>
      <c r="K73" s="12">
        <f t="shared" si="1"/>
        <v>1.7083499999999999E-4</v>
      </c>
    </row>
    <row r="74" spans="1:11" hidden="1">
      <c r="A74" s="10">
        <v>73</v>
      </c>
      <c r="B74" s="10" t="s">
        <v>38</v>
      </c>
      <c r="C74" s="10" t="s">
        <v>39</v>
      </c>
      <c r="D74" s="10" t="s">
        <v>716</v>
      </c>
      <c r="E74" s="2" t="s">
        <v>84</v>
      </c>
      <c r="F74" s="2" t="s">
        <v>179</v>
      </c>
      <c r="G74" s="2">
        <v>19</v>
      </c>
      <c r="H74" s="2" t="s">
        <v>33</v>
      </c>
      <c r="I74" s="2" t="s">
        <v>191</v>
      </c>
      <c r="J74" s="11">
        <v>1708.35</v>
      </c>
      <c r="K74" s="12">
        <f t="shared" si="1"/>
        <v>3.2458649999999997E-3</v>
      </c>
    </row>
    <row r="75" spans="1:11" hidden="1">
      <c r="A75" s="10">
        <v>74</v>
      </c>
      <c r="B75" s="10" t="s">
        <v>38</v>
      </c>
      <c r="C75" s="10" t="s">
        <v>39</v>
      </c>
      <c r="D75" s="10" t="s">
        <v>716</v>
      </c>
      <c r="E75" s="2" t="s">
        <v>84</v>
      </c>
      <c r="F75" s="2" t="s">
        <v>179</v>
      </c>
      <c r="G75" s="2">
        <v>3</v>
      </c>
      <c r="H75" s="2" t="s">
        <v>33</v>
      </c>
      <c r="I75" s="2" t="s">
        <v>189</v>
      </c>
      <c r="J75" s="11">
        <v>1708.35</v>
      </c>
      <c r="K75" s="12">
        <f t="shared" si="1"/>
        <v>5.1250499999999991E-4</v>
      </c>
    </row>
    <row r="76" spans="1:11" hidden="1">
      <c r="A76" s="10">
        <v>75</v>
      </c>
      <c r="B76" s="10" t="s">
        <v>38</v>
      </c>
      <c r="C76" s="10" t="s">
        <v>39</v>
      </c>
      <c r="D76" s="10" t="s">
        <v>716</v>
      </c>
      <c r="E76" s="2" t="s">
        <v>85</v>
      </c>
      <c r="F76" s="2" t="s">
        <v>179</v>
      </c>
      <c r="G76" s="2">
        <v>7</v>
      </c>
      <c r="H76" s="2" t="s">
        <v>33</v>
      </c>
      <c r="I76" s="2" t="s">
        <v>191</v>
      </c>
      <c r="J76" s="11">
        <v>1708.35</v>
      </c>
      <c r="K76" s="12">
        <f t="shared" si="1"/>
        <v>1.1958449999999999E-3</v>
      </c>
    </row>
    <row r="77" spans="1:11" hidden="1">
      <c r="A77" s="10">
        <v>76</v>
      </c>
      <c r="B77" s="10" t="s">
        <v>38</v>
      </c>
      <c r="C77" s="10" t="s">
        <v>39</v>
      </c>
      <c r="D77" s="10" t="s">
        <v>716</v>
      </c>
      <c r="E77" s="2" t="s">
        <v>86</v>
      </c>
      <c r="F77" s="2" t="s">
        <v>179</v>
      </c>
      <c r="G77" s="2">
        <v>8</v>
      </c>
      <c r="H77" s="2" t="s">
        <v>33</v>
      </c>
      <c r="I77" s="2" t="s">
        <v>191</v>
      </c>
      <c r="J77" s="11">
        <v>1708.35</v>
      </c>
      <c r="K77" s="12">
        <f t="shared" si="1"/>
        <v>1.3666799999999999E-3</v>
      </c>
    </row>
    <row r="78" spans="1:11" hidden="1">
      <c r="A78" s="10">
        <v>77</v>
      </c>
      <c r="B78" s="10" t="s">
        <v>38</v>
      </c>
      <c r="C78" s="10" t="s">
        <v>39</v>
      </c>
      <c r="D78" s="10" t="s">
        <v>716</v>
      </c>
      <c r="E78" s="2" t="s">
        <v>87</v>
      </c>
      <c r="F78" s="2" t="s">
        <v>179</v>
      </c>
      <c r="G78" s="2">
        <v>19</v>
      </c>
      <c r="H78" s="2" t="s">
        <v>33</v>
      </c>
      <c r="I78" s="2" t="s">
        <v>191</v>
      </c>
      <c r="J78" s="11">
        <v>1708.35</v>
      </c>
      <c r="K78" s="12">
        <f t="shared" si="1"/>
        <v>3.2458649999999997E-3</v>
      </c>
    </row>
    <row r="79" spans="1:11" hidden="1">
      <c r="A79" s="10">
        <v>78</v>
      </c>
      <c r="B79" s="10" t="s">
        <v>38</v>
      </c>
      <c r="C79" s="10" t="s">
        <v>39</v>
      </c>
      <c r="D79" s="10" t="s">
        <v>716</v>
      </c>
      <c r="E79" s="2" t="s">
        <v>88</v>
      </c>
      <c r="F79" s="2" t="s">
        <v>179</v>
      </c>
      <c r="G79" s="2">
        <v>13</v>
      </c>
      <c r="H79" s="2" t="s">
        <v>33</v>
      </c>
      <c r="I79" s="2" t="s">
        <v>188</v>
      </c>
      <c r="J79" s="11">
        <v>1708.35</v>
      </c>
      <c r="K79" s="12">
        <f t="shared" si="1"/>
        <v>2.2208549999999999E-3</v>
      </c>
    </row>
    <row r="80" spans="1:11" hidden="1">
      <c r="A80" s="10">
        <v>79</v>
      </c>
      <c r="B80" s="10" t="s">
        <v>38</v>
      </c>
      <c r="C80" s="10" t="s">
        <v>39</v>
      </c>
      <c r="D80" s="10" t="s">
        <v>716</v>
      </c>
      <c r="E80" s="2" t="s">
        <v>89</v>
      </c>
      <c r="F80" s="2" t="s">
        <v>179</v>
      </c>
      <c r="G80" s="2">
        <v>17</v>
      </c>
      <c r="H80" s="2" t="s">
        <v>33</v>
      </c>
      <c r="I80" s="2" t="s">
        <v>191</v>
      </c>
      <c r="J80" s="11">
        <v>1708.35</v>
      </c>
      <c r="K80" s="12">
        <f t="shared" si="1"/>
        <v>2.9041949999999996E-3</v>
      </c>
    </row>
    <row r="81" spans="1:11" hidden="1">
      <c r="A81" s="10">
        <v>80</v>
      </c>
      <c r="B81" s="10" t="s">
        <v>38</v>
      </c>
      <c r="C81" s="10" t="s">
        <v>39</v>
      </c>
      <c r="D81" s="10" t="s">
        <v>716</v>
      </c>
      <c r="E81" s="2" t="s">
        <v>90</v>
      </c>
      <c r="F81" s="2" t="s">
        <v>179</v>
      </c>
      <c r="G81" s="2">
        <v>1</v>
      </c>
      <c r="H81" s="2" t="s">
        <v>33</v>
      </c>
      <c r="I81" s="2" t="s">
        <v>188</v>
      </c>
      <c r="J81" s="11">
        <v>6897</v>
      </c>
      <c r="K81" s="12">
        <f t="shared" si="1"/>
        <v>6.8970000000000001E-4</v>
      </c>
    </row>
    <row r="82" spans="1:11" hidden="1">
      <c r="A82" s="10">
        <v>81</v>
      </c>
      <c r="B82" s="10" t="s">
        <v>38</v>
      </c>
      <c r="C82" s="10" t="s">
        <v>39</v>
      </c>
      <c r="D82" s="10" t="s">
        <v>716</v>
      </c>
      <c r="E82" s="2" t="s">
        <v>91</v>
      </c>
      <c r="F82" s="2" t="s">
        <v>179</v>
      </c>
      <c r="G82" s="2">
        <v>3</v>
      </c>
      <c r="H82" s="2" t="s">
        <v>33</v>
      </c>
      <c r="I82" s="2" t="s">
        <v>188</v>
      </c>
      <c r="J82" s="11">
        <v>6897</v>
      </c>
      <c r="K82" s="12">
        <f t="shared" si="1"/>
        <v>2.0690999999999999E-3</v>
      </c>
    </row>
    <row r="83" spans="1:11" hidden="1">
      <c r="A83" s="10">
        <v>82</v>
      </c>
      <c r="B83" s="10" t="s">
        <v>38</v>
      </c>
      <c r="C83" s="10" t="s">
        <v>39</v>
      </c>
      <c r="D83" s="10" t="s">
        <v>716</v>
      </c>
      <c r="E83" s="2" t="s">
        <v>92</v>
      </c>
      <c r="F83" s="2" t="s">
        <v>179</v>
      </c>
      <c r="G83" s="2">
        <v>12</v>
      </c>
      <c r="H83" s="2" t="s">
        <v>33</v>
      </c>
      <c r="I83" s="2" t="s">
        <v>188</v>
      </c>
      <c r="J83" s="11">
        <v>6897</v>
      </c>
      <c r="K83" s="12">
        <f t="shared" si="1"/>
        <v>8.2763999999999997E-3</v>
      </c>
    </row>
    <row r="84" spans="1:11" hidden="1">
      <c r="A84" s="10">
        <v>83</v>
      </c>
      <c r="B84" s="10" t="s">
        <v>38</v>
      </c>
      <c r="C84" s="10" t="s">
        <v>39</v>
      </c>
      <c r="D84" s="10" t="s">
        <v>716</v>
      </c>
      <c r="E84" s="2" t="s">
        <v>93</v>
      </c>
      <c r="F84" s="2" t="s">
        <v>179</v>
      </c>
      <c r="G84" s="2">
        <v>2</v>
      </c>
      <c r="H84" s="2" t="s">
        <v>33</v>
      </c>
      <c r="I84" s="2" t="s">
        <v>188</v>
      </c>
      <c r="J84" s="11">
        <v>6897</v>
      </c>
      <c r="K84" s="12">
        <f t="shared" si="1"/>
        <v>1.3794E-3</v>
      </c>
    </row>
    <row r="85" spans="1:11" hidden="1">
      <c r="A85" s="10">
        <v>84</v>
      </c>
      <c r="B85" s="10" t="s">
        <v>38</v>
      </c>
      <c r="C85" s="10" t="s">
        <v>39</v>
      </c>
      <c r="D85" s="10" t="s">
        <v>716</v>
      </c>
      <c r="E85" s="2" t="s">
        <v>94</v>
      </c>
      <c r="F85" s="2" t="s">
        <v>179</v>
      </c>
      <c r="G85" s="2">
        <v>7</v>
      </c>
      <c r="H85" s="2" t="s">
        <v>33</v>
      </c>
      <c r="I85" s="2" t="s">
        <v>188</v>
      </c>
      <c r="J85" s="11">
        <v>6897</v>
      </c>
      <c r="K85" s="12">
        <f t="shared" si="1"/>
        <v>4.8279000000000004E-3</v>
      </c>
    </row>
    <row r="86" spans="1:11" hidden="1">
      <c r="A86" s="10">
        <v>85</v>
      </c>
      <c r="B86" s="10" t="s">
        <v>38</v>
      </c>
      <c r="C86" s="10" t="s">
        <v>39</v>
      </c>
      <c r="D86" s="10" t="s">
        <v>716</v>
      </c>
      <c r="E86" s="2" t="s">
        <v>95</v>
      </c>
      <c r="F86" s="2" t="s">
        <v>179</v>
      </c>
      <c r="G86" s="2">
        <v>2</v>
      </c>
      <c r="H86" s="2" t="s">
        <v>33</v>
      </c>
      <c r="I86" s="2" t="s">
        <v>188</v>
      </c>
      <c r="J86" s="11">
        <v>6897</v>
      </c>
      <c r="K86" s="12">
        <f t="shared" si="1"/>
        <v>1.3794E-3</v>
      </c>
    </row>
    <row r="87" spans="1:11" hidden="1">
      <c r="A87" s="10">
        <v>86</v>
      </c>
      <c r="B87" s="10" t="s">
        <v>38</v>
      </c>
      <c r="C87" s="10" t="s">
        <v>39</v>
      </c>
      <c r="D87" s="10" t="s">
        <v>716</v>
      </c>
      <c r="E87" s="2" t="s">
        <v>96</v>
      </c>
      <c r="F87" s="2" t="s">
        <v>179</v>
      </c>
      <c r="G87" s="2">
        <v>1</v>
      </c>
      <c r="H87" s="2" t="s">
        <v>33</v>
      </c>
      <c r="I87" s="2" t="s">
        <v>188</v>
      </c>
      <c r="J87" s="11">
        <v>6897</v>
      </c>
      <c r="K87" s="12">
        <f t="shared" si="1"/>
        <v>6.8970000000000001E-4</v>
      </c>
    </row>
    <row r="88" spans="1:11" hidden="1">
      <c r="A88" s="10">
        <v>87</v>
      </c>
      <c r="B88" s="10" t="s">
        <v>38</v>
      </c>
      <c r="C88" s="10" t="s">
        <v>39</v>
      </c>
      <c r="D88" s="10" t="s">
        <v>716</v>
      </c>
      <c r="E88" s="2" t="s">
        <v>97</v>
      </c>
      <c r="F88" s="2" t="s">
        <v>179</v>
      </c>
      <c r="G88" s="2">
        <v>2</v>
      </c>
      <c r="H88" s="2" t="s">
        <v>33</v>
      </c>
      <c r="I88" s="2" t="s">
        <v>188</v>
      </c>
      <c r="J88" s="11">
        <v>6897</v>
      </c>
      <c r="K88" s="12">
        <f t="shared" si="1"/>
        <v>1.3794E-3</v>
      </c>
    </row>
    <row r="89" spans="1:11" hidden="1">
      <c r="A89" s="10">
        <v>88</v>
      </c>
      <c r="B89" s="10" t="s">
        <v>38</v>
      </c>
      <c r="C89" s="10" t="s">
        <v>39</v>
      </c>
      <c r="D89" s="10" t="s">
        <v>716</v>
      </c>
      <c r="E89" s="2" t="s">
        <v>98</v>
      </c>
      <c r="F89" s="2" t="s">
        <v>179</v>
      </c>
      <c r="G89" s="2">
        <v>1</v>
      </c>
      <c r="H89" s="2" t="s">
        <v>33</v>
      </c>
      <c r="I89" s="2" t="s">
        <v>188</v>
      </c>
      <c r="J89" s="11">
        <v>6897</v>
      </c>
      <c r="K89" s="12">
        <f t="shared" si="1"/>
        <v>6.8970000000000001E-4</v>
      </c>
    </row>
    <row r="90" spans="1:11" hidden="1">
      <c r="A90" s="10">
        <v>89</v>
      </c>
      <c r="B90" s="10" t="s">
        <v>38</v>
      </c>
      <c r="C90" s="10" t="s">
        <v>39</v>
      </c>
      <c r="D90" s="10" t="s">
        <v>897</v>
      </c>
      <c r="E90" s="2" t="s">
        <v>99</v>
      </c>
      <c r="F90" s="2" t="s">
        <v>179</v>
      </c>
      <c r="G90" s="2">
        <v>93</v>
      </c>
      <c r="H90" s="2" t="s">
        <v>33</v>
      </c>
      <c r="I90" s="2" t="s">
        <v>188</v>
      </c>
      <c r="J90" s="10"/>
      <c r="K90" s="12">
        <f t="shared" si="1"/>
        <v>0</v>
      </c>
    </row>
    <row r="91" spans="1:11" hidden="1">
      <c r="A91" s="10">
        <v>90</v>
      </c>
      <c r="B91" s="10" t="s">
        <v>38</v>
      </c>
      <c r="C91" s="10" t="s">
        <v>39</v>
      </c>
      <c r="D91" s="10" t="s">
        <v>897</v>
      </c>
      <c r="E91" s="2" t="s">
        <v>100</v>
      </c>
      <c r="F91" s="2" t="s">
        <v>179</v>
      </c>
      <c r="G91" s="2">
        <v>34</v>
      </c>
      <c r="H91" s="2" t="s">
        <v>33</v>
      </c>
      <c r="I91" s="2" t="s">
        <v>188</v>
      </c>
      <c r="J91" s="10"/>
      <c r="K91" s="12">
        <f t="shared" si="1"/>
        <v>0</v>
      </c>
    </row>
    <row r="92" spans="1:11" hidden="1">
      <c r="A92" s="10">
        <v>91</v>
      </c>
      <c r="B92" s="10" t="s">
        <v>38</v>
      </c>
      <c r="C92" s="10" t="s">
        <v>39</v>
      </c>
      <c r="D92" s="10" t="s">
        <v>897</v>
      </c>
      <c r="E92" s="2" t="s">
        <v>101</v>
      </c>
      <c r="F92" s="2" t="s">
        <v>179</v>
      </c>
      <c r="G92" s="2">
        <v>27</v>
      </c>
      <c r="H92" s="2" t="s">
        <v>33</v>
      </c>
      <c r="I92" s="2" t="s">
        <v>188</v>
      </c>
      <c r="J92" s="10"/>
      <c r="K92" s="12">
        <f t="shared" si="1"/>
        <v>0</v>
      </c>
    </row>
    <row r="93" spans="1:11" hidden="1">
      <c r="A93" s="10">
        <v>92</v>
      </c>
      <c r="B93" s="10" t="s">
        <v>38</v>
      </c>
      <c r="C93" s="10" t="s">
        <v>39</v>
      </c>
      <c r="D93" s="10" t="s">
        <v>897</v>
      </c>
      <c r="E93" s="2" t="s">
        <v>102</v>
      </c>
      <c r="F93" s="2" t="s">
        <v>179</v>
      </c>
      <c r="G93" s="2">
        <v>203</v>
      </c>
      <c r="H93" s="2" t="s">
        <v>33</v>
      </c>
      <c r="I93" s="2" t="s">
        <v>191</v>
      </c>
      <c r="J93" s="10"/>
      <c r="K93" s="12">
        <f t="shared" si="1"/>
        <v>0</v>
      </c>
    </row>
    <row r="94" spans="1:11" hidden="1">
      <c r="A94" s="10">
        <v>93</v>
      </c>
      <c r="B94" s="10" t="s">
        <v>38</v>
      </c>
      <c r="C94" s="10" t="s">
        <v>39</v>
      </c>
      <c r="D94" s="10" t="s">
        <v>897</v>
      </c>
      <c r="E94" s="2" t="s">
        <v>103</v>
      </c>
      <c r="F94" s="2" t="s">
        <v>179</v>
      </c>
      <c r="G94" s="2">
        <v>3</v>
      </c>
      <c r="H94" s="2" t="s">
        <v>33</v>
      </c>
      <c r="I94" s="2" t="s">
        <v>191</v>
      </c>
      <c r="J94" s="10"/>
      <c r="K94" s="12">
        <f t="shared" si="1"/>
        <v>0</v>
      </c>
    </row>
    <row r="95" spans="1:11" hidden="1">
      <c r="A95" s="10">
        <v>94</v>
      </c>
      <c r="B95" s="10" t="s">
        <v>38</v>
      </c>
      <c r="C95" s="10" t="s">
        <v>39</v>
      </c>
      <c r="D95" s="10" t="s">
        <v>897</v>
      </c>
      <c r="E95" s="2" t="s">
        <v>104</v>
      </c>
      <c r="F95" s="2" t="s">
        <v>179</v>
      </c>
      <c r="G95" s="2">
        <v>14</v>
      </c>
      <c r="H95" s="2" t="s">
        <v>33</v>
      </c>
      <c r="I95" s="2" t="s">
        <v>191</v>
      </c>
      <c r="J95" s="10"/>
      <c r="K95" s="12">
        <f t="shared" si="1"/>
        <v>0</v>
      </c>
    </row>
    <row r="96" spans="1:11" hidden="1">
      <c r="A96" s="10">
        <v>95</v>
      </c>
      <c r="B96" s="10" t="s">
        <v>38</v>
      </c>
      <c r="C96" s="10" t="s">
        <v>39</v>
      </c>
      <c r="D96" s="10" t="s">
        <v>897</v>
      </c>
      <c r="E96" s="2" t="s">
        <v>105</v>
      </c>
      <c r="F96" s="2" t="s">
        <v>179</v>
      </c>
      <c r="G96" s="2">
        <v>45</v>
      </c>
      <c r="H96" s="2" t="s">
        <v>33</v>
      </c>
      <c r="I96" s="2" t="s">
        <v>191</v>
      </c>
      <c r="J96" s="11">
        <v>31</v>
      </c>
      <c r="K96" s="12">
        <f t="shared" si="1"/>
        <v>1.395E-4</v>
      </c>
    </row>
    <row r="97" spans="1:11" hidden="1">
      <c r="A97" s="10">
        <v>96</v>
      </c>
      <c r="B97" s="10" t="s">
        <v>38</v>
      </c>
      <c r="C97" s="10" t="s">
        <v>39</v>
      </c>
      <c r="D97" s="10" t="s">
        <v>897</v>
      </c>
      <c r="E97" s="2" t="s">
        <v>106</v>
      </c>
      <c r="F97" s="2" t="s">
        <v>179</v>
      </c>
      <c r="G97" s="2">
        <v>86</v>
      </c>
      <c r="H97" s="2" t="s">
        <v>33</v>
      </c>
      <c r="I97" s="2" t="s">
        <v>191</v>
      </c>
      <c r="J97" s="11">
        <v>31</v>
      </c>
      <c r="K97" s="12">
        <f t="shared" si="1"/>
        <v>2.6659999999999998E-4</v>
      </c>
    </row>
    <row r="98" spans="1:11" hidden="1">
      <c r="A98" s="10">
        <v>97</v>
      </c>
      <c r="B98" s="10" t="s">
        <v>38</v>
      </c>
      <c r="C98" s="10" t="s">
        <v>39</v>
      </c>
      <c r="D98" s="10" t="s">
        <v>978</v>
      </c>
      <c r="E98" s="2" t="s">
        <v>107</v>
      </c>
      <c r="F98" s="2" t="s">
        <v>179</v>
      </c>
      <c r="G98" s="2">
        <v>5</v>
      </c>
      <c r="H98" s="2" t="s">
        <v>33</v>
      </c>
      <c r="I98" s="2" t="s">
        <v>191</v>
      </c>
      <c r="J98" s="11">
        <v>90</v>
      </c>
      <c r="K98" s="12">
        <f t="shared" si="1"/>
        <v>4.5000000000000003E-5</v>
      </c>
    </row>
    <row r="99" spans="1:11" hidden="1">
      <c r="A99" s="10">
        <v>98</v>
      </c>
      <c r="B99" s="10" t="s">
        <v>38</v>
      </c>
      <c r="C99" s="10" t="s">
        <v>39</v>
      </c>
      <c r="D99" s="10" t="s">
        <v>978</v>
      </c>
      <c r="E99" s="2" t="s">
        <v>108</v>
      </c>
      <c r="F99" s="2" t="s">
        <v>179</v>
      </c>
      <c r="G99" s="2">
        <v>2</v>
      </c>
      <c r="H99" s="2" t="s">
        <v>33</v>
      </c>
      <c r="I99" s="2" t="s">
        <v>191</v>
      </c>
      <c r="J99" s="11">
        <v>90</v>
      </c>
      <c r="K99" s="12">
        <f t="shared" si="1"/>
        <v>1.8E-5</v>
      </c>
    </row>
    <row r="100" spans="1:11" hidden="1">
      <c r="A100" s="10">
        <v>99</v>
      </c>
      <c r="B100" s="10" t="s">
        <v>38</v>
      </c>
      <c r="C100" s="10" t="s">
        <v>39</v>
      </c>
      <c r="D100" s="10" t="s">
        <v>978</v>
      </c>
      <c r="E100" s="2" t="s">
        <v>109</v>
      </c>
      <c r="F100" s="2" t="s">
        <v>179</v>
      </c>
      <c r="G100" s="2">
        <v>2</v>
      </c>
      <c r="H100" s="2" t="s">
        <v>33</v>
      </c>
      <c r="I100" s="2" t="s">
        <v>191</v>
      </c>
      <c r="J100" s="11">
        <v>6108.68</v>
      </c>
      <c r="K100" s="12">
        <f t="shared" si="1"/>
        <v>1.221736E-3</v>
      </c>
    </row>
    <row r="101" spans="1:11" hidden="1">
      <c r="A101" s="10">
        <v>100</v>
      </c>
      <c r="B101" s="10" t="s">
        <v>38</v>
      </c>
      <c r="C101" s="10" t="s">
        <v>39</v>
      </c>
      <c r="D101" s="10" t="s">
        <v>978</v>
      </c>
      <c r="E101" s="2" t="s">
        <v>110</v>
      </c>
      <c r="F101" s="2" t="s">
        <v>179</v>
      </c>
      <c r="G101" s="2">
        <v>10</v>
      </c>
      <c r="H101" s="2" t="s">
        <v>33</v>
      </c>
      <c r="I101" s="2" t="s">
        <v>191</v>
      </c>
      <c r="J101" s="11">
        <v>6108.68</v>
      </c>
      <c r="K101" s="12">
        <f t="shared" si="1"/>
        <v>6.10868E-3</v>
      </c>
    </row>
    <row r="102" spans="1:11" hidden="1">
      <c r="A102" s="10">
        <v>101</v>
      </c>
      <c r="B102" s="10" t="s">
        <v>38</v>
      </c>
      <c r="C102" s="10" t="s">
        <v>39</v>
      </c>
      <c r="D102" s="10" t="s">
        <v>978</v>
      </c>
      <c r="E102" s="2" t="s">
        <v>111</v>
      </c>
      <c r="F102" s="2" t="s">
        <v>179</v>
      </c>
      <c r="G102" s="2">
        <v>19</v>
      </c>
      <c r="H102" s="2" t="s">
        <v>33</v>
      </c>
      <c r="I102" s="2" t="s">
        <v>191</v>
      </c>
      <c r="J102" s="11">
        <v>6108.68</v>
      </c>
      <c r="K102" s="12">
        <f t="shared" si="1"/>
        <v>1.1606492000000001E-2</v>
      </c>
    </row>
    <row r="103" spans="1:11" hidden="1">
      <c r="A103" s="10">
        <v>102</v>
      </c>
      <c r="B103" s="10" t="s">
        <v>38</v>
      </c>
      <c r="C103" s="10" t="s">
        <v>39</v>
      </c>
      <c r="D103" s="10" t="s">
        <v>978</v>
      </c>
      <c r="E103" s="2" t="s">
        <v>111</v>
      </c>
      <c r="F103" s="2" t="s">
        <v>179</v>
      </c>
      <c r="G103" s="2">
        <v>4</v>
      </c>
      <c r="H103" s="2" t="s">
        <v>33</v>
      </c>
      <c r="I103" s="2" t="s">
        <v>189</v>
      </c>
      <c r="J103" s="11">
        <v>6108.68</v>
      </c>
      <c r="K103" s="12">
        <f t="shared" si="1"/>
        <v>2.4434719999999999E-3</v>
      </c>
    </row>
    <row r="104" spans="1:11" hidden="1">
      <c r="A104" s="10">
        <v>103</v>
      </c>
      <c r="B104" s="10" t="s">
        <v>38</v>
      </c>
      <c r="C104" s="10" t="s">
        <v>39</v>
      </c>
      <c r="D104" s="10" t="s">
        <v>978</v>
      </c>
      <c r="E104" s="2" t="s">
        <v>112</v>
      </c>
      <c r="F104" s="2" t="s">
        <v>179</v>
      </c>
      <c r="G104" s="2">
        <v>1</v>
      </c>
      <c r="H104" s="2" t="s">
        <v>33</v>
      </c>
      <c r="I104" s="2" t="s">
        <v>189</v>
      </c>
      <c r="J104" s="11">
        <v>6108.68</v>
      </c>
      <c r="K104" s="12">
        <f t="shared" si="1"/>
        <v>6.1086799999999998E-4</v>
      </c>
    </row>
    <row r="105" spans="1:11" hidden="1">
      <c r="A105" s="10">
        <v>104</v>
      </c>
      <c r="B105" s="10" t="s">
        <v>38</v>
      </c>
      <c r="C105" s="10" t="s">
        <v>39</v>
      </c>
      <c r="D105" s="10" t="s">
        <v>978</v>
      </c>
      <c r="E105" s="2" t="s">
        <v>112</v>
      </c>
      <c r="F105" s="2" t="s">
        <v>179</v>
      </c>
      <c r="G105" s="2">
        <v>2</v>
      </c>
      <c r="H105" s="2" t="s">
        <v>33</v>
      </c>
      <c r="I105" s="2" t="s">
        <v>188</v>
      </c>
      <c r="J105" s="11">
        <v>6108.68</v>
      </c>
      <c r="K105" s="12">
        <f t="shared" si="1"/>
        <v>1.221736E-3</v>
      </c>
    </row>
    <row r="106" spans="1:11" hidden="1">
      <c r="A106" s="10">
        <v>105</v>
      </c>
      <c r="B106" s="10" t="s">
        <v>38</v>
      </c>
      <c r="C106" s="10" t="s">
        <v>39</v>
      </c>
      <c r="D106" s="10" t="s">
        <v>978</v>
      </c>
      <c r="E106" s="2" t="s">
        <v>113</v>
      </c>
      <c r="F106" s="2" t="s">
        <v>179</v>
      </c>
      <c r="G106" s="2">
        <v>1</v>
      </c>
      <c r="H106" s="2" t="s">
        <v>33</v>
      </c>
      <c r="I106" s="2" t="s">
        <v>191</v>
      </c>
      <c r="J106" s="11">
        <v>6108.68</v>
      </c>
      <c r="K106" s="12">
        <f t="shared" si="1"/>
        <v>6.1086799999999998E-4</v>
      </c>
    </row>
    <row r="107" spans="1:11" hidden="1">
      <c r="A107" s="10">
        <v>106</v>
      </c>
      <c r="B107" s="10" t="s">
        <v>38</v>
      </c>
      <c r="C107" s="10" t="s">
        <v>39</v>
      </c>
      <c r="D107" s="10" t="s">
        <v>978</v>
      </c>
      <c r="E107" s="2" t="s">
        <v>113</v>
      </c>
      <c r="F107" s="2" t="s">
        <v>179</v>
      </c>
      <c r="G107" s="2">
        <v>12</v>
      </c>
      <c r="H107" s="2" t="s">
        <v>33</v>
      </c>
      <c r="I107" s="2" t="s">
        <v>189</v>
      </c>
      <c r="J107" s="11">
        <v>6108.68</v>
      </c>
      <c r="K107" s="12">
        <f t="shared" si="1"/>
        <v>7.3304160000000002E-3</v>
      </c>
    </row>
    <row r="108" spans="1:11" hidden="1">
      <c r="A108" s="10">
        <v>107</v>
      </c>
      <c r="B108" s="10" t="s">
        <v>38</v>
      </c>
      <c r="C108" s="10" t="s">
        <v>39</v>
      </c>
      <c r="D108" s="10" t="s">
        <v>978</v>
      </c>
      <c r="E108" s="2" t="s">
        <v>114</v>
      </c>
      <c r="F108" s="2" t="s">
        <v>179</v>
      </c>
      <c r="G108" s="2">
        <v>1</v>
      </c>
      <c r="H108" s="2" t="s">
        <v>33</v>
      </c>
      <c r="I108" s="2" t="s">
        <v>188</v>
      </c>
      <c r="J108" s="11">
        <v>6108.68</v>
      </c>
      <c r="K108" s="12">
        <f t="shared" si="1"/>
        <v>6.1086799999999998E-4</v>
      </c>
    </row>
    <row r="109" spans="1:11" hidden="1">
      <c r="A109" s="10">
        <v>108</v>
      </c>
      <c r="B109" s="10" t="s">
        <v>38</v>
      </c>
      <c r="C109" s="10" t="s">
        <v>39</v>
      </c>
      <c r="D109" s="10" t="s">
        <v>978</v>
      </c>
      <c r="E109" s="2" t="s">
        <v>110</v>
      </c>
      <c r="F109" s="2" t="s">
        <v>179</v>
      </c>
      <c r="G109" s="2">
        <v>2</v>
      </c>
      <c r="H109" s="2" t="s">
        <v>33</v>
      </c>
      <c r="I109" s="2" t="s">
        <v>189</v>
      </c>
      <c r="J109" s="11">
        <v>6108.68</v>
      </c>
      <c r="K109" s="12">
        <f t="shared" si="1"/>
        <v>1.221736E-3</v>
      </c>
    </row>
    <row r="110" spans="1:11" hidden="1">
      <c r="A110" s="10">
        <v>109</v>
      </c>
      <c r="B110" s="10" t="s">
        <v>38</v>
      </c>
      <c r="C110" s="10" t="s">
        <v>39</v>
      </c>
      <c r="D110" s="10" t="s">
        <v>978</v>
      </c>
      <c r="E110" s="2" t="s">
        <v>115</v>
      </c>
      <c r="F110" s="2" t="s">
        <v>179</v>
      </c>
      <c r="G110" s="2">
        <v>1</v>
      </c>
      <c r="H110" s="2" t="s">
        <v>33</v>
      </c>
      <c r="I110" s="2" t="s">
        <v>189</v>
      </c>
      <c r="J110" s="11">
        <v>24817.82</v>
      </c>
      <c r="K110" s="12">
        <f t="shared" si="1"/>
        <v>2.4817820000000001E-3</v>
      </c>
    </row>
    <row r="111" spans="1:11" hidden="1">
      <c r="A111" s="10">
        <v>110</v>
      </c>
      <c r="B111" s="10" t="s">
        <v>38</v>
      </c>
      <c r="C111" s="10" t="s">
        <v>39</v>
      </c>
      <c r="D111" s="10" t="s">
        <v>978</v>
      </c>
      <c r="E111" s="2" t="s">
        <v>115</v>
      </c>
      <c r="F111" s="2" t="s">
        <v>179</v>
      </c>
      <c r="G111" s="2">
        <v>1</v>
      </c>
      <c r="H111" s="2" t="s">
        <v>33</v>
      </c>
      <c r="I111" s="2" t="s">
        <v>191</v>
      </c>
      <c r="J111" s="11">
        <v>24817.82</v>
      </c>
      <c r="K111" s="12">
        <f t="shared" si="1"/>
        <v>2.4817820000000001E-3</v>
      </c>
    </row>
    <row r="112" spans="1:11" hidden="1">
      <c r="A112" s="10">
        <v>111</v>
      </c>
      <c r="B112" s="10" t="s">
        <v>38</v>
      </c>
      <c r="C112" s="10" t="s">
        <v>39</v>
      </c>
      <c r="D112" s="10" t="s">
        <v>978</v>
      </c>
      <c r="E112" s="2" t="s">
        <v>116</v>
      </c>
      <c r="F112" s="2" t="s">
        <v>179</v>
      </c>
      <c r="G112" s="2">
        <v>2</v>
      </c>
      <c r="H112" s="2" t="s">
        <v>33</v>
      </c>
      <c r="I112" s="2" t="s">
        <v>188</v>
      </c>
      <c r="J112" s="11">
        <v>24817.82</v>
      </c>
      <c r="K112" s="12">
        <f t="shared" si="1"/>
        <v>4.9635640000000002E-3</v>
      </c>
    </row>
    <row r="113" spans="1:11" hidden="1">
      <c r="A113" s="10">
        <v>112</v>
      </c>
      <c r="B113" s="10" t="s">
        <v>38</v>
      </c>
      <c r="C113" s="10" t="s">
        <v>39</v>
      </c>
      <c r="D113" s="10" t="s">
        <v>978</v>
      </c>
      <c r="E113" s="2" t="s">
        <v>117</v>
      </c>
      <c r="F113" s="2" t="s">
        <v>179</v>
      </c>
      <c r="G113" s="2">
        <v>1</v>
      </c>
      <c r="H113" s="2" t="s">
        <v>33</v>
      </c>
      <c r="I113" s="2" t="s">
        <v>189</v>
      </c>
      <c r="J113" s="11">
        <v>24817.82</v>
      </c>
      <c r="K113" s="12">
        <f t="shared" si="1"/>
        <v>2.4817820000000001E-3</v>
      </c>
    </row>
    <row r="114" spans="1:11" hidden="1">
      <c r="A114" s="10">
        <v>113</v>
      </c>
      <c r="B114" s="10" t="s">
        <v>38</v>
      </c>
      <c r="C114" s="10" t="s">
        <v>39</v>
      </c>
      <c r="D114" s="10" t="s">
        <v>978</v>
      </c>
      <c r="E114" s="2" t="s">
        <v>118</v>
      </c>
      <c r="F114" s="2" t="s">
        <v>179</v>
      </c>
      <c r="G114" s="2">
        <v>2</v>
      </c>
      <c r="H114" s="2" t="s">
        <v>33</v>
      </c>
      <c r="I114" s="2" t="s">
        <v>191</v>
      </c>
      <c r="J114" s="11">
        <v>24817.82</v>
      </c>
      <c r="K114" s="12">
        <f t="shared" si="1"/>
        <v>4.9635640000000002E-3</v>
      </c>
    </row>
    <row r="115" spans="1:11" hidden="1">
      <c r="A115" s="10">
        <v>114</v>
      </c>
      <c r="B115" s="10" t="s">
        <v>38</v>
      </c>
      <c r="C115" s="10" t="s">
        <v>39</v>
      </c>
      <c r="D115" s="10" t="s">
        <v>978</v>
      </c>
      <c r="E115" s="2" t="s">
        <v>119</v>
      </c>
      <c r="F115" s="2" t="s">
        <v>179</v>
      </c>
      <c r="G115" s="2">
        <v>2</v>
      </c>
      <c r="H115" s="2" t="s">
        <v>33</v>
      </c>
      <c r="I115" s="2" t="s">
        <v>189</v>
      </c>
      <c r="J115" s="11">
        <v>24817.82</v>
      </c>
      <c r="K115" s="12">
        <f t="shared" si="1"/>
        <v>4.9635640000000002E-3</v>
      </c>
    </row>
    <row r="116" spans="1:11" hidden="1">
      <c r="A116" s="10">
        <v>115</v>
      </c>
      <c r="B116" s="10" t="s">
        <v>38</v>
      </c>
      <c r="C116" s="10" t="s">
        <v>39</v>
      </c>
      <c r="D116" s="10" t="s">
        <v>978</v>
      </c>
      <c r="E116" s="2" t="s">
        <v>120</v>
      </c>
      <c r="F116" s="2" t="s">
        <v>179</v>
      </c>
      <c r="G116" s="2">
        <v>64</v>
      </c>
      <c r="H116" s="2" t="s">
        <v>33</v>
      </c>
      <c r="I116" s="2" t="s">
        <v>191</v>
      </c>
      <c r="J116" s="11">
        <v>6108.68</v>
      </c>
      <c r="K116" s="12">
        <f t="shared" si="1"/>
        <v>3.9095551999999999E-2</v>
      </c>
    </row>
    <row r="117" spans="1:11" hidden="1">
      <c r="A117" s="10">
        <v>116</v>
      </c>
      <c r="B117" s="10" t="s">
        <v>38</v>
      </c>
      <c r="C117" s="10" t="s">
        <v>39</v>
      </c>
      <c r="D117" s="10" t="s">
        <v>978</v>
      </c>
      <c r="E117" s="2" t="s">
        <v>121</v>
      </c>
      <c r="F117" s="2" t="s">
        <v>179</v>
      </c>
      <c r="G117" s="2">
        <v>59</v>
      </c>
      <c r="H117" s="2" t="s">
        <v>33</v>
      </c>
      <c r="I117" s="2" t="s">
        <v>191</v>
      </c>
      <c r="J117" s="11">
        <v>6108.68</v>
      </c>
      <c r="K117" s="12">
        <f t="shared" si="1"/>
        <v>3.6041211999999996E-2</v>
      </c>
    </row>
    <row r="118" spans="1:11" hidden="1">
      <c r="A118" s="10">
        <v>117</v>
      </c>
      <c r="B118" s="10" t="s">
        <v>38</v>
      </c>
      <c r="C118" s="10" t="s">
        <v>39</v>
      </c>
      <c r="D118" s="10" t="s">
        <v>978</v>
      </c>
      <c r="E118" s="2" t="s">
        <v>122</v>
      </c>
      <c r="F118" s="2" t="s">
        <v>179</v>
      </c>
      <c r="G118" s="2">
        <v>46</v>
      </c>
      <c r="H118" s="2" t="s">
        <v>33</v>
      </c>
      <c r="I118" s="2" t="s">
        <v>191</v>
      </c>
      <c r="J118" s="11">
        <v>6108.68</v>
      </c>
      <c r="K118" s="12">
        <f t="shared" si="1"/>
        <v>2.8099928000000003E-2</v>
      </c>
    </row>
    <row r="119" spans="1:11" hidden="1">
      <c r="A119" s="10">
        <v>118</v>
      </c>
      <c r="B119" s="10" t="s">
        <v>38</v>
      </c>
      <c r="C119" s="10" t="s">
        <v>39</v>
      </c>
      <c r="D119" s="10" t="s">
        <v>978</v>
      </c>
      <c r="E119" s="2" t="s">
        <v>123</v>
      </c>
      <c r="F119" s="2" t="s">
        <v>179</v>
      </c>
      <c r="G119" s="2">
        <v>4</v>
      </c>
      <c r="H119" s="2" t="s">
        <v>33</v>
      </c>
      <c r="I119" s="2" t="s">
        <v>191</v>
      </c>
      <c r="J119" s="11">
        <v>6108.68</v>
      </c>
      <c r="K119" s="12">
        <f t="shared" si="1"/>
        <v>2.4434719999999999E-3</v>
      </c>
    </row>
    <row r="120" spans="1:11" hidden="1">
      <c r="A120" s="10">
        <v>119</v>
      </c>
      <c r="B120" s="10" t="s">
        <v>38</v>
      </c>
      <c r="C120" s="10" t="s">
        <v>39</v>
      </c>
      <c r="D120" s="10" t="s">
        <v>978</v>
      </c>
      <c r="E120" s="2" t="s">
        <v>124</v>
      </c>
      <c r="F120" s="2" t="s">
        <v>179</v>
      </c>
      <c r="G120" s="2">
        <v>4</v>
      </c>
      <c r="H120" s="2" t="s">
        <v>33</v>
      </c>
      <c r="I120" s="2" t="s">
        <v>191</v>
      </c>
      <c r="J120" s="11">
        <v>6108.68</v>
      </c>
      <c r="K120" s="12">
        <f t="shared" si="1"/>
        <v>2.4434719999999999E-3</v>
      </c>
    </row>
    <row r="121" spans="1:11" hidden="1">
      <c r="A121" s="10">
        <v>120</v>
      </c>
      <c r="B121" s="10" t="s">
        <v>38</v>
      </c>
      <c r="C121" s="10" t="s">
        <v>39</v>
      </c>
      <c r="D121" s="10" t="s">
        <v>979</v>
      </c>
      <c r="E121" s="2" t="s">
        <v>125</v>
      </c>
      <c r="F121" s="2" t="s">
        <v>179</v>
      </c>
      <c r="G121" s="2">
        <v>1</v>
      </c>
      <c r="H121" s="2" t="s">
        <v>33</v>
      </c>
      <c r="I121" s="2" t="s">
        <v>188</v>
      </c>
      <c r="J121" s="11">
        <v>5286</v>
      </c>
      <c r="K121" s="12">
        <f t="shared" si="1"/>
        <v>5.2859999999999995E-4</v>
      </c>
    </row>
    <row r="122" spans="1:11" hidden="1">
      <c r="A122" s="10">
        <v>121</v>
      </c>
      <c r="B122" s="10" t="s">
        <v>38</v>
      </c>
      <c r="C122" s="10" t="s">
        <v>39</v>
      </c>
      <c r="D122" s="10" t="s">
        <v>979</v>
      </c>
      <c r="E122" s="2" t="s">
        <v>126</v>
      </c>
      <c r="F122" s="2" t="s">
        <v>179</v>
      </c>
      <c r="G122" s="2">
        <v>2</v>
      </c>
      <c r="H122" s="2" t="s">
        <v>33</v>
      </c>
      <c r="I122" s="2" t="s">
        <v>188</v>
      </c>
      <c r="J122" s="11">
        <v>5286</v>
      </c>
      <c r="K122" s="12">
        <f t="shared" si="1"/>
        <v>1.0571999999999999E-3</v>
      </c>
    </row>
    <row r="123" spans="1:11" hidden="1">
      <c r="A123" s="10">
        <v>122</v>
      </c>
      <c r="B123" s="10" t="s">
        <v>38</v>
      </c>
      <c r="C123" s="10" t="s">
        <v>39</v>
      </c>
      <c r="D123" s="10" t="s">
        <v>979</v>
      </c>
      <c r="E123" s="2" t="s">
        <v>127</v>
      </c>
      <c r="F123" s="2" t="s">
        <v>179</v>
      </c>
      <c r="G123" s="2">
        <v>15</v>
      </c>
      <c r="H123" s="2" t="s">
        <v>33</v>
      </c>
      <c r="I123" s="2" t="s">
        <v>188</v>
      </c>
      <c r="J123" s="11">
        <v>1055</v>
      </c>
      <c r="K123" s="12">
        <f t="shared" si="1"/>
        <v>1.5824999999999999E-3</v>
      </c>
    </row>
    <row r="124" spans="1:11" hidden="1">
      <c r="A124" s="10">
        <v>123</v>
      </c>
      <c r="B124" s="10" t="s">
        <v>38</v>
      </c>
      <c r="C124" s="10" t="s">
        <v>39</v>
      </c>
      <c r="D124" s="10" t="s">
        <v>979</v>
      </c>
      <c r="E124" s="2" t="s">
        <v>128</v>
      </c>
      <c r="F124" s="2" t="s">
        <v>179</v>
      </c>
      <c r="G124" s="2">
        <v>2</v>
      </c>
      <c r="H124" s="2" t="s">
        <v>33</v>
      </c>
      <c r="I124" s="2" t="s">
        <v>188</v>
      </c>
      <c r="J124" s="11">
        <v>1055</v>
      </c>
      <c r="K124" s="12">
        <f t="shared" si="1"/>
        <v>2.1100000000000001E-4</v>
      </c>
    </row>
    <row r="125" spans="1:11" hidden="1">
      <c r="A125" s="10">
        <v>124</v>
      </c>
      <c r="B125" s="10" t="s">
        <v>38</v>
      </c>
      <c r="C125" s="10" t="s">
        <v>39</v>
      </c>
      <c r="D125" s="10" t="s">
        <v>979</v>
      </c>
      <c r="E125" s="2" t="s">
        <v>128</v>
      </c>
      <c r="F125" s="2" t="s">
        <v>179</v>
      </c>
      <c r="G125" s="2">
        <v>99</v>
      </c>
      <c r="H125" s="2" t="s">
        <v>33</v>
      </c>
      <c r="I125" s="2" t="s">
        <v>188</v>
      </c>
      <c r="J125" s="11">
        <v>1055</v>
      </c>
      <c r="K125" s="12">
        <f t="shared" si="1"/>
        <v>1.0444500000000001E-2</v>
      </c>
    </row>
    <row r="126" spans="1:11" hidden="1">
      <c r="A126" s="10">
        <v>125</v>
      </c>
      <c r="B126" s="10" t="s">
        <v>38</v>
      </c>
      <c r="C126" s="10" t="s">
        <v>39</v>
      </c>
      <c r="D126" s="10" t="s">
        <v>979</v>
      </c>
      <c r="E126" s="2" t="s">
        <v>129</v>
      </c>
      <c r="F126" s="2" t="s">
        <v>179</v>
      </c>
      <c r="G126" s="2">
        <v>4</v>
      </c>
      <c r="H126" s="2" t="s">
        <v>33</v>
      </c>
      <c r="I126" s="2" t="s">
        <v>188</v>
      </c>
      <c r="J126" s="11">
        <v>13355.09</v>
      </c>
      <c r="K126" s="12">
        <f t="shared" si="1"/>
        <v>5.3420359999999997E-3</v>
      </c>
    </row>
    <row r="127" spans="1:11" hidden="1">
      <c r="A127" s="10">
        <v>126</v>
      </c>
      <c r="B127" s="10" t="s">
        <v>38</v>
      </c>
      <c r="C127" s="10" t="s">
        <v>39</v>
      </c>
      <c r="D127" s="10" t="s">
        <v>979</v>
      </c>
      <c r="E127" s="2" t="s">
        <v>130</v>
      </c>
      <c r="F127" s="2" t="s">
        <v>179</v>
      </c>
      <c r="G127" s="2">
        <v>1</v>
      </c>
      <c r="H127" s="2" t="s">
        <v>33</v>
      </c>
      <c r="I127" s="2" t="s">
        <v>188</v>
      </c>
      <c r="J127" s="11">
        <v>13355.09</v>
      </c>
      <c r="K127" s="12">
        <f t="shared" si="1"/>
        <v>1.3355089999999999E-3</v>
      </c>
    </row>
    <row r="128" spans="1:11" hidden="1">
      <c r="A128" s="10">
        <v>127</v>
      </c>
      <c r="B128" s="10" t="s">
        <v>38</v>
      </c>
      <c r="C128" s="10" t="s">
        <v>39</v>
      </c>
      <c r="D128" s="10" t="s">
        <v>979</v>
      </c>
      <c r="E128" s="2" t="s">
        <v>131</v>
      </c>
      <c r="F128" s="2" t="s">
        <v>179</v>
      </c>
      <c r="G128" s="2">
        <v>1</v>
      </c>
      <c r="H128" s="2" t="s">
        <v>33</v>
      </c>
      <c r="I128" s="2" t="s">
        <v>188</v>
      </c>
      <c r="J128" s="11">
        <v>13355.09</v>
      </c>
      <c r="K128" s="12">
        <f t="shared" si="1"/>
        <v>1.3355089999999999E-3</v>
      </c>
    </row>
    <row r="129" spans="1:11" hidden="1">
      <c r="A129" s="10">
        <v>128</v>
      </c>
      <c r="B129" s="10" t="s">
        <v>38</v>
      </c>
      <c r="C129" s="10" t="s">
        <v>39</v>
      </c>
      <c r="D129" s="10" t="s">
        <v>979</v>
      </c>
      <c r="E129" s="2" t="s">
        <v>132</v>
      </c>
      <c r="F129" s="2" t="s">
        <v>179</v>
      </c>
      <c r="G129" s="2">
        <v>1</v>
      </c>
      <c r="H129" s="2" t="s">
        <v>33</v>
      </c>
      <c r="I129" s="2" t="s">
        <v>188</v>
      </c>
      <c r="J129" s="11">
        <v>7448.04</v>
      </c>
      <c r="K129" s="12">
        <f t="shared" si="1"/>
        <v>7.4480399999999995E-4</v>
      </c>
    </row>
    <row r="130" spans="1:11" hidden="1">
      <c r="A130" s="10">
        <v>129</v>
      </c>
      <c r="B130" s="10" t="s">
        <v>38</v>
      </c>
      <c r="C130" s="10" t="s">
        <v>39</v>
      </c>
      <c r="D130" s="10" t="s">
        <v>979</v>
      </c>
      <c r="E130" s="2" t="s">
        <v>133</v>
      </c>
      <c r="F130" s="2" t="s">
        <v>179</v>
      </c>
      <c r="G130" s="2">
        <v>10</v>
      </c>
      <c r="H130" s="2" t="s">
        <v>33</v>
      </c>
      <c r="I130" s="2" t="s">
        <v>188</v>
      </c>
      <c r="J130" s="11">
        <v>10886.99</v>
      </c>
      <c r="K130" s="12">
        <f t="shared" ref="K130:K193" si="2">(J130*G130)/10000000</f>
        <v>1.0886989999999999E-2</v>
      </c>
    </row>
    <row r="131" spans="1:11" hidden="1">
      <c r="A131" s="10">
        <v>130</v>
      </c>
      <c r="B131" s="10" t="s">
        <v>38</v>
      </c>
      <c r="C131" s="10" t="s">
        <v>39</v>
      </c>
      <c r="D131" s="10" t="s">
        <v>979</v>
      </c>
      <c r="E131" s="2" t="s">
        <v>134</v>
      </c>
      <c r="F131" s="2" t="s">
        <v>179</v>
      </c>
      <c r="G131" s="2">
        <v>37</v>
      </c>
      <c r="H131" s="2" t="s">
        <v>33</v>
      </c>
      <c r="I131" s="2" t="s">
        <v>188</v>
      </c>
      <c r="J131" s="11">
        <v>7448.04</v>
      </c>
      <c r="K131" s="12">
        <f t="shared" si="2"/>
        <v>2.7557747999999996E-2</v>
      </c>
    </row>
    <row r="132" spans="1:11" hidden="1">
      <c r="A132" s="10">
        <v>131</v>
      </c>
      <c r="B132" s="10" t="s">
        <v>38</v>
      </c>
      <c r="C132" s="10" t="s">
        <v>39</v>
      </c>
      <c r="D132" s="10" t="s">
        <v>979</v>
      </c>
      <c r="E132" s="2" t="s">
        <v>135</v>
      </c>
      <c r="F132" s="2" t="s">
        <v>179</v>
      </c>
      <c r="G132" s="2">
        <v>2</v>
      </c>
      <c r="H132" s="2" t="s">
        <v>33</v>
      </c>
      <c r="I132" s="2" t="s">
        <v>188</v>
      </c>
      <c r="J132" s="11">
        <v>1055</v>
      </c>
      <c r="K132" s="12">
        <f t="shared" si="2"/>
        <v>2.1100000000000001E-4</v>
      </c>
    </row>
    <row r="133" spans="1:11" hidden="1">
      <c r="A133" s="10">
        <v>132</v>
      </c>
      <c r="B133" s="10" t="s">
        <v>38</v>
      </c>
      <c r="C133" s="10" t="s">
        <v>39</v>
      </c>
      <c r="D133" s="10" t="s">
        <v>897</v>
      </c>
      <c r="E133" s="2" t="s">
        <v>136</v>
      </c>
      <c r="F133" s="2" t="s">
        <v>180</v>
      </c>
      <c r="G133" s="2">
        <v>18</v>
      </c>
      <c r="H133" s="2" t="s">
        <v>33</v>
      </c>
      <c r="I133" s="2" t="s">
        <v>192</v>
      </c>
      <c r="J133" s="10"/>
      <c r="K133" s="12">
        <f t="shared" si="2"/>
        <v>0</v>
      </c>
    </row>
    <row r="134" spans="1:11" hidden="1">
      <c r="A134" s="10">
        <v>133</v>
      </c>
      <c r="B134" s="10" t="s">
        <v>38</v>
      </c>
      <c r="C134" s="10" t="s">
        <v>39</v>
      </c>
      <c r="D134" s="10" t="s">
        <v>721</v>
      </c>
      <c r="E134" s="2" t="s">
        <v>137</v>
      </c>
      <c r="F134" s="2" t="s">
        <v>180</v>
      </c>
      <c r="G134" s="2">
        <v>30</v>
      </c>
      <c r="H134" s="2" t="s">
        <v>33</v>
      </c>
      <c r="I134" s="2" t="s">
        <v>192</v>
      </c>
      <c r="J134" s="10"/>
      <c r="K134" s="12">
        <f t="shared" si="2"/>
        <v>0</v>
      </c>
    </row>
    <row r="135" spans="1:11" hidden="1">
      <c r="A135" s="10">
        <v>134</v>
      </c>
      <c r="B135" s="10" t="s">
        <v>38</v>
      </c>
      <c r="C135" s="10" t="s">
        <v>39</v>
      </c>
      <c r="D135" s="10" t="s">
        <v>895</v>
      </c>
      <c r="E135" s="2" t="s">
        <v>138</v>
      </c>
      <c r="F135" s="2" t="s">
        <v>181</v>
      </c>
      <c r="G135" s="2">
        <v>180</v>
      </c>
      <c r="H135" s="2" t="s">
        <v>182</v>
      </c>
      <c r="I135" s="2" t="s">
        <v>193</v>
      </c>
      <c r="J135" s="11">
        <v>2568.06</v>
      </c>
      <c r="K135" s="12">
        <f t="shared" si="2"/>
        <v>4.6225080000000002E-2</v>
      </c>
    </row>
    <row r="136" spans="1:11" hidden="1">
      <c r="A136" s="10">
        <v>135</v>
      </c>
      <c r="B136" s="10" t="s">
        <v>38</v>
      </c>
      <c r="C136" s="10" t="s">
        <v>39</v>
      </c>
      <c r="D136" s="10" t="s">
        <v>895</v>
      </c>
      <c r="E136" s="2" t="s">
        <v>139</v>
      </c>
      <c r="F136" s="2" t="s">
        <v>181</v>
      </c>
      <c r="G136" s="2">
        <v>42</v>
      </c>
      <c r="H136" s="2" t="s">
        <v>182</v>
      </c>
      <c r="I136" s="2" t="s">
        <v>193</v>
      </c>
      <c r="J136" s="11">
        <v>2288</v>
      </c>
      <c r="K136" s="12">
        <f t="shared" si="2"/>
        <v>9.6095999999999994E-3</v>
      </c>
    </row>
    <row r="137" spans="1:11" hidden="1">
      <c r="A137" s="10">
        <v>136</v>
      </c>
      <c r="B137" s="10" t="s">
        <v>38</v>
      </c>
      <c r="C137" s="10" t="s">
        <v>39</v>
      </c>
      <c r="D137" s="10" t="s">
        <v>895</v>
      </c>
      <c r="E137" s="2" t="s">
        <v>140</v>
      </c>
      <c r="F137" s="2" t="s">
        <v>181</v>
      </c>
      <c r="G137" s="2">
        <v>30</v>
      </c>
      <c r="H137" s="2" t="s">
        <v>182</v>
      </c>
      <c r="I137" s="2" t="s">
        <v>193</v>
      </c>
      <c r="J137" s="11">
        <v>3406</v>
      </c>
      <c r="K137" s="12">
        <f t="shared" si="2"/>
        <v>1.0218E-2</v>
      </c>
    </row>
    <row r="138" spans="1:11" hidden="1">
      <c r="A138" s="10">
        <v>137</v>
      </c>
      <c r="B138" s="10" t="s">
        <v>38</v>
      </c>
      <c r="C138" s="10" t="s">
        <v>39</v>
      </c>
      <c r="D138" s="10" t="s">
        <v>895</v>
      </c>
      <c r="E138" s="2" t="s">
        <v>141</v>
      </c>
      <c r="F138" s="2" t="s">
        <v>183</v>
      </c>
      <c r="G138" s="2">
        <v>60</v>
      </c>
      <c r="H138" s="2" t="s">
        <v>184</v>
      </c>
      <c r="I138" s="2" t="s">
        <v>194</v>
      </c>
      <c r="J138" s="10">
        <v>100.61</v>
      </c>
      <c r="K138" s="12">
        <f t="shared" si="2"/>
        <v>6.0366E-4</v>
      </c>
    </row>
    <row r="139" spans="1:11" hidden="1">
      <c r="A139" s="10">
        <v>138</v>
      </c>
      <c r="B139" s="10" t="s">
        <v>38</v>
      </c>
      <c r="C139" s="10" t="s">
        <v>39</v>
      </c>
      <c r="D139" s="10" t="s">
        <v>721</v>
      </c>
      <c r="E139" s="2" t="s">
        <v>142</v>
      </c>
      <c r="F139" s="2" t="s">
        <v>185</v>
      </c>
      <c r="G139" s="2">
        <v>2500</v>
      </c>
      <c r="H139" s="2" t="s">
        <v>33</v>
      </c>
      <c r="I139" s="2" t="s">
        <v>195</v>
      </c>
      <c r="J139" s="11">
        <v>66.39</v>
      </c>
      <c r="K139" s="12">
        <f t="shared" si="2"/>
        <v>1.6597500000000001E-2</v>
      </c>
    </row>
    <row r="140" spans="1:11" hidden="1">
      <c r="A140" s="10">
        <v>139</v>
      </c>
      <c r="B140" s="10" t="s">
        <v>38</v>
      </c>
      <c r="C140" s="10" t="s">
        <v>39</v>
      </c>
      <c r="D140" s="10" t="s">
        <v>721</v>
      </c>
      <c r="E140" s="2" t="s">
        <v>143</v>
      </c>
      <c r="F140" s="2" t="s">
        <v>185</v>
      </c>
      <c r="G140" s="2">
        <v>200</v>
      </c>
      <c r="H140" s="2" t="s">
        <v>33</v>
      </c>
      <c r="I140" s="2" t="s">
        <v>195</v>
      </c>
      <c r="J140" s="11">
        <v>66.39</v>
      </c>
      <c r="K140" s="12">
        <f t="shared" si="2"/>
        <v>1.3278000000000001E-3</v>
      </c>
    </row>
    <row r="141" spans="1:11" hidden="1">
      <c r="A141" s="10">
        <v>140</v>
      </c>
      <c r="B141" s="10" t="s">
        <v>38</v>
      </c>
      <c r="C141" s="10" t="s">
        <v>39</v>
      </c>
      <c r="D141" s="10" t="s">
        <v>897</v>
      </c>
      <c r="E141" s="2" t="s">
        <v>144</v>
      </c>
      <c r="F141" s="2" t="s">
        <v>185</v>
      </c>
      <c r="G141" s="2">
        <v>70</v>
      </c>
      <c r="H141" s="2" t="s">
        <v>33</v>
      </c>
      <c r="I141" s="2" t="s">
        <v>195</v>
      </c>
      <c r="J141" s="11">
        <v>41.51</v>
      </c>
      <c r="K141" s="12">
        <f t="shared" si="2"/>
        <v>2.9056999999999998E-4</v>
      </c>
    </row>
    <row r="142" spans="1:11" hidden="1">
      <c r="A142" s="10">
        <v>141</v>
      </c>
      <c r="B142" s="10" t="s">
        <v>38</v>
      </c>
      <c r="C142" s="10" t="s">
        <v>39</v>
      </c>
      <c r="D142" s="10" t="s">
        <v>716</v>
      </c>
      <c r="E142" s="2" t="s">
        <v>145</v>
      </c>
      <c r="F142" s="2" t="s">
        <v>185</v>
      </c>
      <c r="G142" s="2">
        <v>131</v>
      </c>
      <c r="H142" s="2" t="s">
        <v>33</v>
      </c>
      <c r="I142" s="2" t="s">
        <v>196</v>
      </c>
      <c r="J142" s="11">
        <v>181.13</v>
      </c>
      <c r="K142" s="12">
        <f t="shared" si="2"/>
        <v>2.3728029999999997E-3</v>
      </c>
    </row>
    <row r="143" spans="1:11" hidden="1">
      <c r="A143" s="10">
        <v>142</v>
      </c>
      <c r="B143" s="10" t="s">
        <v>38</v>
      </c>
      <c r="C143" s="10" t="s">
        <v>39</v>
      </c>
      <c r="D143" s="10" t="s">
        <v>897</v>
      </c>
      <c r="E143" s="2" t="s">
        <v>146</v>
      </c>
      <c r="F143" s="2" t="s">
        <v>185</v>
      </c>
      <c r="G143" s="2">
        <v>25</v>
      </c>
      <c r="H143" s="2" t="s">
        <v>33</v>
      </c>
      <c r="I143" s="2" t="s">
        <v>195</v>
      </c>
      <c r="J143" s="11">
        <v>108.6</v>
      </c>
      <c r="K143" s="12">
        <f t="shared" si="2"/>
        <v>2.7149999999999999E-4</v>
      </c>
    </row>
    <row r="144" spans="1:11" hidden="1">
      <c r="A144" s="10">
        <v>143</v>
      </c>
      <c r="B144" s="10" t="s">
        <v>38</v>
      </c>
      <c r="C144" s="10" t="s">
        <v>39</v>
      </c>
      <c r="D144" s="10" t="s">
        <v>897</v>
      </c>
      <c r="E144" s="2" t="s">
        <v>147</v>
      </c>
      <c r="F144" s="2" t="s">
        <v>185</v>
      </c>
      <c r="G144" s="2">
        <v>1000</v>
      </c>
      <c r="H144" s="2" t="s">
        <v>33</v>
      </c>
      <c r="I144" s="2" t="s">
        <v>195</v>
      </c>
      <c r="J144" s="11">
        <v>108.6</v>
      </c>
      <c r="K144" s="12">
        <f t="shared" si="2"/>
        <v>1.086E-2</v>
      </c>
    </row>
    <row r="145" spans="1:11" hidden="1">
      <c r="A145" s="10">
        <v>144</v>
      </c>
      <c r="B145" s="10" t="s">
        <v>38</v>
      </c>
      <c r="C145" s="10" t="s">
        <v>39</v>
      </c>
      <c r="D145" s="10" t="s">
        <v>721</v>
      </c>
      <c r="E145" s="2" t="s">
        <v>148</v>
      </c>
      <c r="F145" s="2" t="s">
        <v>186</v>
      </c>
      <c r="G145" s="2">
        <v>710</v>
      </c>
      <c r="H145" s="2" t="s">
        <v>33</v>
      </c>
      <c r="I145" s="2" t="s">
        <v>197</v>
      </c>
      <c r="J145" s="11">
        <v>40</v>
      </c>
      <c r="K145" s="12">
        <f t="shared" si="2"/>
        <v>2.8400000000000001E-3</v>
      </c>
    </row>
    <row r="146" spans="1:11" hidden="1">
      <c r="A146" s="10">
        <v>145</v>
      </c>
      <c r="B146" s="10" t="s">
        <v>38</v>
      </c>
      <c r="C146" s="10" t="s">
        <v>39</v>
      </c>
      <c r="D146" s="10" t="s">
        <v>716</v>
      </c>
      <c r="E146" s="2" t="s">
        <v>149</v>
      </c>
      <c r="F146" s="2" t="s">
        <v>186</v>
      </c>
      <c r="G146" s="2">
        <v>2</v>
      </c>
      <c r="H146" s="2" t="s">
        <v>33</v>
      </c>
      <c r="I146" s="2" t="s">
        <v>197</v>
      </c>
      <c r="J146" s="11">
        <v>88</v>
      </c>
      <c r="K146" s="12">
        <f t="shared" si="2"/>
        <v>1.7600000000000001E-5</v>
      </c>
    </row>
    <row r="147" spans="1:11" hidden="1">
      <c r="A147" s="10">
        <v>146</v>
      </c>
      <c r="B147" s="10" t="s">
        <v>38</v>
      </c>
      <c r="C147" s="10" t="s">
        <v>39</v>
      </c>
      <c r="D147" s="10" t="s">
        <v>721</v>
      </c>
      <c r="E147" s="2" t="s">
        <v>150</v>
      </c>
      <c r="F147" s="2" t="s">
        <v>186</v>
      </c>
      <c r="G147" s="2">
        <v>13</v>
      </c>
      <c r="H147" s="2" t="s">
        <v>33</v>
      </c>
      <c r="I147" s="2" t="s">
        <v>197</v>
      </c>
      <c r="J147" s="10"/>
      <c r="K147" s="12">
        <f t="shared" si="2"/>
        <v>0</v>
      </c>
    </row>
    <row r="148" spans="1:11" hidden="1">
      <c r="A148" s="10">
        <v>147</v>
      </c>
      <c r="B148" s="10" t="s">
        <v>38</v>
      </c>
      <c r="C148" s="10" t="s">
        <v>39</v>
      </c>
      <c r="D148" s="10" t="s">
        <v>721</v>
      </c>
      <c r="E148" s="2" t="s">
        <v>151</v>
      </c>
      <c r="F148" s="2" t="s">
        <v>186</v>
      </c>
      <c r="G148" s="2">
        <v>555</v>
      </c>
      <c r="H148" s="2" t="s">
        <v>33</v>
      </c>
      <c r="I148" s="2" t="s">
        <v>197</v>
      </c>
      <c r="J148" s="10"/>
      <c r="K148" s="12">
        <f t="shared" si="2"/>
        <v>0</v>
      </c>
    </row>
    <row r="149" spans="1:11" hidden="1">
      <c r="A149" s="10">
        <v>148</v>
      </c>
      <c r="B149" s="10" t="s">
        <v>38</v>
      </c>
      <c r="C149" s="10" t="s">
        <v>39</v>
      </c>
      <c r="D149" s="10" t="s">
        <v>721</v>
      </c>
      <c r="E149" s="2" t="s">
        <v>152</v>
      </c>
      <c r="F149" s="2" t="s">
        <v>186</v>
      </c>
      <c r="G149" s="2">
        <v>2570</v>
      </c>
      <c r="H149" s="2" t="s">
        <v>33</v>
      </c>
      <c r="I149" s="2" t="s">
        <v>197</v>
      </c>
      <c r="J149" s="10"/>
      <c r="K149" s="12">
        <f t="shared" si="2"/>
        <v>0</v>
      </c>
    </row>
    <row r="150" spans="1:11" hidden="1">
      <c r="A150" s="10">
        <v>149</v>
      </c>
      <c r="B150" s="10" t="s">
        <v>38</v>
      </c>
      <c r="C150" s="10" t="s">
        <v>39</v>
      </c>
      <c r="D150" s="10" t="s">
        <v>721</v>
      </c>
      <c r="E150" s="2" t="s">
        <v>153</v>
      </c>
      <c r="F150" s="2" t="s">
        <v>186</v>
      </c>
      <c r="G150" s="2">
        <v>445</v>
      </c>
      <c r="H150" s="2" t="s">
        <v>33</v>
      </c>
      <c r="I150" s="2" t="s">
        <v>197</v>
      </c>
      <c r="J150" s="10"/>
      <c r="K150" s="12">
        <f t="shared" si="2"/>
        <v>0</v>
      </c>
    </row>
    <row r="151" spans="1:11" hidden="1">
      <c r="A151" s="10">
        <v>150</v>
      </c>
      <c r="B151" s="10" t="s">
        <v>38</v>
      </c>
      <c r="C151" s="10" t="s">
        <v>39</v>
      </c>
      <c r="D151" s="10" t="s">
        <v>717</v>
      </c>
      <c r="E151" s="2" t="s">
        <v>154</v>
      </c>
      <c r="F151" s="2" t="s">
        <v>186</v>
      </c>
      <c r="G151" s="2">
        <v>1140</v>
      </c>
      <c r="H151" s="2" t="s">
        <v>33</v>
      </c>
      <c r="I151" s="2" t="s">
        <v>197</v>
      </c>
      <c r="J151" s="10"/>
      <c r="K151" s="12">
        <f t="shared" si="2"/>
        <v>0</v>
      </c>
    </row>
    <row r="152" spans="1:11" hidden="1">
      <c r="A152" s="10">
        <v>151</v>
      </c>
      <c r="B152" s="10" t="s">
        <v>38</v>
      </c>
      <c r="C152" s="10" t="s">
        <v>39</v>
      </c>
      <c r="D152" s="10" t="s">
        <v>717</v>
      </c>
      <c r="E152" s="2" t="s">
        <v>155</v>
      </c>
      <c r="F152" s="2" t="s">
        <v>186</v>
      </c>
      <c r="G152" s="2">
        <v>160</v>
      </c>
      <c r="H152" s="2" t="s">
        <v>33</v>
      </c>
      <c r="I152" s="2" t="s">
        <v>197</v>
      </c>
      <c r="J152" s="10"/>
      <c r="K152" s="12">
        <f t="shared" si="2"/>
        <v>0</v>
      </c>
    </row>
    <row r="153" spans="1:11" hidden="1">
      <c r="A153" s="10">
        <v>152</v>
      </c>
      <c r="B153" s="10" t="s">
        <v>38</v>
      </c>
      <c r="C153" s="10" t="s">
        <v>39</v>
      </c>
      <c r="D153" s="10" t="s">
        <v>717</v>
      </c>
      <c r="E153" s="2" t="s">
        <v>156</v>
      </c>
      <c r="F153" s="2" t="s">
        <v>186</v>
      </c>
      <c r="G153" s="2">
        <v>8</v>
      </c>
      <c r="H153" s="2" t="s">
        <v>33</v>
      </c>
      <c r="I153" s="2" t="s">
        <v>197</v>
      </c>
      <c r="J153" s="10"/>
      <c r="K153" s="12">
        <f t="shared" si="2"/>
        <v>0</v>
      </c>
    </row>
    <row r="154" spans="1:11" hidden="1">
      <c r="A154" s="10">
        <v>153</v>
      </c>
      <c r="B154" s="10" t="s">
        <v>38</v>
      </c>
      <c r="C154" s="10" t="s">
        <v>39</v>
      </c>
      <c r="D154" s="10" t="s">
        <v>978</v>
      </c>
      <c r="E154" s="2" t="s">
        <v>157</v>
      </c>
      <c r="F154" s="2" t="s">
        <v>186</v>
      </c>
      <c r="G154" s="2">
        <v>1640</v>
      </c>
      <c r="H154" s="2" t="s">
        <v>33</v>
      </c>
      <c r="I154" s="2" t="s">
        <v>197</v>
      </c>
      <c r="J154" s="10"/>
      <c r="K154" s="12">
        <f t="shared" si="2"/>
        <v>0</v>
      </c>
    </row>
    <row r="155" spans="1:11" hidden="1">
      <c r="A155" s="10">
        <v>154</v>
      </c>
      <c r="B155" s="10" t="s">
        <v>38</v>
      </c>
      <c r="C155" s="10" t="s">
        <v>39</v>
      </c>
      <c r="D155" s="10" t="s">
        <v>978</v>
      </c>
      <c r="E155" s="2" t="s">
        <v>158</v>
      </c>
      <c r="F155" s="2" t="s">
        <v>186</v>
      </c>
      <c r="G155" s="2">
        <v>720</v>
      </c>
      <c r="H155" s="2" t="s">
        <v>33</v>
      </c>
      <c r="I155" s="2" t="s">
        <v>197</v>
      </c>
      <c r="J155" s="10"/>
      <c r="K155" s="12">
        <f t="shared" si="2"/>
        <v>0</v>
      </c>
    </row>
    <row r="156" spans="1:11" hidden="1">
      <c r="A156" s="10">
        <v>155</v>
      </c>
      <c r="B156" s="10" t="s">
        <v>38</v>
      </c>
      <c r="C156" s="10" t="s">
        <v>39</v>
      </c>
      <c r="D156" s="10" t="s">
        <v>716</v>
      </c>
      <c r="E156" s="2" t="s">
        <v>159</v>
      </c>
      <c r="F156" s="2" t="s">
        <v>186</v>
      </c>
      <c r="G156" s="2">
        <v>255</v>
      </c>
      <c r="H156" s="2" t="s">
        <v>33</v>
      </c>
      <c r="I156" s="2" t="s">
        <v>197</v>
      </c>
      <c r="J156" s="10"/>
      <c r="K156" s="12">
        <f t="shared" si="2"/>
        <v>0</v>
      </c>
    </row>
    <row r="157" spans="1:11" hidden="1">
      <c r="A157" s="10">
        <v>156</v>
      </c>
      <c r="B157" s="10" t="s">
        <v>38</v>
      </c>
      <c r="C157" s="10" t="s">
        <v>39</v>
      </c>
      <c r="D157" s="10" t="s">
        <v>716</v>
      </c>
      <c r="E157" s="2" t="s">
        <v>160</v>
      </c>
      <c r="F157" s="2" t="s">
        <v>186</v>
      </c>
      <c r="G157" s="2">
        <v>245</v>
      </c>
      <c r="H157" s="2" t="s">
        <v>33</v>
      </c>
      <c r="I157" s="2" t="s">
        <v>197</v>
      </c>
      <c r="J157" s="10"/>
      <c r="K157" s="12">
        <f t="shared" si="2"/>
        <v>0</v>
      </c>
    </row>
    <row r="158" spans="1:11" hidden="1">
      <c r="A158" s="10">
        <v>157</v>
      </c>
      <c r="B158" s="10" t="s">
        <v>38</v>
      </c>
      <c r="C158" s="10" t="s">
        <v>39</v>
      </c>
      <c r="D158" s="10" t="s">
        <v>716</v>
      </c>
      <c r="E158" s="2" t="s">
        <v>161</v>
      </c>
      <c r="F158" s="2" t="s">
        <v>186</v>
      </c>
      <c r="G158" s="2">
        <v>302</v>
      </c>
      <c r="H158" s="2" t="s">
        <v>33</v>
      </c>
      <c r="I158" s="2" t="s">
        <v>197</v>
      </c>
      <c r="J158" s="10"/>
      <c r="K158" s="12">
        <f t="shared" si="2"/>
        <v>0</v>
      </c>
    </row>
    <row r="159" spans="1:11" hidden="1">
      <c r="A159" s="10">
        <v>158</v>
      </c>
      <c r="B159" s="10" t="s">
        <v>38</v>
      </c>
      <c r="C159" s="10" t="s">
        <v>39</v>
      </c>
      <c r="D159" s="10" t="s">
        <v>716</v>
      </c>
      <c r="E159" s="2" t="s">
        <v>162</v>
      </c>
      <c r="F159" s="2" t="s">
        <v>186</v>
      </c>
      <c r="G159" s="2">
        <v>190</v>
      </c>
      <c r="H159" s="2" t="s">
        <v>33</v>
      </c>
      <c r="I159" s="2" t="s">
        <v>197</v>
      </c>
      <c r="J159" s="10"/>
      <c r="K159" s="12">
        <f t="shared" si="2"/>
        <v>0</v>
      </c>
    </row>
    <row r="160" spans="1:11" hidden="1">
      <c r="A160" s="10">
        <v>159</v>
      </c>
      <c r="B160" s="10" t="s">
        <v>38</v>
      </c>
      <c r="C160" s="10" t="s">
        <v>39</v>
      </c>
      <c r="D160" s="10" t="s">
        <v>897</v>
      </c>
      <c r="E160" s="2" t="s">
        <v>163</v>
      </c>
      <c r="F160" s="2" t="s">
        <v>186</v>
      </c>
      <c r="G160" s="2">
        <v>31</v>
      </c>
      <c r="H160" s="2" t="s">
        <v>33</v>
      </c>
      <c r="I160" s="2" t="s">
        <v>197</v>
      </c>
      <c r="J160" s="10"/>
      <c r="K160" s="12">
        <f t="shared" si="2"/>
        <v>0</v>
      </c>
    </row>
    <row r="161" spans="1:11" hidden="1">
      <c r="A161" s="10">
        <v>160</v>
      </c>
      <c r="B161" s="10" t="s">
        <v>38</v>
      </c>
      <c r="C161" s="10" t="s">
        <v>39</v>
      </c>
      <c r="D161" s="10" t="s">
        <v>897</v>
      </c>
      <c r="E161" s="2" t="s">
        <v>164</v>
      </c>
      <c r="F161" s="2" t="s">
        <v>186</v>
      </c>
      <c r="G161" s="2">
        <v>620</v>
      </c>
      <c r="H161" s="2" t="s">
        <v>33</v>
      </c>
      <c r="I161" s="2" t="s">
        <v>197</v>
      </c>
      <c r="J161" s="10"/>
      <c r="K161" s="12">
        <f t="shared" si="2"/>
        <v>0</v>
      </c>
    </row>
    <row r="162" spans="1:11" hidden="1">
      <c r="A162" s="10">
        <v>161</v>
      </c>
      <c r="B162" s="10" t="s">
        <v>38</v>
      </c>
      <c r="C162" s="10" t="s">
        <v>39</v>
      </c>
      <c r="D162" s="10" t="s">
        <v>897</v>
      </c>
      <c r="E162" s="2" t="s">
        <v>165</v>
      </c>
      <c r="F162" s="2" t="s">
        <v>186</v>
      </c>
      <c r="G162" s="2">
        <v>1389</v>
      </c>
      <c r="H162" s="2" t="s">
        <v>33</v>
      </c>
      <c r="I162" s="2" t="s">
        <v>197</v>
      </c>
      <c r="J162" s="10"/>
      <c r="K162" s="12">
        <f t="shared" si="2"/>
        <v>0</v>
      </c>
    </row>
    <row r="163" spans="1:11" hidden="1">
      <c r="A163" s="10">
        <v>162</v>
      </c>
      <c r="B163" s="10" t="s">
        <v>38</v>
      </c>
      <c r="C163" s="10" t="s">
        <v>39</v>
      </c>
      <c r="D163" s="10" t="s">
        <v>897</v>
      </c>
      <c r="E163" s="2" t="s">
        <v>166</v>
      </c>
      <c r="F163" s="2" t="s">
        <v>186</v>
      </c>
      <c r="G163" s="2">
        <v>135</v>
      </c>
      <c r="H163" s="2" t="s">
        <v>33</v>
      </c>
      <c r="I163" s="2" t="s">
        <v>197</v>
      </c>
      <c r="J163" s="10"/>
      <c r="K163" s="12">
        <f t="shared" si="2"/>
        <v>0</v>
      </c>
    </row>
    <row r="164" spans="1:11" hidden="1">
      <c r="A164" s="10">
        <v>163</v>
      </c>
      <c r="B164" s="10" t="s">
        <v>38</v>
      </c>
      <c r="C164" s="10" t="s">
        <v>39</v>
      </c>
      <c r="D164" s="10" t="s">
        <v>897</v>
      </c>
      <c r="E164" s="2" t="s">
        <v>167</v>
      </c>
      <c r="F164" s="2" t="s">
        <v>186</v>
      </c>
      <c r="G164" s="2">
        <v>159</v>
      </c>
      <c r="H164" s="2" t="s">
        <v>33</v>
      </c>
      <c r="I164" s="2" t="s">
        <v>197</v>
      </c>
      <c r="J164" s="10"/>
      <c r="K164" s="12">
        <f t="shared" si="2"/>
        <v>0</v>
      </c>
    </row>
    <row r="165" spans="1:11" hidden="1">
      <c r="A165" s="10">
        <v>164</v>
      </c>
      <c r="B165" s="10" t="s">
        <v>38</v>
      </c>
      <c r="C165" s="10" t="s">
        <v>39</v>
      </c>
      <c r="D165" s="10" t="s">
        <v>897</v>
      </c>
      <c r="E165" s="2" t="s">
        <v>168</v>
      </c>
      <c r="F165" s="2" t="s">
        <v>186</v>
      </c>
      <c r="G165" s="2">
        <v>145</v>
      </c>
      <c r="H165" s="2" t="s">
        <v>33</v>
      </c>
      <c r="I165" s="2" t="s">
        <v>197</v>
      </c>
      <c r="J165" s="10"/>
      <c r="K165" s="12">
        <f t="shared" si="2"/>
        <v>0</v>
      </c>
    </row>
    <row r="166" spans="1:11" hidden="1">
      <c r="A166" s="10">
        <v>165</v>
      </c>
      <c r="B166" s="10" t="s">
        <v>38</v>
      </c>
      <c r="C166" s="10" t="s">
        <v>39</v>
      </c>
      <c r="D166" s="10" t="s">
        <v>897</v>
      </c>
      <c r="E166" s="2" t="s">
        <v>169</v>
      </c>
      <c r="F166" s="2" t="s">
        <v>186</v>
      </c>
      <c r="G166" s="2">
        <v>25</v>
      </c>
      <c r="H166" s="2" t="s">
        <v>33</v>
      </c>
      <c r="I166" s="2" t="s">
        <v>197</v>
      </c>
      <c r="J166" s="10"/>
      <c r="K166" s="12">
        <f t="shared" si="2"/>
        <v>0</v>
      </c>
    </row>
    <row r="167" spans="1:11" hidden="1">
      <c r="A167" s="10">
        <v>166</v>
      </c>
      <c r="B167" s="10" t="s">
        <v>38</v>
      </c>
      <c r="C167" s="10" t="s">
        <v>39</v>
      </c>
      <c r="D167" s="10" t="s">
        <v>717</v>
      </c>
      <c r="E167" s="2" t="s">
        <v>170</v>
      </c>
      <c r="F167" s="2" t="s">
        <v>187</v>
      </c>
      <c r="G167" s="2">
        <v>215</v>
      </c>
      <c r="H167" s="2" t="s">
        <v>33</v>
      </c>
      <c r="I167" s="2" t="s">
        <v>196</v>
      </c>
      <c r="J167" s="11">
        <v>328.53</v>
      </c>
      <c r="K167" s="12">
        <f t="shared" si="2"/>
        <v>7.0633950000000001E-3</v>
      </c>
    </row>
    <row r="168" spans="1:11" hidden="1">
      <c r="A168" s="10">
        <v>167</v>
      </c>
      <c r="B168" s="10" t="s">
        <v>38</v>
      </c>
      <c r="C168" s="10" t="s">
        <v>39</v>
      </c>
      <c r="D168" s="10" t="s">
        <v>721</v>
      </c>
      <c r="E168" s="2" t="s">
        <v>171</v>
      </c>
      <c r="F168" s="2" t="s">
        <v>187</v>
      </c>
      <c r="G168" s="2">
        <v>11</v>
      </c>
      <c r="H168" s="2" t="s">
        <v>33</v>
      </c>
      <c r="I168" s="2" t="s">
        <v>196</v>
      </c>
      <c r="J168" s="11">
        <v>461.38</v>
      </c>
      <c r="K168" s="12">
        <f t="shared" si="2"/>
        <v>5.0751799999999999E-4</v>
      </c>
    </row>
    <row r="169" spans="1:11" hidden="1">
      <c r="A169" s="10">
        <v>168</v>
      </c>
      <c r="B169" s="10" t="s">
        <v>38</v>
      </c>
      <c r="C169" s="10" t="s">
        <v>39</v>
      </c>
      <c r="D169" s="10" t="s">
        <v>721</v>
      </c>
      <c r="E169" s="2" t="s">
        <v>172</v>
      </c>
      <c r="F169" s="2" t="s">
        <v>187</v>
      </c>
      <c r="G169" s="2">
        <v>7</v>
      </c>
      <c r="H169" s="2" t="s">
        <v>33</v>
      </c>
      <c r="I169" s="2" t="s">
        <v>196</v>
      </c>
      <c r="J169" s="11">
        <v>461.38</v>
      </c>
      <c r="K169" s="12">
        <f t="shared" si="2"/>
        <v>3.22966E-4</v>
      </c>
    </row>
    <row r="170" spans="1:11" hidden="1">
      <c r="A170" s="10">
        <v>169</v>
      </c>
      <c r="B170" s="10" t="s">
        <v>38</v>
      </c>
      <c r="C170" s="10" t="s">
        <v>39</v>
      </c>
      <c r="D170" s="10" t="s">
        <v>897</v>
      </c>
      <c r="E170" s="2" t="s">
        <v>173</v>
      </c>
      <c r="F170" s="2" t="s">
        <v>187</v>
      </c>
      <c r="G170" s="2">
        <v>45</v>
      </c>
      <c r="H170" s="2" t="s">
        <v>33</v>
      </c>
      <c r="I170" s="2" t="s">
        <v>196</v>
      </c>
      <c r="J170" s="11">
        <v>461.38</v>
      </c>
      <c r="K170" s="12">
        <f t="shared" si="2"/>
        <v>2.0762099999999998E-3</v>
      </c>
    </row>
    <row r="171" spans="1:11" hidden="1">
      <c r="A171" s="10">
        <v>170</v>
      </c>
      <c r="B171" s="10" t="s">
        <v>38</v>
      </c>
      <c r="C171" s="10" t="s">
        <v>39</v>
      </c>
      <c r="D171" s="10" t="s">
        <v>897</v>
      </c>
      <c r="E171" s="2" t="s">
        <v>174</v>
      </c>
      <c r="F171" s="2" t="s">
        <v>187</v>
      </c>
      <c r="G171" s="2">
        <v>1098</v>
      </c>
      <c r="H171" s="2" t="s">
        <v>33</v>
      </c>
      <c r="I171" s="2" t="s">
        <v>196</v>
      </c>
      <c r="J171" s="11">
        <v>461.38</v>
      </c>
      <c r="K171" s="12">
        <f t="shared" si="2"/>
        <v>5.0659523999999997E-2</v>
      </c>
    </row>
    <row r="172" spans="1:11" hidden="1">
      <c r="A172" s="10">
        <v>171</v>
      </c>
      <c r="B172" s="10" t="s">
        <v>38</v>
      </c>
      <c r="C172" s="10" t="s">
        <v>39</v>
      </c>
      <c r="D172" s="10" t="s">
        <v>897</v>
      </c>
      <c r="E172" s="2" t="s">
        <v>175</v>
      </c>
      <c r="F172" s="2" t="s">
        <v>187</v>
      </c>
      <c r="G172" s="2">
        <v>1534</v>
      </c>
      <c r="H172" s="2" t="s">
        <v>33</v>
      </c>
      <c r="I172" s="2" t="s">
        <v>196</v>
      </c>
      <c r="J172" s="11">
        <v>461.38</v>
      </c>
      <c r="K172" s="12">
        <f t="shared" si="2"/>
        <v>7.0775692000000001E-2</v>
      </c>
    </row>
    <row r="173" spans="1:11" hidden="1">
      <c r="A173" s="10">
        <v>172</v>
      </c>
      <c r="B173" s="10" t="s">
        <v>38</v>
      </c>
      <c r="C173" s="10" t="s">
        <v>39</v>
      </c>
      <c r="D173" s="10" t="s">
        <v>897</v>
      </c>
      <c r="E173" s="2" t="s">
        <v>176</v>
      </c>
      <c r="F173" s="2" t="s">
        <v>187</v>
      </c>
      <c r="G173" s="2">
        <v>69</v>
      </c>
      <c r="H173" s="2" t="s">
        <v>33</v>
      </c>
      <c r="I173" s="2" t="s">
        <v>198</v>
      </c>
      <c r="J173" s="11">
        <v>461.38</v>
      </c>
      <c r="K173" s="12">
        <f t="shared" si="2"/>
        <v>3.1835220000000003E-3</v>
      </c>
    </row>
    <row r="174" spans="1:11" hidden="1">
      <c r="A174" s="10">
        <v>173</v>
      </c>
      <c r="B174" s="10" t="s">
        <v>38</v>
      </c>
      <c r="C174" s="10" t="s">
        <v>39</v>
      </c>
      <c r="D174" s="10" t="s">
        <v>721</v>
      </c>
      <c r="E174" s="2" t="s">
        <v>177</v>
      </c>
      <c r="F174" s="2" t="s">
        <v>187</v>
      </c>
      <c r="G174" s="2">
        <v>558</v>
      </c>
      <c r="H174" s="2" t="s">
        <v>33</v>
      </c>
      <c r="I174" s="2" t="s">
        <v>196</v>
      </c>
      <c r="J174" s="11">
        <v>243.46</v>
      </c>
      <c r="K174" s="12">
        <f t="shared" si="2"/>
        <v>1.3585067999999999E-2</v>
      </c>
    </row>
    <row r="175" spans="1:11" hidden="1">
      <c r="A175" s="10">
        <v>174</v>
      </c>
      <c r="B175" s="10" t="s">
        <v>38</v>
      </c>
      <c r="C175" s="10" t="s">
        <v>39</v>
      </c>
      <c r="D175" s="10" t="s">
        <v>897</v>
      </c>
      <c r="E175" s="2" t="s">
        <v>178</v>
      </c>
      <c r="F175" s="2" t="s">
        <v>187</v>
      </c>
      <c r="G175" s="2">
        <v>264</v>
      </c>
      <c r="H175" s="2" t="s">
        <v>33</v>
      </c>
      <c r="I175" s="2" t="s">
        <v>196</v>
      </c>
      <c r="J175" s="11">
        <v>243.46</v>
      </c>
      <c r="K175" s="12">
        <f t="shared" si="2"/>
        <v>6.4273440000000006E-3</v>
      </c>
    </row>
    <row r="176" spans="1:11" hidden="1">
      <c r="A176" s="10">
        <v>175</v>
      </c>
      <c r="B176" s="10" t="s">
        <v>210</v>
      </c>
      <c r="C176" s="10" t="s">
        <v>211</v>
      </c>
      <c r="D176" s="10" t="s">
        <v>862</v>
      </c>
      <c r="E176" s="2" t="s">
        <v>199</v>
      </c>
      <c r="F176" s="36" t="s">
        <v>205</v>
      </c>
      <c r="G176" s="2">
        <v>1</v>
      </c>
      <c r="H176" s="2" t="s">
        <v>33</v>
      </c>
      <c r="I176" s="2" t="s">
        <v>206</v>
      </c>
      <c r="J176" s="11">
        <v>83838</v>
      </c>
      <c r="K176" s="12">
        <f t="shared" si="2"/>
        <v>8.3838000000000003E-3</v>
      </c>
    </row>
    <row r="177" spans="1:11" hidden="1">
      <c r="A177" s="10">
        <v>176</v>
      </c>
      <c r="B177" s="10" t="s">
        <v>210</v>
      </c>
      <c r="C177" s="10" t="s">
        <v>211</v>
      </c>
      <c r="D177" s="10" t="s">
        <v>862</v>
      </c>
      <c r="E177" s="2" t="s">
        <v>200</v>
      </c>
      <c r="F177" s="36" t="s">
        <v>205</v>
      </c>
      <c r="G177" s="2">
        <v>1</v>
      </c>
      <c r="H177" s="2" t="s">
        <v>33</v>
      </c>
      <c r="I177" s="2" t="s">
        <v>206</v>
      </c>
      <c r="J177" s="11">
        <v>44687</v>
      </c>
      <c r="K177" s="12">
        <f t="shared" si="2"/>
        <v>4.4686999999999999E-3</v>
      </c>
    </row>
    <row r="178" spans="1:11" hidden="1">
      <c r="A178" s="10">
        <v>177</v>
      </c>
      <c r="B178" s="10" t="s">
        <v>210</v>
      </c>
      <c r="C178" s="10" t="s">
        <v>211</v>
      </c>
      <c r="D178" s="10" t="s">
        <v>897</v>
      </c>
      <c r="E178" s="2" t="s">
        <v>201</v>
      </c>
      <c r="F178" s="2" t="s">
        <v>207</v>
      </c>
      <c r="G178" s="2">
        <v>1</v>
      </c>
      <c r="H178" s="2" t="s">
        <v>33</v>
      </c>
      <c r="I178" s="2" t="s">
        <v>208</v>
      </c>
      <c r="J178" s="11">
        <v>4750</v>
      </c>
      <c r="K178" s="12">
        <f t="shared" si="2"/>
        <v>4.75E-4</v>
      </c>
    </row>
    <row r="179" spans="1:11" hidden="1">
      <c r="A179" s="10">
        <v>178</v>
      </c>
      <c r="B179" s="10" t="s">
        <v>210</v>
      </c>
      <c r="C179" s="10" t="s">
        <v>211</v>
      </c>
      <c r="D179" s="10" t="s">
        <v>897</v>
      </c>
      <c r="E179" s="2" t="s">
        <v>202</v>
      </c>
      <c r="F179" s="2" t="s">
        <v>207</v>
      </c>
      <c r="G179" s="2">
        <v>1</v>
      </c>
      <c r="H179" s="2" t="s">
        <v>33</v>
      </c>
      <c r="I179" s="2" t="s">
        <v>208</v>
      </c>
      <c r="J179" s="11">
        <v>4750</v>
      </c>
      <c r="K179" s="12">
        <f t="shared" si="2"/>
        <v>4.75E-4</v>
      </c>
    </row>
    <row r="180" spans="1:11" hidden="1">
      <c r="A180" s="10">
        <v>179</v>
      </c>
      <c r="B180" s="10" t="s">
        <v>210</v>
      </c>
      <c r="C180" s="10" t="s">
        <v>211</v>
      </c>
      <c r="D180" s="10" t="s">
        <v>897</v>
      </c>
      <c r="E180" s="2" t="s">
        <v>203</v>
      </c>
      <c r="F180" s="2" t="s">
        <v>207</v>
      </c>
      <c r="G180" s="2">
        <v>1</v>
      </c>
      <c r="H180" s="2" t="s">
        <v>33</v>
      </c>
      <c r="I180" s="2" t="s">
        <v>209</v>
      </c>
      <c r="J180" s="11">
        <v>18865</v>
      </c>
      <c r="K180" s="12">
        <f t="shared" si="2"/>
        <v>1.8864999999999999E-3</v>
      </c>
    </row>
    <row r="181" spans="1:11" hidden="1">
      <c r="A181" s="10">
        <v>180</v>
      </c>
      <c r="B181" s="10" t="s">
        <v>210</v>
      </c>
      <c r="C181" s="10" t="s">
        <v>211</v>
      </c>
      <c r="D181" s="10" t="s">
        <v>897</v>
      </c>
      <c r="E181" s="2" t="s">
        <v>204</v>
      </c>
      <c r="F181" s="2" t="s">
        <v>207</v>
      </c>
      <c r="G181" s="2">
        <v>1</v>
      </c>
      <c r="H181" s="2" t="s">
        <v>33</v>
      </c>
      <c r="I181" s="2" t="s">
        <v>209</v>
      </c>
      <c r="J181" s="11">
        <v>13051.5</v>
      </c>
      <c r="K181" s="12">
        <f t="shared" si="2"/>
        <v>1.3051499999999999E-3</v>
      </c>
    </row>
    <row r="182" spans="1:11" hidden="1">
      <c r="A182" s="10">
        <v>181</v>
      </c>
      <c r="B182" s="10" t="s">
        <v>253</v>
      </c>
      <c r="C182" s="10" t="s">
        <v>254</v>
      </c>
      <c r="D182" s="10" t="s">
        <v>862</v>
      </c>
      <c r="E182" s="25" t="s">
        <v>212</v>
      </c>
      <c r="F182" s="10" t="s">
        <v>232</v>
      </c>
      <c r="G182" s="10">
        <v>10</v>
      </c>
      <c r="H182" s="10" t="s">
        <v>250</v>
      </c>
      <c r="I182" s="25" t="s">
        <v>244</v>
      </c>
      <c r="J182" s="10">
        <v>23800</v>
      </c>
      <c r="K182" s="12">
        <f t="shared" si="2"/>
        <v>2.3800000000000002E-2</v>
      </c>
    </row>
    <row r="183" spans="1:11" hidden="1">
      <c r="A183" s="10">
        <v>182</v>
      </c>
      <c r="B183" s="10" t="s">
        <v>253</v>
      </c>
      <c r="C183" s="10" t="s">
        <v>254</v>
      </c>
      <c r="D183" s="10" t="s">
        <v>862</v>
      </c>
      <c r="E183" s="25" t="s">
        <v>213</v>
      </c>
      <c r="F183" s="10" t="s">
        <v>233</v>
      </c>
      <c r="G183" s="10">
        <v>2</v>
      </c>
      <c r="H183" s="10" t="s">
        <v>250</v>
      </c>
      <c r="I183" s="25" t="s">
        <v>245</v>
      </c>
      <c r="J183" s="10">
        <v>1398</v>
      </c>
      <c r="K183" s="12">
        <f t="shared" si="2"/>
        <v>2.7960000000000002E-4</v>
      </c>
    </row>
    <row r="184" spans="1:11" hidden="1">
      <c r="A184" s="10">
        <v>183</v>
      </c>
      <c r="B184" s="10" t="s">
        <v>253</v>
      </c>
      <c r="C184" s="10" t="s">
        <v>254</v>
      </c>
      <c r="D184" s="10" t="s">
        <v>862</v>
      </c>
      <c r="E184" s="25" t="s">
        <v>214</v>
      </c>
      <c r="F184" s="10" t="s">
        <v>234</v>
      </c>
      <c r="G184" s="10">
        <v>12</v>
      </c>
      <c r="H184" s="10" t="s">
        <v>250</v>
      </c>
      <c r="I184" s="10" t="s">
        <v>246</v>
      </c>
      <c r="J184" s="10">
        <v>3889</v>
      </c>
      <c r="K184" s="12">
        <f t="shared" si="2"/>
        <v>4.6667999999999996E-3</v>
      </c>
    </row>
    <row r="185" spans="1:11" hidden="1">
      <c r="A185" s="10">
        <v>184</v>
      </c>
      <c r="B185" s="10" t="s">
        <v>253</v>
      </c>
      <c r="C185" s="10" t="s">
        <v>254</v>
      </c>
      <c r="D185" s="10" t="s">
        <v>862</v>
      </c>
      <c r="E185" s="25" t="s">
        <v>215</v>
      </c>
      <c r="F185" s="10" t="s">
        <v>235</v>
      </c>
      <c r="G185" s="10">
        <v>6</v>
      </c>
      <c r="H185" s="10" t="s">
        <v>250</v>
      </c>
      <c r="I185" s="10" t="s">
        <v>246</v>
      </c>
      <c r="J185" s="10">
        <v>3344</v>
      </c>
      <c r="K185" s="12">
        <f t="shared" si="2"/>
        <v>2.0064000000000002E-3</v>
      </c>
    </row>
    <row r="186" spans="1:11" hidden="1">
      <c r="A186" s="10">
        <v>185</v>
      </c>
      <c r="B186" s="10" t="s">
        <v>253</v>
      </c>
      <c r="C186" s="10" t="s">
        <v>254</v>
      </c>
      <c r="D186" s="10" t="s">
        <v>862</v>
      </c>
      <c r="E186" s="25" t="s">
        <v>216</v>
      </c>
      <c r="F186" s="10" t="s">
        <v>236</v>
      </c>
      <c r="G186" s="10">
        <v>6</v>
      </c>
      <c r="H186" s="10" t="s">
        <v>250</v>
      </c>
      <c r="I186" s="10" t="s">
        <v>246</v>
      </c>
      <c r="J186" s="10">
        <v>2446</v>
      </c>
      <c r="K186" s="12">
        <f t="shared" si="2"/>
        <v>1.4675999999999999E-3</v>
      </c>
    </row>
    <row r="187" spans="1:11" hidden="1">
      <c r="A187" s="10">
        <v>186</v>
      </c>
      <c r="B187" s="10" t="s">
        <v>253</v>
      </c>
      <c r="C187" s="10" t="s">
        <v>254</v>
      </c>
      <c r="D187" s="10" t="s">
        <v>862</v>
      </c>
      <c r="E187" s="25" t="s">
        <v>217</v>
      </c>
      <c r="F187" s="10" t="s">
        <v>237</v>
      </c>
      <c r="G187" s="10">
        <v>3</v>
      </c>
      <c r="H187" s="10" t="s">
        <v>250</v>
      </c>
      <c r="I187" s="10" t="s">
        <v>246</v>
      </c>
      <c r="J187" s="35">
        <v>13052</v>
      </c>
      <c r="K187" s="12">
        <f t="shared" si="2"/>
        <v>3.9156E-3</v>
      </c>
    </row>
    <row r="188" spans="1:11" hidden="1">
      <c r="A188" s="10">
        <v>187</v>
      </c>
      <c r="B188" s="10" t="s">
        <v>253</v>
      </c>
      <c r="C188" s="10" t="s">
        <v>254</v>
      </c>
      <c r="D188" s="10" t="s">
        <v>862</v>
      </c>
      <c r="E188" s="25" t="s">
        <v>218</v>
      </c>
      <c r="F188" s="10" t="s">
        <v>238</v>
      </c>
      <c r="G188" s="10">
        <v>2</v>
      </c>
      <c r="H188" s="10" t="s">
        <v>250</v>
      </c>
      <c r="I188" s="10" t="s">
        <v>246</v>
      </c>
      <c r="J188" s="10">
        <v>6311</v>
      </c>
      <c r="K188" s="12">
        <f t="shared" si="2"/>
        <v>1.2622E-3</v>
      </c>
    </row>
    <row r="189" spans="1:11" hidden="1">
      <c r="A189" s="10">
        <v>188</v>
      </c>
      <c r="B189" s="10" t="s">
        <v>253</v>
      </c>
      <c r="C189" s="10" t="s">
        <v>254</v>
      </c>
      <c r="D189" s="10" t="s">
        <v>862</v>
      </c>
      <c r="E189" s="25" t="s">
        <v>219</v>
      </c>
      <c r="F189" s="10" t="s">
        <v>239</v>
      </c>
      <c r="G189" s="10">
        <v>3</v>
      </c>
      <c r="H189" s="10" t="s">
        <v>250</v>
      </c>
      <c r="I189" s="10" t="s">
        <v>246</v>
      </c>
      <c r="J189" s="10">
        <v>5731</v>
      </c>
      <c r="K189" s="12">
        <f t="shared" si="2"/>
        <v>1.7193E-3</v>
      </c>
    </row>
    <row r="190" spans="1:11" hidden="1">
      <c r="A190" s="10">
        <v>189</v>
      </c>
      <c r="B190" s="10" t="s">
        <v>253</v>
      </c>
      <c r="C190" s="10" t="s">
        <v>254</v>
      </c>
      <c r="D190" s="10" t="s">
        <v>862</v>
      </c>
      <c r="E190" s="25" t="s">
        <v>220</v>
      </c>
      <c r="F190" s="10" t="s">
        <v>235</v>
      </c>
      <c r="G190" s="10">
        <v>2</v>
      </c>
      <c r="H190" s="10" t="s">
        <v>250</v>
      </c>
      <c r="I190" s="10" t="s">
        <v>246</v>
      </c>
      <c r="J190" s="10">
        <v>9419</v>
      </c>
      <c r="K190" s="12">
        <f t="shared" si="2"/>
        <v>1.8837999999999999E-3</v>
      </c>
    </row>
    <row r="191" spans="1:11" hidden="1">
      <c r="A191" s="10">
        <v>190</v>
      </c>
      <c r="B191" s="10" t="s">
        <v>253</v>
      </c>
      <c r="C191" s="10" t="s">
        <v>254</v>
      </c>
      <c r="D191" s="10" t="s">
        <v>862</v>
      </c>
      <c r="E191" s="25" t="s">
        <v>221</v>
      </c>
      <c r="F191" s="10" t="s">
        <v>240</v>
      </c>
      <c r="G191" s="10">
        <v>10</v>
      </c>
      <c r="H191" s="10" t="s">
        <v>250</v>
      </c>
      <c r="I191" s="10" t="s">
        <v>246</v>
      </c>
      <c r="J191" s="10">
        <v>6538</v>
      </c>
      <c r="K191" s="12">
        <f t="shared" si="2"/>
        <v>6.5380000000000004E-3</v>
      </c>
    </row>
    <row r="192" spans="1:11" hidden="1">
      <c r="A192" s="10">
        <v>191</v>
      </c>
      <c r="B192" s="10" t="s">
        <v>253</v>
      </c>
      <c r="C192" s="10" t="s">
        <v>254</v>
      </c>
      <c r="D192" s="10" t="s">
        <v>862</v>
      </c>
      <c r="E192" s="25" t="s">
        <v>222</v>
      </c>
      <c r="F192" s="10" t="s">
        <v>236</v>
      </c>
      <c r="G192" s="10">
        <v>2</v>
      </c>
      <c r="H192" s="10" t="s">
        <v>250</v>
      </c>
      <c r="I192" s="10" t="s">
        <v>246</v>
      </c>
      <c r="J192" s="10">
        <v>5253</v>
      </c>
      <c r="K192" s="12">
        <f t="shared" si="2"/>
        <v>1.0506000000000001E-3</v>
      </c>
    </row>
    <row r="193" spans="1:11" hidden="1">
      <c r="A193" s="10">
        <v>192</v>
      </c>
      <c r="B193" s="10" t="s">
        <v>253</v>
      </c>
      <c r="C193" s="10" t="s">
        <v>254</v>
      </c>
      <c r="D193" s="10" t="s">
        <v>862</v>
      </c>
      <c r="E193" s="25" t="s">
        <v>223</v>
      </c>
      <c r="F193" s="10" t="s">
        <v>241</v>
      </c>
      <c r="G193" s="10">
        <v>1</v>
      </c>
      <c r="H193" s="10" t="s">
        <v>250</v>
      </c>
      <c r="I193" s="10" t="s">
        <v>246</v>
      </c>
      <c r="J193" s="10">
        <v>3225</v>
      </c>
      <c r="K193" s="12">
        <f t="shared" si="2"/>
        <v>3.2249999999999998E-4</v>
      </c>
    </row>
    <row r="194" spans="1:11" hidden="1">
      <c r="A194" s="10">
        <v>193</v>
      </c>
      <c r="B194" s="10" t="s">
        <v>253</v>
      </c>
      <c r="C194" s="10" t="s">
        <v>254</v>
      </c>
      <c r="D194" s="10" t="s">
        <v>897</v>
      </c>
      <c r="E194" s="25" t="s">
        <v>224</v>
      </c>
      <c r="F194" s="10" t="s">
        <v>240</v>
      </c>
      <c r="G194" s="10">
        <v>2</v>
      </c>
      <c r="H194" s="10" t="s">
        <v>250</v>
      </c>
      <c r="I194" s="10" t="s">
        <v>247</v>
      </c>
      <c r="J194" s="10">
        <v>6440</v>
      </c>
      <c r="K194" s="12">
        <f t="shared" ref="K194:K257" si="3">(J194*G194)/10000000</f>
        <v>1.2880000000000001E-3</v>
      </c>
    </row>
    <row r="195" spans="1:11" hidden="1">
      <c r="A195" s="10">
        <v>194</v>
      </c>
      <c r="B195" s="10" t="s">
        <v>253</v>
      </c>
      <c r="C195" s="10" t="s">
        <v>254</v>
      </c>
      <c r="D195" s="10" t="s">
        <v>897</v>
      </c>
      <c r="E195" s="25" t="s">
        <v>225</v>
      </c>
      <c r="F195" s="10" t="s">
        <v>239</v>
      </c>
      <c r="G195" s="10">
        <v>1</v>
      </c>
      <c r="H195" s="10" t="s">
        <v>250</v>
      </c>
      <c r="I195" s="10" t="s">
        <v>247</v>
      </c>
      <c r="J195" s="10">
        <v>4665</v>
      </c>
      <c r="K195" s="12">
        <f t="shared" si="3"/>
        <v>4.6650000000000001E-4</v>
      </c>
    </row>
    <row r="196" spans="1:11" hidden="1">
      <c r="A196" s="10">
        <v>195</v>
      </c>
      <c r="B196" s="10" t="s">
        <v>253</v>
      </c>
      <c r="C196" s="10" t="s">
        <v>254</v>
      </c>
      <c r="D196" s="10" t="s">
        <v>895</v>
      </c>
      <c r="E196" s="25" t="s">
        <v>226</v>
      </c>
      <c r="F196" s="10" t="s">
        <v>242</v>
      </c>
      <c r="G196" s="10">
        <v>15</v>
      </c>
      <c r="H196" s="10" t="s">
        <v>251</v>
      </c>
      <c r="I196" s="10" t="s">
        <v>248</v>
      </c>
      <c r="J196" s="10">
        <v>3721</v>
      </c>
      <c r="K196" s="12">
        <f t="shared" si="3"/>
        <v>5.5814999999999997E-3</v>
      </c>
    </row>
    <row r="197" spans="1:11" hidden="1">
      <c r="A197" s="10">
        <v>196</v>
      </c>
      <c r="B197" s="10" t="s">
        <v>253</v>
      </c>
      <c r="C197" s="10" t="s">
        <v>254</v>
      </c>
      <c r="D197" s="10" t="s">
        <v>895</v>
      </c>
      <c r="E197" s="25" t="s">
        <v>227</v>
      </c>
      <c r="F197" s="10" t="s">
        <v>238</v>
      </c>
      <c r="G197" s="10">
        <v>5</v>
      </c>
      <c r="H197" s="10" t="s">
        <v>251</v>
      </c>
      <c r="I197" s="10" t="s">
        <v>248</v>
      </c>
      <c r="J197" s="10">
        <v>2490</v>
      </c>
      <c r="K197" s="12">
        <f t="shared" si="3"/>
        <v>1.245E-3</v>
      </c>
    </row>
    <row r="198" spans="1:11" hidden="1">
      <c r="A198" s="10">
        <v>197</v>
      </c>
      <c r="B198" s="10" t="s">
        <v>253</v>
      </c>
      <c r="C198" s="10" t="s">
        <v>254</v>
      </c>
      <c r="D198" s="10" t="s">
        <v>895</v>
      </c>
      <c r="E198" s="25" t="s">
        <v>228</v>
      </c>
      <c r="F198" s="10" t="s">
        <v>237</v>
      </c>
      <c r="G198" s="10">
        <v>9</v>
      </c>
      <c r="H198" s="10" t="s">
        <v>251</v>
      </c>
      <c r="I198" s="10" t="s">
        <v>248</v>
      </c>
      <c r="J198" s="10">
        <v>3129</v>
      </c>
      <c r="K198" s="12">
        <f t="shared" si="3"/>
        <v>2.8161000000000002E-3</v>
      </c>
    </row>
    <row r="199" spans="1:11" hidden="1">
      <c r="A199" s="10">
        <v>198</v>
      </c>
      <c r="B199" s="10" t="s">
        <v>253</v>
      </c>
      <c r="C199" s="10" t="s">
        <v>254</v>
      </c>
      <c r="D199" s="10" t="s">
        <v>895</v>
      </c>
      <c r="E199" s="25" t="s">
        <v>229</v>
      </c>
      <c r="F199" s="10" t="s">
        <v>236</v>
      </c>
      <c r="G199" s="10">
        <v>15</v>
      </c>
      <c r="H199" s="10" t="s">
        <v>251</v>
      </c>
      <c r="I199" s="10" t="s">
        <v>248</v>
      </c>
      <c r="J199" s="10">
        <v>389</v>
      </c>
      <c r="K199" s="12">
        <f t="shared" si="3"/>
        <v>5.8350000000000003E-4</v>
      </c>
    </row>
    <row r="200" spans="1:11" hidden="1">
      <c r="A200" s="10">
        <v>199</v>
      </c>
      <c r="B200" s="10" t="s">
        <v>253</v>
      </c>
      <c r="C200" s="10" t="s">
        <v>254</v>
      </c>
      <c r="D200" s="10" t="s">
        <v>895</v>
      </c>
      <c r="E200" s="25" t="s">
        <v>230</v>
      </c>
      <c r="F200" s="10" t="s">
        <v>239</v>
      </c>
      <c r="G200" s="10">
        <v>12</v>
      </c>
      <c r="H200" s="10" t="s">
        <v>251</v>
      </c>
      <c r="I200" s="10" t="s">
        <v>248</v>
      </c>
      <c r="J200" s="10">
        <v>499</v>
      </c>
      <c r="K200" s="12">
        <f t="shared" si="3"/>
        <v>5.9880000000000003E-4</v>
      </c>
    </row>
    <row r="201" spans="1:11" hidden="1">
      <c r="A201" s="10">
        <v>200</v>
      </c>
      <c r="B201" s="10" t="s">
        <v>253</v>
      </c>
      <c r="C201" s="10" t="s">
        <v>254</v>
      </c>
      <c r="D201" s="10" t="s">
        <v>897</v>
      </c>
      <c r="E201" s="25" t="s">
        <v>231</v>
      </c>
      <c r="F201" s="10" t="s">
        <v>243</v>
      </c>
      <c r="G201" s="10">
        <v>75</v>
      </c>
      <c r="H201" s="10" t="s">
        <v>252</v>
      </c>
      <c r="I201" s="25" t="s">
        <v>249</v>
      </c>
      <c r="J201" s="10">
        <v>1068</v>
      </c>
      <c r="K201" s="12">
        <f t="shared" si="3"/>
        <v>8.0099999999999998E-3</v>
      </c>
    </row>
    <row r="202" spans="1:11" hidden="1">
      <c r="A202" s="10">
        <v>201</v>
      </c>
      <c r="B202" s="10" t="s">
        <v>322</v>
      </c>
      <c r="C202" s="10" t="s">
        <v>323</v>
      </c>
      <c r="D202" s="10" t="s">
        <v>897</v>
      </c>
      <c r="E202" s="36" t="s">
        <v>255</v>
      </c>
      <c r="F202" s="36" t="s">
        <v>256</v>
      </c>
      <c r="G202" s="36">
        <v>2</v>
      </c>
      <c r="H202" s="36" t="s">
        <v>33</v>
      </c>
      <c r="I202" s="36" t="s">
        <v>257</v>
      </c>
      <c r="J202" s="38">
        <v>4550</v>
      </c>
      <c r="K202" s="12">
        <f t="shared" si="3"/>
        <v>9.1E-4</v>
      </c>
    </row>
    <row r="203" spans="1:11" hidden="1">
      <c r="A203" s="10">
        <v>202</v>
      </c>
      <c r="B203" s="10" t="s">
        <v>322</v>
      </c>
      <c r="C203" s="10" t="s">
        <v>323</v>
      </c>
      <c r="D203" s="10" t="s">
        <v>897</v>
      </c>
      <c r="E203" s="36" t="s">
        <v>258</v>
      </c>
      <c r="F203" s="36" t="s">
        <v>259</v>
      </c>
      <c r="G203" s="36">
        <v>1</v>
      </c>
      <c r="H203" s="36" t="s">
        <v>33</v>
      </c>
      <c r="I203" s="36" t="s">
        <v>260</v>
      </c>
      <c r="J203" s="38">
        <v>1600</v>
      </c>
      <c r="K203" s="12">
        <f t="shared" si="3"/>
        <v>1.6000000000000001E-4</v>
      </c>
    </row>
    <row r="204" spans="1:11" hidden="1">
      <c r="A204" s="10">
        <v>203</v>
      </c>
      <c r="B204" s="10" t="s">
        <v>322</v>
      </c>
      <c r="C204" s="10" t="s">
        <v>323</v>
      </c>
      <c r="D204" s="10" t="s">
        <v>897</v>
      </c>
      <c r="E204" s="36" t="s">
        <v>261</v>
      </c>
      <c r="F204" s="36" t="s">
        <v>262</v>
      </c>
      <c r="G204" s="36">
        <v>2</v>
      </c>
      <c r="H204" s="36" t="s">
        <v>33</v>
      </c>
      <c r="I204" s="36" t="s">
        <v>263</v>
      </c>
      <c r="J204" s="38">
        <v>1200</v>
      </c>
      <c r="K204" s="12">
        <f t="shared" si="3"/>
        <v>2.4000000000000001E-4</v>
      </c>
    </row>
    <row r="205" spans="1:11" hidden="1">
      <c r="A205" s="10">
        <v>204</v>
      </c>
      <c r="B205" s="10" t="s">
        <v>322</v>
      </c>
      <c r="C205" s="10" t="s">
        <v>323</v>
      </c>
      <c r="D205" s="10" t="s">
        <v>897</v>
      </c>
      <c r="E205" s="36" t="s">
        <v>261</v>
      </c>
      <c r="F205" s="36" t="s">
        <v>264</v>
      </c>
      <c r="G205" s="36">
        <v>10</v>
      </c>
      <c r="H205" s="36" t="s">
        <v>33</v>
      </c>
      <c r="I205" s="36" t="s">
        <v>260</v>
      </c>
      <c r="J205" s="38">
        <v>1000</v>
      </c>
      <c r="K205" s="12">
        <f t="shared" si="3"/>
        <v>1E-3</v>
      </c>
    </row>
    <row r="206" spans="1:11" hidden="1">
      <c r="A206" s="10">
        <v>205</v>
      </c>
      <c r="B206" s="10" t="s">
        <v>322</v>
      </c>
      <c r="C206" s="10" t="s">
        <v>323</v>
      </c>
      <c r="D206" s="10" t="s">
        <v>897</v>
      </c>
      <c r="E206" s="36" t="s">
        <v>265</v>
      </c>
      <c r="F206" s="36" t="s">
        <v>266</v>
      </c>
      <c r="G206" s="36">
        <v>14</v>
      </c>
      <c r="H206" s="36" t="s">
        <v>33</v>
      </c>
      <c r="I206" s="36" t="s">
        <v>267</v>
      </c>
      <c r="J206" s="36">
        <v>36.409999999999997</v>
      </c>
      <c r="K206" s="12">
        <f t="shared" si="3"/>
        <v>5.0973999999999997E-5</v>
      </c>
    </row>
    <row r="207" spans="1:11" hidden="1">
      <c r="A207" s="10">
        <v>206</v>
      </c>
      <c r="B207" s="10" t="s">
        <v>322</v>
      </c>
      <c r="C207" s="10" t="s">
        <v>323</v>
      </c>
      <c r="D207" s="10" t="s">
        <v>897</v>
      </c>
      <c r="E207" s="36" t="s">
        <v>265</v>
      </c>
      <c r="F207" s="36" t="s">
        <v>268</v>
      </c>
      <c r="G207" s="36">
        <v>29</v>
      </c>
      <c r="H207" s="36" t="s">
        <v>33</v>
      </c>
      <c r="I207" s="36" t="s">
        <v>267</v>
      </c>
      <c r="J207" s="36">
        <v>74.010000000000005</v>
      </c>
      <c r="K207" s="12">
        <f t="shared" si="3"/>
        <v>2.1462900000000001E-4</v>
      </c>
    </row>
    <row r="208" spans="1:11" hidden="1">
      <c r="A208" s="10">
        <v>207</v>
      </c>
      <c r="B208" s="10" t="s">
        <v>322</v>
      </c>
      <c r="C208" s="10" t="s">
        <v>323</v>
      </c>
      <c r="D208" s="10" t="s">
        <v>897</v>
      </c>
      <c r="E208" s="36" t="s">
        <v>265</v>
      </c>
      <c r="F208" s="36" t="s">
        <v>268</v>
      </c>
      <c r="G208" s="36">
        <v>50</v>
      </c>
      <c r="H208" s="36" t="s">
        <v>33</v>
      </c>
      <c r="I208" s="36" t="s">
        <v>269</v>
      </c>
      <c r="J208" s="36">
        <v>74.010000000000005</v>
      </c>
      <c r="K208" s="12">
        <f t="shared" si="3"/>
        <v>3.7005000000000002E-4</v>
      </c>
    </row>
    <row r="209" spans="1:11" hidden="1">
      <c r="A209" s="10">
        <v>208</v>
      </c>
      <c r="B209" s="10" t="s">
        <v>322</v>
      </c>
      <c r="C209" s="10" t="s">
        <v>323</v>
      </c>
      <c r="D209" s="10" t="s">
        <v>897</v>
      </c>
      <c r="E209" s="36" t="s">
        <v>265</v>
      </c>
      <c r="F209" s="36" t="s">
        <v>270</v>
      </c>
      <c r="G209" s="36">
        <v>20</v>
      </c>
      <c r="H209" s="36" t="s">
        <v>33</v>
      </c>
      <c r="I209" s="36" t="s">
        <v>267</v>
      </c>
      <c r="J209" s="36">
        <v>103.21</v>
      </c>
      <c r="K209" s="12">
        <f t="shared" si="3"/>
        <v>2.0641999999999999E-4</v>
      </c>
    </row>
    <row r="210" spans="1:11" hidden="1">
      <c r="A210" s="10">
        <v>209</v>
      </c>
      <c r="B210" s="10" t="s">
        <v>322</v>
      </c>
      <c r="C210" s="10" t="s">
        <v>323</v>
      </c>
      <c r="D210" s="10" t="s">
        <v>897</v>
      </c>
      <c r="E210" s="36" t="s">
        <v>265</v>
      </c>
      <c r="F210" s="36" t="s">
        <v>270</v>
      </c>
      <c r="G210" s="36">
        <v>10</v>
      </c>
      <c r="H210" s="36" t="s">
        <v>33</v>
      </c>
      <c r="I210" s="36" t="s">
        <v>269</v>
      </c>
      <c r="J210" s="36">
        <v>103.21</v>
      </c>
      <c r="K210" s="12">
        <f t="shared" si="3"/>
        <v>1.0321E-4</v>
      </c>
    </row>
    <row r="211" spans="1:11" hidden="1">
      <c r="A211" s="10">
        <v>210</v>
      </c>
      <c r="B211" s="10" t="s">
        <v>322</v>
      </c>
      <c r="C211" s="10" t="s">
        <v>323</v>
      </c>
      <c r="D211" s="10" t="s">
        <v>897</v>
      </c>
      <c r="E211" s="36" t="s">
        <v>265</v>
      </c>
      <c r="F211" s="36" t="s">
        <v>271</v>
      </c>
      <c r="G211" s="36">
        <v>37</v>
      </c>
      <c r="H211" s="36" t="s">
        <v>33</v>
      </c>
      <c r="I211" s="36" t="s">
        <v>269</v>
      </c>
      <c r="J211" s="36">
        <v>25.2</v>
      </c>
      <c r="K211" s="12">
        <f t="shared" si="3"/>
        <v>9.3239999999999995E-5</v>
      </c>
    </row>
    <row r="212" spans="1:11" hidden="1">
      <c r="A212" s="10">
        <v>211</v>
      </c>
      <c r="B212" s="10" t="s">
        <v>322</v>
      </c>
      <c r="C212" s="10" t="s">
        <v>323</v>
      </c>
      <c r="D212" s="10" t="s">
        <v>897</v>
      </c>
      <c r="E212" s="36" t="s">
        <v>272</v>
      </c>
      <c r="F212" s="36" t="s">
        <v>273</v>
      </c>
      <c r="G212" s="36">
        <v>48</v>
      </c>
      <c r="H212" s="36" t="s">
        <v>33</v>
      </c>
      <c r="I212" s="36" t="s">
        <v>269</v>
      </c>
      <c r="J212" s="36">
        <v>40.119999999999997</v>
      </c>
      <c r="K212" s="12">
        <f t="shared" si="3"/>
        <v>1.9257599999999997E-4</v>
      </c>
    </row>
    <row r="213" spans="1:11" hidden="1">
      <c r="A213" s="10">
        <v>212</v>
      </c>
      <c r="B213" s="10" t="s">
        <v>322</v>
      </c>
      <c r="C213" s="10" t="s">
        <v>323</v>
      </c>
      <c r="D213" s="10" t="s">
        <v>897</v>
      </c>
      <c r="E213" s="36" t="s">
        <v>272</v>
      </c>
      <c r="F213" s="36" t="s">
        <v>274</v>
      </c>
      <c r="G213" s="36">
        <v>47</v>
      </c>
      <c r="H213" s="36" t="s">
        <v>33</v>
      </c>
      <c r="I213" s="36" t="s">
        <v>269</v>
      </c>
      <c r="J213" s="36">
        <v>40.119999999999997</v>
      </c>
      <c r="K213" s="12">
        <f t="shared" si="3"/>
        <v>1.8856399999999998E-4</v>
      </c>
    </row>
    <row r="214" spans="1:11" hidden="1">
      <c r="A214" s="10">
        <v>213</v>
      </c>
      <c r="B214" s="10" t="s">
        <v>322</v>
      </c>
      <c r="C214" s="10" t="s">
        <v>323</v>
      </c>
      <c r="D214" s="10" t="s">
        <v>897</v>
      </c>
      <c r="E214" s="36" t="s">
        <v>272</v>
      </c>
      <c r="F214" s="36" t="s">
        <v>266</v>
      </c>
      <c r="G214" s="36">
        <v>56</v>
      </c>
      <c r="H214" s="36" t="s">
        <v>33</v>
      </c>
      <c r="I214" s="36" t="s">
        <v>269</v>
      </c>
      <c r="J214" s="36">
        <v>40.119999999999997</v>
      </c>
      <c r="K214" s="12">
        <f t="shared" si="3"/>
        <v>2.2467199999999998E-4</v>
      </c>
    </row>
    <row r="215" spans="1:11" hidden="1">
      <c r="A215" s="10">
        <v>214</v>
      </c>
      <c r="B215" s="10" t="s">
        <v>322</v>
      </c>
      <c r="C215" s="10" t="s">
        <v>323</v>
      </c>
      <c r="D215" s="10" t="s">
        <v>897</v>
      </c>
      <c r="E215" s="36" t="s">
        <v>272</v>
      </c>
      <c r="F215" s="36" t="s">
        <v>275</v>
      </c>
      <c r="G215" s="36">
        <v>32</v>
      </c>
      <c r="H215" s="36" t="s">
        <v>33</v>
      </c>
      <c r="I215" s="36" t="s">
        <v>269</v>
      </c>
      <c r="J215" s="36">
        <v>53.04</v>
      </c>
      <c r="K215" s="12">
        <f t="shared" si="3"/>
        <v>1.6972799999999999E-4</v>
      </c>
    </row>
    <row r="216" spans="1:11" hidden="1">
      <c r="A216" s="10">
        <v>215</v>
      </c>
      <c r="B216" s="10" t="s">
        <v>322</v>
      </c>
      <c r="C216" s="10" t="s">
        <v>323</v>
      </c>
      <c r="D216" s="10" t="s">
        <v>897</v>
      </c>
      <c r="E216" s="36" t="s">
        <v>272</v>
      </c>
      <c r="F216" s="36" t="s">
        <v>276</v>
      </c>
      <c r="G216" s="36">
        <v>56</v>
      </c>
      <c r="H216" s="36" t="s">
        <v>33</v>
      </c>
      <c r="I216" s="36" t="s">
        <v>269</v>
      </c>
      <c r="J216" s="36">
        <v>87.04</v>
      </c>
      <c r="K216" s="12">
        <f t="shared" si="3"/>
        <v>4.8742400000000008E-4</v>
      </c>
    </row>
    <row r="217" spans="1:11" hidden="1">
      <c r="A217" s="10">
        <v>216</v>
      </c>
      <c r="B217" s="10" t="s">
        <v>322</v>
      </c>
      <c r="C217" s="10" t="s">
        <v>323</v>
      </c>
      <c r="D217" s="10" t="s">
        <v>897</v>
      </c>
      <c r="E217" s="36" t="s">
        <v>272</v>
      </c>
      <c r="F217" s="36" t="s">
        <v>277</v>
      </c>
      <c r="G217" s="36">
        <v>24</v>
      </c>
      <c r="H217" s="36" t="s">
        <v>33</v>
      </c>
      <c r="I217" s="36" t="s">
        <v>269</v>
      </c>
      <c r="J217" s="36">
        <v>142.12</v>
      </c>
      <c r="K217" s="12">
        <f t="shared" si="3"/>
        <v>3.4108800000000002E-4</v>
      </c>
    </row>
    <row r="218" spans="1:11" hidden="1">
      <c r="A218" s="10">
        <v>217</v>
      </c>
      <c r="B218" s="10" t="s">
        <v>322</v>
      </c>
      <c r="C218" s="10" t="s">
        <v>323</v>
      </c>
      <c r="D218" s="10" t="s">
        <v>897</v>
      </c>
      <c r="E218" s="36" t="s">
        <v>278</v>
      </c>
      <c r="F218" s="36" t="s">
        <v>279</v>
      </c>
      <c r="G218" s="36">
        <v>50</v>
      </c>
      <c r="H218" s="36" t="s">
        <v>33</v>
      </c>
      <c r="I218" s="36" t="s">
        <v>269</v>
      </c>
      <c r="J218" s="36">
        <v>22</v>
      </c>
      <c r="K218" s="12">
        <f t="shared" si="3"/>
        <v>1.1E-4</v>
      </c>
    </row>
    <row r="219" spans="1:11" hidden="1">
      <c r="A219" s="10">
        <v>218</v>
      </c>
      <c r="B219" s="10" t="s">
        <v>322</v>
      </c>
      <c r="C219" s="10" t="s">
        <v>323</v>
      </c>
      <c r="D219" s="10" t="s">
        <v>897</v>
      </c>
      <c r="E219" s="36" t="s">
        <v>280</v>
      </c>
      <c r="F219" s="36" t="s">
        <v>281</v>
      </c>
      <c r="G219" s="36">
        <v>2</v>
      </c>
      <c r="H219" s="36" t="s">
        <v>33</v>
      </c>
      <c r="I219" s="36" t="s">
        <v>282</v>
      </c>
      <c r="J219" s="36">
        <v>680</v>
      </c>
      <c r="K219" s="12">
        <f t="shared" si="3"/>
        <v>1.36E-4</v>
      </c>
    </row>
    <row r="220" spans="1:11" hidden="1">
      <c r="A220" s="10">
        <v>219</v>
      </c>
      <c r="B220" s="10" t="s">
        <v>322</v>
      </c>
      <c r="C220" s="10" t="s">
        <v>323</v>
      </c>
      <c r="D220" s="10" t="s">
        <v>897</v>
      </c>
      <c r="E220" s="36" t="s">
        <v>280</v>
      </c>
      <c r="F220" s="36" t="s">
        <v>283</v>
      </c>
      <c r="G220" s="36">
        <v>3</v>
      </c>
      <c r="H220" s="36" t="s">
        <v>33</v>
      </c>
      <c r="I220" s="36" t="s">
        <v>282</v>
      </c>
      <c r="J220" s="36">
        <v>540</v>
      </c>
      <c r="K220" s="12">
        <f t="shared" si="3"/>
        <v>1.6200000000000001E-4</v>
      </c>
    </row>
    <row r="221" spans="1:11" hidden="1">
      <c r="A221" s="10">
        <v>220</v>
      </c>
      <c r="B221" s="10" t="s">
        <v>322</v>
      </c>
      <c r="C221" s="10" t="s">
        <v>323</v>
      </c>
      <c r="D221" s="10" t="s">
        <v>897</v>
      </c>
      <c r="E221" s="36" t="s">
        <v>280</v>
      </c>
      <c r="F221" s="36" t="s">
        <v>284</v>
      </c>
      <c r="G221" s="36">
        <v>9</v>
      </c>
      <c r="H221" s="36" t="s">
        <v>33</v>
      </c>
      <c r="I221" s="36" t="s">
        <v>282</v>
      </c>
      <c r="J221" s="36">
        <v>863</v>
      </c>
      <c r="K221" s="12">
        <f t="shared" si="3"/>
        <v>7.7669999999999996E-4</v>
      </c>
    </row>
    <row r="222" spans="1:11" hidden="1">
      <c r="A222" s="10">
        <v>221</v>
      </c>
      <c r="B222" s="10" t="s">
        <v>322</v>
      </c>
      <c r="C222" s="10" t="s">
        <v>323</v>
      </c>
      <c r="D222" s="10" t="s">
        <v>897</v>
      </c>
      <c r="E222" s="36" t="s">
        <v>280</v>
      </c>
      <c r="F222" s="36" t="s">
        <v>285</v>
      </c>
      <c r="G222" s="36">
        <v>1</v>
      </c>
      <c r="H222" s="36" t="s">
        <v>33</v>
      </c>
      <c r="I222" s="36" t="s">
        <v>282</v>
      </c>
      <c r="J222" s="36">
        <v>458.25</v>
      </c>
      <c r="K222" s="12">
        <f t="shared" si="3"/>
        <v>4.5825000000000003E-5</v>
      </c>
    </row>
    <row r="223" spans="1:11" hidden="1">
      <c r="A223" s="10">
        <v>222</v>
      </c>
      <c r="B223" s="10" t="s">
        <v>322</v>
      </c>
      <c r="C223" s="10" t="s">
        <v>323</v>
      </c>
      <c r="D223" s="10" t="s">
        <v>897</v>
      </c>
      <c r="E223" s="36" t="s">
        <v>286</v>
      </c>
      <c r="F223" s="36" t="s">
        <v>287</v>
      </c>
      <c r="G223" s="36">
        <v>3</v>
      </c>
      <c r="H223" s="36" t="s">
        <v>33</v>
      </c>
      <c r="I223" s="36" t="s">
        <v>282</v>
      </c>
      <c r="J223" s="38">
        <v>18781.39</v>
      </c>
      <c r="K223" s="12">
        <f t="shared" si="3"/>
        <v>5.6344170000000001E-3</v>
      </c>
    </row>
    <row r="224" spans="1:11" hidden="1">
      <c r="A224" s="10">
        <v>223</v>
      </c>
      <c r="B224" s="10" t="s">
        <v>322</v>
      </c>
      <c r="C224" s="10" t="s">
        <v>323</v>
      </c>
      <c r="D224" s="10" t="s">
        <v>288</v>
      </c>
      <c r="E224" s="36" t="s">
        <v>288</v>
      </c>
      <c r="F224" s="36" t="s">
        <v>289</v>
      </c>
      <c r="G224" s="36">
        <v>81</v>
      </c>
      <c r="H224" s="36" t="s">
        <v>33</v>
      </c>
      <c r="I224" s="36" t="s">
        <v>282</v>
      </c>
      <c r="J224" s="36">
        <v>88</v>
      </c>
      <c r="K224" s="12">
        <f t="shared" si="3"/>
        <v>7.1279999999999998E-4</v>
      </c>
    </row>
    <row r="225" spans="1:11" hidden="1">
      <c r="A225" s="10">
        <v>224</v>
      </c>
      <c r="B225" s="10" t="s">
        <v>322</v>
      </c>
      <c r="C225" s="10" t="s">
        <v>323</v>
      </c>
      <c r="D225" s="10" t="s">
        <v>288</v>
      </c>
      <c r="E225" s="36" t="s">
        <v>288</v>
      </c>
      <c r="F225" s="36" t="s">
        <v>290</v>
      </c>
      <c r="G225" s="36">
        <v>2</v>
      </c>
      <c r="H225" s="36" t="s">
        <v>33</v>
      </c>
      <c r="I225" s="36" t="s">
        <v>282</v>
      </c>
      <c r="J225" s="36">
        <v>209</v>
      </c>
      <c r="K225" s="12">
        <f t="shared" si="3"/>
        <v>4.18E-5</v>
      </c>
    </row>
    <row r="226" spans="1:11" hidden="1">
      <c r="A226" s="10">
        <v>225</v>
      </c>
      <c r="B226" s="10" t="s">
        <v>322</v>
      </c>
      <c r="C226" s="10" t="s">
        <v>323</v>
      </c>
      <c r="D226" s="10" t="s">
        <v>288</v>
      </c>
      <c r="E226" s="36" t="s">
        <v>288</v>
      </c>
      <c r="F226" s="36" t="s">
        <v>291</v>
      </c>
      <c r="G226" s="36">
        <v>1</v>
      </c>
      <c r="H226" s="36" t="s">
        <v>33</v>
      </c>
      <c r="I226" s="36" t="s">
        <v>282</v>
      </c>
      <c r="J226" s="36">
        <v>215</v>
      </c>
      <c r="K226" s="12">
        <f t="shared" si="3"/>
        <v>2.1500000000000001E-5</v>
      </c>
    </row>
    <row r="227" spans="1:11" hidden="1">
      <c r="A227" s="10">
        <v>226</v>
      </c>
      <c r="B227" s="10" t="s">
        <v>322</v>
      </c>
      <c r="C227" s="10" t="s">
        <v>323</v>
      </c>
      <c r="D227" s="10" t="s">
        <v>288</v>
      </c>
      <c r="E227" s="36" t="s">
        <v>288</v>
      </c>
      <c r="F227" s="36" t="s">
        <v>292</v>
      </c>
      <c r="G227" s="36">
        <v>2</v>
      </c>
      <c r="H227" s="36" t="s">
        <v>33</v>
      </c>
      <c r="I227" s="36" t="s">
        <v>282</v>
      </c>
      <c r="J227" s="36">
        <v>342</v>
      </c>
      <c r="K227" s="12">
        <f t="shared" si="3"/>
        <v>6.8399999999999996E-5</v>
      </c>
    </row>
    <row r="228" spans="1:11" hidden="1">
      <c r="A228" s="10">
        <v>227</v>
      </c>
      <c r="B228" s="10" t="s">
        <v>322</v>
      </c>
      <c r="C228" s="10" t="s">
        <v>323</v>
      </c>
      <c r="D228" s="10" t="s">
        <v>288</v>
      </c>
      <c r="E228" s="36" t="s">
        <v>288</v>
      </c>
      <c r="F228" s="36" t="s">
        <v>293</v>
      </c>
      <c r="G228" s="36">
        <v>6</v>
      </c>
      <c r="H228" s="36" t="s">
        <v>33</v>
      </c>
      <c r="I228" s="36" t="s">
        <v>282</v>
      </c>
      <c r="J228" s="36">
        <v>215</v>
      </c>
      <c r="K228" s="12">
        <f t="shared" si="3"/>
        <v>1.2899999999999999E-4</v>
      </c>
    </row>
    <row r="229" spans="1:11" hidden="1">
      <c r="A229" s="10">
        <v>228</v>
      </c>
      <c r="B229" s="10" t="s">
        <v>322</v>
      </c>
      <c r="C229" s="10" t="s">
        <v>323</v>
      </c>
      <c r="D229" s="10" t="s">
        <v>288</v>
      </c>
      <c r="E229" s="36" t="s">
        <v>288</v>
      </c>
      <c r="F229" s="36" t="s">
        <v>294</v>
      </c>
      <c r="G229" s="36">
        <v>9</v>
      </c>
      <c r="H229" s="36" t="s">
        <v>33</v>
      </c>
      <c r="I229" s="36" t="s">
        <v>282</v>
      </c>
      <c r="J229" s="36">
        <v>434</v>
      </c>
      <c r="K229" s="12">
        <f t="shared" si="3"/>
        <v>3.9060000000000001E-4</v>
      </c>
    </row>
    <row r="230" spans="1:11" hidden="1">
      <c r="A230" s="10">
        <v>229</v>
      </c>
      <c r="B230" s="10" t="s">
        <v>322</v>
      </c>
      <c r="C230" s="10" t="s">
        <v>323</v>
      </c>
      <c r="D230" s="10" t="s">
        <v>288</v>
      </c>
      <c r="E230" s="36" t="s">
        <v>288</v>
      </c>
      <c r="F230" s="36" t="s">
        <v>295</v>
      </c>
      <c r="G230" s="36">
        <v>6</v>
      </c>
      <c r="H230" s="36" t="s">
        <v>33</v>
      </c>
      <c r="I230" s="36" t="s">
        <v>282</v>
      </c>
      <c r="J230" s="36">
        <v>628</v>
      </c>
      <c r="K230" s="12">
        <f t="shared" si="3"/>
        <v>3.768E-4</v>
      </c>
    </row>
    <row r="231" spans="1:11" hidden="1">
      <c r="A231" s="10">
        <v>230</v>
      </c>
      <c r="B231" s="10" t="s">
        <v>322</v>
      </c>
      <c r="C231" s="10" t="s">
        <v>323</v>
      </c>
      <c r="D231" s="10" t="s">
        <v>288</v>
      </c>
      <c r="E231" s="36" t="s">
        <v>288</v>
      </c>
      <c r="F231" s="36" t="s">
        <v>296</v>
      </c>
      <c r="G231" s="36">
        <v>3</v>
      </c>
      <c r="H231" s="36" t="s">
        <v>33</v>
      </c>
      <c r="I231" s="36" t="s">
        <v>282</v>
      </c>
      <c r="J231" s="36">
        <v>628</v>
      </c>
      <c r="K231" s="12">
        <f t="shared" si="3"/>
        <v>1.884E-4</v>
      </c>
    </row>
    <row r="232" spans="1:11" hidden="1">
      <c r="A232" s="10">
        <v>231</v>
      </c>
      <c r="B232" s="10" t="s">
        <v>322</v>
      </c>
      <c r="C232" s="10" t="s">
        <v>323</v>
      </c>
      <c r="D232" s="10" t="s">
        <v>288</v>
      </c>
      <c r="E232" s="36" t="s">
        <v>297</v>
      </c>
      <c r="F232" s="36" t="s">
        <v>298</v>
      </c>
      <c r="G232" s="36">
        <v>4</v>
      </c>
      <c r="H232" s="36" t="s">
        <v>33</v>
      </c>
      <c r="I232" s="36" t="s">
        <v>282</v>
      </c>
      <c r="J232" s="38">
        <v>1860</v>
      </c>
      <c r="K232" s="12">
        <f t="shared" si="3"/>
        <v>7.4399999999999998E-4</v>
      </c>
    </row>
    <row r="233" spans="1:11" hidden="1">
      <c r="A233" s="10">
        <v>232</v>
      </c>
      <c r="B233" s="10" t="s">
        <v>322</v>
      </c>
      <c r="C233" s="10" t="s">
        <v>323</v>
      </c>
      <c r="D233" s="10" t="s">
        <v>288</v>
      </c>
      <c r="E233" s="36" t="s">
        <v>297</v>
      </c>
      <c r="F233" s="36" t="s">
        <v>299</v>
      </c>
      <c r="G233" s="36">
        <v>2</v>
      </c>
      <c r="H233" s="36" t="s">
        <v>33</v>
      </c>
      <c r="I233" s="36" t="s">
        <v>282</v>
      </c>
      <c r="J233" s="38">
        <v>2130</v>
      </c>
      <c r="K233" s="12">
        <f t="shared" si="3"/>
        <v>4.26E-4</v>
      </c>
    </row>
    <row r="234" spans="1:11" hidden="1">
      <c r="A234" s="10">
        <v>233</v>
      </c>
      <c r="B234" s="10" t="s">
        <v>322</v>
      </c>
      <c r="C234" s="10" t="s">
        <v>323</v>
      </c>
      <c r="D234" s="10" t="s">
        <v>288</v>
      </c>
      <c r="E234" s="36" t="s">
        <v>297</v>
      </c>
      <c r="F234" s="36" t="s">
        <v>300</v>
      </c>
      <c r="G234" s="36">
        <v>1</v>
      </c>
      <c r="H234" s="36" t="s">
        <v>33</v>
      </c>
      <c r="I234" s="36" t="s">
        <v>282</v>
      </c>
      <c r="J234" s="38">
        <v>3250</v>
      </c>
      <c r="K234" s="12">
        <f t="shared" si="3"/>
        <v>3.2499999999999999E-4</v>
      </c>
    </row>
    <row r="235" spans="1:11" hidden="1">
      <c r="A235" s="10">
        <v>234</v>
      </c>
      <c r="B235" s="10" t="s">
        <v>322</v>
      </c>
      <c r="C235" s="10" t="s">
        <v>323</v>
      </c>
      <c r="D235" s="10" t="s">
        <v>288</v>
      </c>
      <c r="E235" s="36" t="s">
        <v>297</v>
      </c>
      <c r="F235" s="36" t="s">
        <v>301</v>
      </c>
      <c r="G235" s="36">
        <v>4</v>
      </c>
      <c r="H235" s="36" t="s">
        <v>33</v>
      </c>
      <c r="I235" s="36" t="s">
        <v>282</v>
      </c>
      <c r="J235" s="38">
        <v>3250</v>
      </c>
      <c r="K235" s="12">
        <f t="shared" si="3"/>
        <v>1.2999999999999999E-3</v>
      </c>
    </row>
    <row r="236" spans="1:11" hidden="1">
      <c r="A236" s="10">
        <v>235</v>
      </c>
      <c r="B236" s="10" t="s">
        <v>322</v>
      </c>
      <c r="C236" s="10" t="s">
        <v>323</v>
      </c>
      <c r="D236" s="10" t="s">
        <v>288</v>
      </c>
      <c r="E236" s="36" t="s">
        <v>297</v>
      </c>
      <c r="F236" s="36" t="s">
        <v>302</v>
      </c>
      <c r="G236" s="36">
        <v>1</v>
      </c>
      <c r="H236" s="36" t="s">
        <v>33</v>
      </c>
      <c r="I236" s="36" t="s">
        <v>282</v>
      </c>
      <c r="J236" s="38">
        <v>3250</v>
      </c>
      <c r="K236" s="12">
        <f t="shared" si="3"/>
        <v>3.2499999999999999E-4</v>
      </c>
    </row>
    <row r="237" spans="1:11" hidden="1">
      <c r="A237" s="10">
        <v>236</v>
      </c>
      <c r="B237" s="10" t="s">
        <v>322</v>
      </c>
      <c r="C237" s="10" t="s">
        <v>323</v>
      </c>
      <c r="D237" s="10" t="s">
        <v>897</v>
      </c>
      <c r="E237" s="36" t="s">
        <v>303</v>
      </c>
      <c r="F237" s="36" t="s">
        <v>304</v>
      </c>
      <c r="G237" s="36">
        <v>1</v>
      </c>
      <c r="H237" s="36" t="s">
        <v>33</v>
      </c>
      <c r="I237" s="36" t="s">
        <v>282</v>
      </c>
      <c r="J237" s="38">
        <v>2136</v>
      </c>
      <c r="K237" s="12">
        <f t="shared" si="3"/>
        <v>2.1359999999999999E-4</v>
      </c>
    </row>
    <row r="238" spans="1:11" hidden="1">
      <c r="A238" s="10">
        <v>237</v>
      </c>
      <c r="B238" s="10" t="s">
        <v>322</v>
      </c>
      <c r="C238" s="10" t="s">
        <v>323</v>
      </c>
      <c r="D238" s="10" t="s">
        <v>897</v>
      </c>
      <c r="E238" s="36" t="s">
        <v>305</v>
      </c>
      <c r="F238" s="36" t="s">
        <v>306</v>
      </c>
      <c r="G238" s="36">
        <v>5</v>
      </c>
      <c r="H238" s="36" t="s">
        <v>33</v>
      </c>
      <c r="I238" s="36" t="s">
        <v>307</v>
      </c>
      <c r="J238" s="38">
        <v>1100</v>
      </c>
      <c r="K238" s="12">
        <f t="shared" si="3"/>
        <v>5.5000000000000003E-4</v>
      </c>
    </row>
    <row r="239" spans="1:11" hidden="1">
      <c r="A239" s="10">
        <v>238</v>
      </c>
      <c r="B239" s="10" t="s">
        <v>322</v>
      </c>
      <c r="C239" s="10" t="s">
        <v>323</v>
      </c>
      <c r="D239" s="10" t="s">
        <v>897</v>
      </c>
      <c r="E239" s="36" t="s">
        <v>308</v>
      </c>
      <c r="F239" s="36" t="s">
        <v>309</v>
      </c>
      <c r="G239" s="36">
        <v>16</v>
      </c>
      <c r="H239" s="36" t="s">
        <v>33</v>
      </c>
      <c r="I239" s="36" t="s">
        <v>267</v>
      </c>
      <c r="J239" s="36">
        <v>34.4</v>
      </c>
      <c r="K239" s="12">
        <f t="shared" si="3"/>
        <v>5.5039999999999995E-5</v>
      </c>
    </row>
    <row r="240" spans="1:11" hidden="1">
      <c r="A240" s="10">
        <v>239</v>
      </c>
      <c r="B240" s="10" t="s">
        <v>322</v>
      </c>
      <c r="C240" s="10" t="s">
        <v>323</v>
      </c>
      <c r="D240" s="10" t="s">
        <v>897</v>
      </c>
      <c r="E240" s="36" t="s">
        <v>310</v>
      </c>
      <c r="F240" s="36" t="s">
        <v>311</v>
      </c>
      <c r="G240" s="36">
        <v>1</v>
      </c>
      <c r="H240" s="36" t="s">
        <v>33</v>
      </c>
      <c r="I240" s="36" t="s">
        <v>312</v>
      </c>
      <c r="J240" s="38">
        <v>3852</v>
      </c>
      <c r="K240" s="12">
        <f t="shared" si="3"/>
        <v>3.8519999999999998E-4</v>
      </c>
    </row>
    <row r="241" spans="1:11" hidden="1">
      <c r="A241" s="10">
        <v>240</v>
      </c>
      <c r="B241" s="10" t="s">
        <v>322</v>
      </c>
      <c r="C241" s="10" t="s">
        <v>323</v>
      </c>
      <c r="D241" s="10" t="s">
        <v>897</v>
      </c>
      <c r="E241" s="36" t="s">
        <v>313</v>
      </c>
      <c r="F241" s="36"/>
      <c r="G241" s="36">
        <v>7</v>
      </c>
      <c r="H241" s="36" t="s">
        <v>33</v>
      </c>
      <c r="I241" s="36" t="s">
        <v>314</v>
      </c>
      <c r="J241" s="36">
        <v>550</v>
      </c>
      <c r="K241" s="12">
        <f t="shared" si="3"/>
        <v>3.8499999999999998E-4</v>
      </c>
    </row>
    <row r="242" spans="1:11" hidden="1">
      <c r="A242" s="10">
        <v>241</v>
      </c>
      <c r="B242" s="10" t="s">
        <v>322</v>
      </c>
      <c r="C242" s="10" t="s">
        <v>323</v>
      </c>
      <c r="D242" s="10" t="s">
        <v>897</v>
      </c>
      <c r="E242" s="36" t="s">
        <v>315</v>
      </c>
      <c r="F242" s="36"/>
      <c r="G242" s="36">
        <v>1</v>
      </c>
      <c r="H242" s="36" t="s">
        <v>33</v>
      </c>
      <c r="I242" s="36" t="s">
        <v>316</v>
      </c>
      <c r="J242" s="38">
        <v>4314</v>
      </c>
      <c r="K242" s="12">
        <f t="shared" si="3"/>
        <v>4.3140000000000002E-4</v>
      </c>
    </row>
    <row r="243" spans="1:11" hidden="1">
      <c r="A243" s="10">
        <v>242</v>
      </c>
      <c r="B243" s="10" t="s">
        <v>322</v>
      </c>
      <c r="C243" s="10" t="s">
        <v>323</v>
      </c>
      <c r="D243" s="10" t="s">
        <v>897</v>
      </c>
      <c r="E243" s="36" t="s">
        <v>317</v>
      </c>
      <c r="F243" s="36" t="s">
        <v>318</v>
      </c>
      <c r="G243" s="36">
        <v>520</v>
      </c>
      <c r="H243" s="36" t="s">
        <v>182</v>
      </c>
      <c r="I243" s="36" t="s">
        <v>319</v>
      </c>
      <c r="J243" s="38">
        <v>2855</v>
      </c>
      <c r="K243" s="12">
        <f t="shared" si="3"/>
        <v>0.14846000000000001</v>
      </c>
    </row>
    <row r="244" spans="1:11" hidden="1">
      <c r="A244" s="10">
        <v>243</v>
      </c>
      <c r="B244" s="10" t="s">
        <v>322</v>
      </c>
      <c r="C244" s="10" t="s">
        <v>323</v>
      </c>
      <c r="D244" s="10" t="s">
        <v>897</v>
      </c>
      <c r="E244" s="36" t="s">
        <v>320</v>
      </c>
      <c r="F244" s="36" t="s">
        <v>321</v>
      </c>
      <c r="G244" s="36">
        <v>120</v>
      </c>
      <c r="H244" s="36" t="s">
        <v>33</v>
      </c>
      <c r="I244" s="36" t="s">
        <v>260</v>
      </c>
      <c r="J244" s="38">
        <v>1200</v>
      </c>
      <c r="K244" s="12">
        <f t="shared" si="3"/>
        <v>1.44E-2</v>
      </c>
    </row>
    <row r="245" spans="1:11" hidden="1">
      <c r="A245" s="10">
        <v>244</v>
      </c>
      <c r="B245" s="10" t="s">
        <v>324</v>
      </c>
      <c r="C245" s="10" t="s">
        <v>340</v>
      </c>
      <c r="D245" s="10" t="s">
        <v>897</v>
      </c>
      <c r="E245" s="2" t="s">
        <v>325</v>
      </c>
      <c r="F245" s="2"/>
      <c r="G245" s="2">
        <v>2</v>
      </c>
      <c r="H245" s="36" t="s">
        <v>33</v>
      </c>
      <c r="I245" s="2" t="s">
        <v>326</v>
      </c>
      <c r="J245" s="2">
        <v>582</v>
      </c>
      <c r="K245" s="12">
        <f t="shared" si="3"/>
        <v>1.164E-4</v>
      </c>
    </row>
    <row r="246" spans="1:11" hidden="1">
      <c r="A246" s="10">
        <v>245</v>
      </c>
      <c r="B246" s="10" t="s">
        <v>324</v>
      </c>
      <c r="C246" s="10" t="s">
        <v>340</v>
      </c>
      <c r="D246" s="10" t="s">
        <v>897</v>
      </c>
      <c r="E246" s="2" t="s">
        <v>327</v>
      </c>
      <c r="F246" s="2"/>
      <c r="G246" s="2">
        <v>1</v>
      </c>
      <c r="H246" s="2" t="s">
        <v>33</v>
      </c>
      <c r="I246" s="2" t="s">
        <v>328</v>
      </c>
      <c r="J246" s="2">
        <v>18839</v>
      </c>
      <c r="K246" s="12">
        <f t="shared" si="3"/>
        <v>1.8839E-3</v>
      </c>
    </row>
    <row r="247" spans="1:11" hidden="1">
      <c r="A247" s="10">
        <v>247</v>
      </c>
      <c r="B247" s="10" t="s">
        <v>324</v>
      </c>
      <c r="C247" s="10" t="s">
        <v>340</v>
      </c>
      <c r="D247" s="10" t="s">
        <v>897</v>
      </c>
      <c r="E247" s="2" t="s">
        <v>329</v>
      </c>
      <c r="F247" s="2"/>
      <c r="G247" s="2">
        <v>2</v>
      </c>
      <c r="H247" s="2" t="s">
        <v>33</v>
      </c>
      <c r="I247" s="2" t="s">
        <v>330</v>
      </c>
      <c r="J247" s="2">
        <v>32010</v>
      </c>
      <c r="K247" s="12">
        <f t="shared" si="3"/>
        <v>6.4019999999999997E-3</v>
      </c>
    </row>
    <row r="248" spans="1:11" hidden="1">
      <c r="A248" s="10">
        <v>248</v>
      </c>
      <c r="B248" s="10" t="s">
        <v>324</v>
      </c>
      <c r="C248" s="10" t="s">
        <v>340</v>
      </c>
      <c r="D248" s="10" t="s">
        <v>897</v>
      </c>
      <c r="E248" s="2" t="s">
        <v>331</v>
      </c>
      <c r="F248" s="2"/>
      <c r="G248" s="2">
        <v>2</v>
      </c>
      <c r="H248" s="2" t="s">
        <v>33</v>
      </c>
      <c r="I248" s="2" t="s">
        <v>330</v>
      </c>
      <c r="J248" s="2">
        <v>6296</v>
      </c>
      <c r="K248" s="12">
        <f t="shared" si="3"/>
        <v>1.2592E-3</v>
      </c>
    </row>
    <row r="249" spans="1:11" hidden="1">
      <c r="A249" s="10">
        <v>249</v>
      </c>
      <c r="B249" s="10" t="s">
        <v>324</v>
      </c>
      <c r="C249" s="10" t="s">
        <v>340</v>
      </c>
      <c r="D249" s="10" t="s">
        <v>862</v>
      </c>
      <c r="E249" s="2" t="s">
        <v>332</v>
      </c>
      <c r="F249" s="2"/>
      <c r="G249" s="2">
        <v>2</v>
      </c>
      <c r="H249" s="2" t="s">
        <v>33</v>
      </c>
      <c r="I249" s="2" t="s">
        <v>333</v>
      </c>
      <c r="J249" s="2">
        <v>16874</v>
      </c>
      <c r="K249" s="12">
        <f t="shared" si="3"/>
        <v>3.3747999999999998E-3</v>
      </c>
    </row>
    <row r="250" spans="1:11" hidden="1">
      <c r="A250" s="10">
        <v>250</v>
      </c>
      <c r="B250" s="10" t="s">
        <v>324</v>
      </c>
      <c r="C250" s="10" t="s">
        <v>340</v>
      </c>
      <c r="D250" s="10" t="s">
        <v>862</v>
      </c>
      <c r="E250" s="2" t="s">
        <v>334</v>
      </c>
      <c r="F250" s="2"/>
      <c r="G250" s="2">
        <v>3</v>
      </c>
      <c r="H250" s="2" t="s">
        <v>33</v>
      </c>
      <c r="I250" s="2" t="s">
        <v>333</v>
      </c>
      <c r="J250" s="2">
        <v>12235</v>
      </c>
      <c r="K250" s="12">
        <f t="shared" si="3"/>
        <v>3.6705000000000002E-3</v>
      </c>
    </row>
    <row r="251" spans="1:11" hidden="1">
      <c r="A251" s="10">
        <v>251</v>
      </c>
      <c r="B251" s="10" t="s">
        <v>324</v>
      </c>
      <c r="C251" s="10" t="s">
        <v>340</v>
      </c>
      <c r="D251" s="10" t="s">
        <v>862</v>
      </c>
      <c r="E251" s="2" t="s">
        <v>335</v>
      </c>
      <c r="F251" s="2"/>
      <c r="G251" s="2">
        <v>3</v>
      </c>
      <c r="H251" s="2" t="s">
        <v>33</v>
      </c>
      <c r="I251" s="2" t="s">
        <v>333</v>
      </c>
      <c r="J251" s="2">
        <v>3456</v>
      </c>
      <c r="K251" s="12">
        <f t="shared" si="3"/>
        <v>1.0368E-3</v>
      </c>
    </row>
    <row r="252" spans="1:11" hidden="1">
      <c r="A252" s="10">
        <v>252</v>
      </c>
      <c r="B252" s="10" t="s">
        <v>324</v>
      </c>
      <c r="C252" s="10" t="s">
        <v>340</v>
      </c>
      <c r="D252" s="10" t="s">
        <v>862</v>
      </c>
      <c r="E252" s="2" t="s">
        <v>336</v>
      </c>
      <c r="F252" s="2"/>
      <c r="G252" s="2">
        <v>2</v>
      </c>
      <c r="H252" s="2" t="s">
        <v>33</v>
      </c>
      <c r="I252" s="2" t="s">
        <v>333</v>
      </c>
      <c r="J252" s="2">
        <v>2865</v>
      </c>
      <c r="K252" s="12">
        <f t="shared" si="3"/>
        <v>5.7300000000000005E-4</v>
      </c>
    </row>
    <row r="253" spans="1:11" hidden="1">
      <c r="A253" s="10">
        <v>253</v>
      </c>
      <c r="B253" s="10" t="s">
        <v>324</v>
      </c>
      <c r="C253" s="10" t="s">
        <v>340</v>
      </c>
      <c r="D253" s="10" t="s">
        <v>897</v>
      </c>
      <c r="E253" s="2" t="s">
        <v>336</v>
      </c>
      <c r="F253" s="2"/>
      <c r="G253" s="2">
        <v>7</v>
      </c>
      <c r="H253" s="2" t="s">
        <v>33</v>
      </c>
      <c r="I253" s="2" t="s">
        <v>337</v>
      </c>
      <c r="J253" s="2">
        <v>2650</v>
      </c>
      <c r="K253" s="12">
        <f t="shared" si="3"/>
        <v>1.8550000000000001E-3</v>
      </c>
    </row>
    <row r="254" spans="1:11" hidden="1">
      <c r="A254" s="10">
        <v>254</v>
      </c>
      <c r="B254" s="10" t="s">
        <v>324</v>
      </c>
      <c r="C254" s="10" t="s">
        <v>340</v>
      </c>
      <c r="D254" s="10" t="s">
        <v>897</v>
      </c>
      <c r="E254" s="2" t="s">
        <v>338</v>
      </c>
      <c r="F254" s="2"/>
      <c r="G254" s="2">
        <v>2</v>
      </c>
      <c r="H254" s="2" t="s">
        <v>33</v>
      </c>
      <c r="I254" s="2" t="s">
        <v>339</v>
      </c>
      <c r="J254" s="2">
        <v>4200</v>
      </c>
      <c r="K254" s="12">
        <f t="shared" si="3"/>
        <v>8.4000000000000003E-4</v>
      </c>
    </row>
    <row r="255" spans="1:11" hidden="1">
      <c r="A255" s="10">
        <v>255</v>
      </c>
      <c r="B255" s="10" t="s">
        <v>407</v>
      </c>
      <c r="C255" s="10" t="s">
        <v>408</v>
      </c>
      <c r="D255" s="10" t="s">
        <v>897</v>
      </c>
      <c r="E255" s="2" t="s">
        <v>341</v>
      </c>
      <c r="F255" s="2"/>
      <c r="G255" s="2">
        <v>7</v>
      </c>
      <c r="H255" s="2" t="s">
        <v>33</v>
      </c>
      <c r="I255" s="2" t="s">
        <v>312</v>
      </c>
      <c r="J255" s="2">
        <v>4070</v>
      </c>
      <c r="K255" s="12">
        <f t="shared" si="3"/>
        <v>2.849E-3</v>
      </c>
    </row>
    <row r="256" spans="1:11" hidden="1">
      <c r="A256" s="10">
        <v>256</v>
      </c>
      <c r="B256" s="10" t="s">
        <v>407</v>
      </c>
      <c r="C256" s="10" t="s">
        <v>408</v>
      </c>
      <c r="D256" s="10" t="s">
        <v>897</v>
      </c>
      <c r="E256" s="2" t="s">
        <v>342</v>
      </c>
      <c r="F256" s="2"/>
      <c r="G256" s="2">
        <v>3</v>
      </c>
      <c r="H256" s="2" t="s">
        <v>33</v>
      </c>
      <c r="I256" s="2"/>
      <c r="J256" s="2">
        <v>949.96</v>
      </c>
      <c r="K256" s="12">
        <f t="shared" si="3"/>
        <v>2.8498800000000002E-4</v>
      </c>
    </row>
    <row r="257" spans="1:11" hidden="1">
      <c r="A257" s="10">
        <v>257</v>
      </c>
      <c r="B257" s="10" t="s">
        <v>407</v>
      </c>
      <c r="C257" s="10" t="s">
        <v>408</v>
      </c>
      <c r="D257" s="10" t="s">
        <v>897</v>
      </c>
      <c r="E257" s="2" t="s">
        <v>343</v>
      </c>
      <c r="F257" s="2"/>
      <c r="G257" s="2">
        <v>65</v>
      </c>
      <c r="H257" s="2" t="s">
        <v>33</v>
      </c>
      <c r="I257" s="2" t="s">
        <v>344</v>
      </c>
      <c r="J257" s="2">
        <v>810</v>
      </c>
      <c r="K257" s="12">
        <f t="shared" si="3"/>
        <v>5.2649999999999997E-3</v>
      </c>
    </row>
    <row r="258" spans="1:11" hidden="1">
      <c r="A258" s="10">
        <v>258</v>
      </c>
      <c r="B258" s="10" t="s">
        <v>407</v>
      </c>
      <c r="C258" s="10" t="s">
        <v>408</v>
      </c>
      <c r="D258" s="10" t="s">
        <v>897</v>
      </c>
      <c r="E258" s="2" t="s">
        <v>345</v>
      </c>
      <c r="F258" s="2"/>
      <c r="G258" s="2">
        <v>60</v>
      </c>
      <c r="H258" s="2" t="s">
        <v>33</v>
      </c>
      <c r="I258" s="2" t="s">
        <v>344</v>
      </c>
      <c r="J258" s="2">
        <v>150</v>
      </c>
      <c r="K258" s="12">
        <f t="shared" ref="K258:K321" si="4">(J258*G258)/10000000</f>
        <v>8.9999999999999998E-4</v>
      </c>
    </row>
    <row r="259" spans="1:11" hidden="1">
      <c r="A259" s="10">
        <v>259</v>
      </c>
      <c r="B259" s="10" t="s">
        <v>407</v>
      </c>
      <c r="C259" s="10" t="s">
        <v>408</v>
      </c>
      <c r="D259" s="10" t="s">
        <v>897</v>
      </c>
      <c r="E259" s="2" t="s">
        <v>346</v>
      </c>
      <c r="F259" s="2"/>
      <c r="G259" s="2">
        <v>23</v>
      </c>
      <c r="H259" s="2" t="s">
        <v>33</v>
      </c>
      <c r="I259" s="2" t="s">
        <v>344</v>
      </c>
      <c r="J259" s="2">
        <v>150</v>
      </c>
      <c r="K259" s="12">
        <f t="shared" si="4"/>
        <v>3.4499999999999998E-4</v>
      </c>
    </row>
    <row r="260" spans="1:11" hidden="1">
      <c r="A260" s="10">
        <v>260</v>
      </c>
      <c r="B260" s="10" t="s">
        <v>407</v>
      </c>
      <c r="C260" s="10" t="s">
        <v>408</v>
      </c>
      <c r="D260" s="10" t="s">
        <v>897</v>
      </c>
      <c r="E260" s="2" t="s">
        <v>347</v>
      </c>
      <c r="F260" s="2"/>
      <c r="G260" s="2">
        <v>27</v>
      </c>
      <c r="H260" s="2" t="s">
        <v>33</v>
      </c>
      <c r="I260" s="2" t="s">
        <v>344</v>
      </c>
      <c r="J260" s="2">
        <v>160</v>
      </c>
      <c r="K260" s="12">
        <f t="shared" si="4"/>
        <v>4.3199999999999998E-4</v>
      </c>
    </row>
    <row r="261" spans="1:11" hidden="1">
      <c r="A261" s="10">
        <v>261</v>
      </c>
      <c r="B261" s="10" t="s">
        <v>407</v>
      </c>
      <c r="C261" s="10" t="s">
        <v>408</v>
      </c>
      <c r="D261" s="10" t="s">
        <v>862</v>
      </c>
      <c r="E261" s="2" t="s">
        <v>348</v>
      </c>
      <c r="F261" s="2"/>
      <c r="G261" s="2">
        <v>1</v>
      </c>
      <c r="H261" s="2" t="s">
        <v>250</v>
      </c>
      <c r="I261" s="2" t="s">
        <v>349</v>
      </c>
      <c r="J261" s="2">
        <v>3372.35</v>
      </c>
      <c r="K261" s="12">
        <f t="shared" si="4"/>
        <v>3.3723499999999997E-4</v>
      </c>
    </row>
    <row r="262" spans="1:11" hidden="1">
      <c r="A262" s="10">
        <v>262</v>
      </c>
      <c r="B262" s="10" t="s">
        <v>407</v>
      </c>
      <c r="C262" s="10" t="s">
        <v>408</v>
      </c>
      <c r="D262" s="10" t="s">
        <v>862</v>
      </c>
      <c r="E262" s="2" t="s">
        <v>350</v>
      </c>
      <c r="F262" s="2"/>
      <c r="G262" s="2">
        <v>2</v>
      </c>
      <c r="H262" s="2" t="s">
        <v>250</v>
      </c>
      <c r="I262" s="2" t="s">
        <v>349</v>
      </c>
      <c r="J262" s="2">
        <v>1462.06</v>
      </c>
      <c r="K262" s="12">
        <f t="shared" si="4"/>
        <v>2.9241199999999998E-4</v>
      </c>
    </row>
    <row r="263" spans="1:11" hidden="1">
      <c r="A263" s="10">
        <v>263</v>
      </c>
      <c r="B263" s="10" t="s">
        <v>407</v>
      </c>
      <c r="C263" s="10" t="s">
        <v>408</v>
      </c>
      <c r="D263" s="10" t="s">
        <v>977</v>
      </c>
      <c r="E263" s="2" t="s">
        <v>351</v>
      </c>
      <c r="F263" s="2"/>
      <c r="G263" s="2">
        <v>12</v>
      </c>
      <c r="H263" s="2" t="s">
        <v>250</v>
      </c>
      <c r="I263" s="2" t="s">
        <v>352</v>
      </c>
      <c r="J263" s="2">
        <v>313.45999999999998</v>
      </c>
      <c r="K263" s="12">
        <f t="shared" si="4"/>
        <v>3.7615199999999993E-4</v>
      </c>
    </row>
    <row r="264" spans="1:11" hidden="1">
      <c r="A264" s="10">
        <v>264</v>
      </c>
      <c r="B264" s="10" t="s">
        <v>407</v>
      </c>
      <c r="C264" s="10" t="s">
        <v>408</v>
      </c>
      <c r="D264" s="10" t="s">
        <v>977</v>
      </c>
      <c r="E264" s="2" t="s">
        <v>353</v>
      </c>
      <c r="F264" s="2"/>
      <c r="G264" s="2">
        <v>40</v>
      </c>
      <c r="H264" s="2" t="s">
        <v>250</v>
      </c>
      <c r="I264" s="2" t="s">
        <v>352</v>
      </c>
      <c r="J264" s="2">
        <v>321.89999999999998</v>
      </c>
      <c r="K264" s="12">
        <f t="shared" si="4"/>
        <v>1.2876000000000001E-3</v>
      </c>
    </row>
    <row r="265" spans="1:11" hidden="1">
      <c r="A265" s="10">
        <v>265</v>
      </c>
      <c r="B265" s="10" t="s">
        <v>407</v>
      </c>
      <c r="C265" s="10" t="s">
        <v>408</v>
      </c>
      <c r="D265" s="10" t="s">
        <v>895</v>
      </c>
      <c r="E265" s="2" t="s">
        <v>354</v>
      </c>
      <c r="F265" s="2"/>
      <c r="G265" s="2">
        <v>135</v>
      </c>
      <c r="H265" s="2" t="s">
        <v>355</v>
      </c>
      <c r="I265" s="2" t="s">
        <v>356</v>
      </c>
      <c r="J265" s="2">
        <v>775.33</v>
      </c>
      <c r="K265" s="12">
        <f t="shared" si="4"/>
        <v>1.0466955E-2</v>
      </c>
    </row>
    <row r="266" spans="1:11" hidden="1">
      <c r="A266" s="10">
        <v>266</v>
      </c>
      <c r="B266" s="10" t="s">
        <v>407</v>
      </c>
      <c r="C266" s="10" t="s">
        <v>408</v>
      </c>
      <c r="D266" s="10" t="s">
        <v>895</v>
      </c>
      <c r="E266" s="2" t="s">
        <v>357</v>
      </c>
      <c r="F266" s="2"/>
      <c r="G266" s="2">
        <v>402</v>
      </c>
      <c r="H266" s="2" t="s">
        <v>355</v>
      </c>
      <c r="I266" s="2" t="s">
        <v>356</v>
      </c>
      <c r="J266" s="2">
        <v>330.98</v>
      </c>
      <c r="K266" s="12">
        <f t="shared" si="4"/>
        <v>1.3305396000000002E-2</v>
      </c>
    </row>
    <row r="267" spans="1:11" hidden="1">
      <c r="A267" s="10">
        <v>267</v>
      </c>
      <c r="B267" s="10" t="s">
        <v>407</v>
      </c>
      <c r="C267" s="10" t="s">
        <v>408</v>
      </c>
      <c r="D267" s="10" t="s">
        <v>897</v>
      </c>
      <c r="E267" s="2" t="s">
        <v>358</v>
      </c>
      <c r="F267" s="2"/>
      <c r="G267" s="2">
        <v>4</v>
      </c>
      <c r="H267" s="2" t="s">
        <v>250</v>
      </c>
      <c r="I267" s="2" t="s">
        <v>356</v>
      </c>
      <c r="J267" s="2">
        <v>198.77</v>
      </c>
      <c r="K267" s="12">
        <f t="shared" si="4"/>
        <v>7.9507999999999998E-5</v>
      </c>
    </row>
    <row r="268" spans="1:11" hidden="1">
      <c r="A268" s="10">
        <v>268</v>
      </c>
      <c r="B268" s="10" t="s">
        <v>407</v>
      </c>
      <c r="C268" s="10" t="s">
        <v>408</v>
      </c>
      <c r="D268" s="10" t="s">
        <v>721</v>
      </c>
      <c r="E268" s="2" t="s">
        <v>359</v>
      </c>
      <c r="F268" s="2"/>
      <c r="G268" s="2">
        <v>2</v>
      </c>
      <c r="H268" s="2" t="s">
        <v>250</v>
      </c>
      <c r="I268" s="2" t="s">
        <v>356</v>
      </c>
      <c r="J268" s="2">
        <v>1595.78</v>
      </c>
      <c r="K268" s="12">
        <f t="shared" si="4"/>
        <v>3.1915600000000002E-4</v>
      </c>
    </row>
    <row r="269" spans="1:11" hidden="1">
      <c r="A269" s="10">
        <v>269</v>
      </c>
      <c r="B269" s="10" t="s">
        <v>407</v>
      </c>
      <c r="C269" s="10" t="s">
        <v>408</v>
      </c>
      <c r="D269" s="10" t="s">
        <v>979</v>
      </c>
      <c r="E269" s="2" t="s">
        <v>360</v>
      </c>
      <c r="F269" s="2"/>
      <c r="G269" s="2">
        <v>1</v>
      </c>
      <c r="H269" s="2" t="s">
        <v>250</v>
      </c>
      <c r="I269" s="2" t="s">
        <v>356</v>
      </c>
      <c r="J269" s="2">
        <v>1059.3800000000001</v>
      </c>
      <c r="K269" s="12">
        <f t="shared" si="4"/>
        <v>1.0593800000000001E-4</v>
      </c>
    </row>
    <row r="270" spans="1:11" hidden="1">
      <c r="A270" s="10">
        <v>270</v>
      </c>
      <c r="B270" s="10" t="s">
        <v>407</v>
      </c>
      <c r="C270" s="10" t="s">
        <v>408</v>
      </c>
      <c r="D270" s="10" t="s">
        <v>862</v>
      </c>
      <c r="E270" s="2" t="s">
        <v>361</v>
      </c>
      <c r="F270" s="2"/>
      <c r="G270" s="2">
        <v>1</v>
      </c>
      <c r="H270" s="2" t="s">
        <v>250</v>
      </c>
      <c r="I270" s="2" t="s">
        <v>362</v>
      </c>
      <c r="J270" s="2">
        <v>2043</v>
      </c>
      <c r="K270" s="12">
        <f t="shared" si="4"/>
        <v>2.0430000000000001E-4</v>
      </c>
    </row>
    <row r="271" spans="1:11" hidden="1">
      <c r="A271" s="10">
        <v>271</v>
      </c>
      <c r="B271" s="10" t="s">
        <v>407</v>
      </c>
      <c r="C271" s="10" t="s">
        <v>408</v>
      </c>
      <c r="D271" s="10" t="s">
        <v>897</v>
      </c>
      <c r="E271" s="2" t="s">
        <v>363</v>
      </c>
      <c r="F271" s="2"/>
      <c r="G271" s="2">
        <v>3</v>
      </c>
      <c r="H271" s="2" t="s">
        <v>250</v>
      </c>
      <c r="I271" s="2" t="s">
        <v>364</v>
      </c>
      <c r="J271" s="2">
        <v>3561.02</v>
      </c>
      <c r="K271" s="12">
        <f t="shared" si="4"/>
        <v>1.068306E-3</v>
      </c>
    </row>
    <row r="272" spans="1:11" hidden="1">
      <c r="A272" s="10">
        <v>272</v>
      </c>
      <c r="B272" s="10" t="s">
        <v>407</v>
      </c>
      <c r="C272" s="10" t="s">
        <v>408</v>
      </c>
      <c r="D272" s="10" t="s">
        <v>897</v>
      </c>
      <c r="E272" s="2" t="s">
        <v>365</v>
      </c>
      <c r="F272" s="2"/>
      <c r="G272" s="2">
        <v>1</v>
      </c>
      <c r="H272" s="2" t="s">
        <v>250</v>
      </c>
      <c r="I272" s="2" t="s">
        <v>364</v>
      </c>
      <c r="J272" s="2">
        <v>3877.12</v>
      </c>
      <c r="K272" s="12">
        <f t="shared" si="4"/>
        <v>3.8771199999999996E-4</v>
      </c>
    </row>
    <row r="273" spans="1:11" hidden="1">
      <c r="A273" s="10">
        <v>273</v>
      </c>
      <c r="B273" s="10" t="s">
        <v>407</v>
      </c>
      <c r="C273" s="10" t="s">
        <v>408</v>
      </c>
      <c r="D273" s="10" t="s">
        <v>897</v>
      </c>
      <c r="E273" s="2" t="s">
        <v>366</v>
      </c>
      <c r="F273" s="2"/>
      <c r="G273" s="2">
        <v>12</v>
      </c>
      <c r="H273" s="2" t="s">
        <v>250</v>
      </c>
      <c r="I273" s="2" t="s">
        <v>364</v>
      </c>
      <c r="J273" s="2">
        <v>612.26</v>
      </c>
      <c r="K273" s="12">
        <f t="shared" si="4"/>
        <v>7.34712E-4</v>
      </c>
    </row>
    <row r="274" spans="1:11" hidden="1">
      <c r="A274" s="10">
        <v>274</v>
      </c>
      <c r="B274" s="10" t="s">
        <v>407</v>
      </c>
      <c r="C274" s="10" t="s">
        <v>408</v>
      </c>
      <c r="D274" s="10" t="s">
        <v>897</v>
      </c>
      <c r="E274" s="2" t="s">
        <v>367</v>
      </c>
      <c r="F274" s="2"/>
      <c r="G274" s="2">
        <v>3</v>
      </c>
      <c r="H274" s="2" t="s">
        <v>250</v>
      </c>
      <c r="I274" s="2" t="s">
        <v>364</v>
      </c>
      <c r="J274" s="2">
        <v>1136.32</v>
      </c>
      <c r="K274" s="12">
        <f t="shared" si="4"/>
        <v>3.4089599999999998E-4</v>
      </c>
    </row>
    <row r="275" spans="1:11" hidden="1">
      <c r="A275" s="10">
        <v>275</v>
      </c>
      <c r="B275" s="10" t="s">
        <v>407</v>
      </c>
      <c r="C275" s="10" t="s">
        <v>408</v>
      </c>
      <c r="D275" s="10" t="s">
        <v>897</v>
      </c>
      <c r="E275" s="2" t="s">
        <v>368</v>
      </c>
      <c r="F275" s="2"/>
      <c r="G275" s="2">
        <v>4</v>
      </c>
      <c r="H275" s="2" t="s">
        <v>250</v>
      </c>
      <c r="I275" s="2" t="s">
        <v>364</v>
      </c>
      <c r="J275" s="2">
        <v>3033</v>
      </c>
      <c r="K275" s="12">
        <f t="shared" si="4"/>
        <v>1.2132E-3</v>
      </c>
    </row>
    <row r="276" spans="1:11" hidden="1">
      <c r="A276" s="10">
        <v>276</v>
      </c>
      <c r="B276" s="10" t="s">
        <v>407</v>
      </c>
      <c r="C276" s="10" t="s">
        <v>408</v>
      </c>
      <c r="D276" s="10" t="s">
        <v>897</v>
      </c>
      <c r="E276" s="2" t="s">
        <v>369</v>
      </c>
      <c r="F276" s="2"/>
      <c r="G276" s="2">
        <v>2</v>
      </c>
      <c r="H276" s="2" t="s">
        <v>250</v>
      </c>
      <c r="I276" s="2"/>
      <c r="J276" s="2">
        <v>4225.8999999999996</v>
      </c>
      <c r="K276" s="12">
        <f t="shared" si="4"/>
        <v>8.4517999999999995E-4</v>
      </c>
    </row>
    <row r="277" spans="1:11" hidden="1">
      <c r="A277" s="10">
        <v>277</v>
      </c>
      <c r="B277" s="10" t="s">
        <v>407</v>
      </c>
      <c r="C277" s="10" t="s">
        <v>408</v>
      </c>
      <c r="D277" s="10" t="s">
        <v>897</v>
      </c>
      <c r="E277" s="2" t="s">
        <v>370</v>
      </c>
      <c r="F277" s="2"/>
      <c r="G277" s="2">
        <v>1</v>
      </c>
      <c r="H277" s="2" t="s">
        <v>250</v>
      </c>
      <c r="I277" s="2"/>
      <c r="J277" s="2">
        <v>4225.8999999999996</v>
      </c>
      <c r="K277" s="12">
        <f t="shared" si="4"/>
        <v>4.2258999999999998E-4</v>
      </c>
    </row>
    <row r="278" spans="1:11" hidden="1">
      <c r="A278" s="10">
        <v>278</v>
      </c>
      <c r="B278" s="10" t="s">
        <v>407</v>
      </c>
      <c r="C278" s="10" t="s">
        <v>408</v>
      </c>
      <c r="D278" s="10" t="s">
        <v>897</v>
      </c>
      <c r="E278" s="2" t="s">
        <v>371</v>
      </c>
      <c r="F278" s="2"/>
      <c r="G278" s="2">
        <v>180</v>
      </c>
      <c r="H278" s="2" t="s">
        <v>250</v>
      </c>
      <c r="I278" s="2" t="s">
        <v>364</v>
      </c>
      <c r="J278" s="2">
        <v>122</v>
      </c>
      <c r="K278" s="12">
        <f t="shared" si="4"/>
        <v>2.196E-3</v>
      </c>
    </row>
    <row r="279" spans="1:11" hidden="1">
      <c r="A279" s="10">
        <v>279</v>
      </c>
      <c r="B279" s="10" t="s">
        <v>407</v>
      </c>
      <c r="C279" s="10" t="s">
        <v>408</v>
      </c>
      <c r="D279" s="10" t="s">
        <v>897</v>
      </c>
      <c r="E279" s="2" t="s">
        <v>372</v>
      </c>
      <c r="F279" s="2"/>
      <c r="G279" s="2">
        <v>33</v>
      </c>
      <c r="H279" s="2" t="s">
        <v>250</v>
      </c>
      <c r="I279" s="2" t="s">
        <v>364</v>
      </c>
      <c r="J279" s="2">
        <v>85</v>
      </c>
      <c r="K279" s="12">
        <f t="shared" si="4"/>
        <v>2.8049999999999999E-4</v>
      </c>
    </row>
    <row r="280" spans="1:11" hidden="1">
      <c r="A280" s="10">
        <v>280</v>
      </c>
      <c r="B280" s="10" t="s">
        <v>407</v>
      </c>
      <c r="C280" s="10" t="s">
        <v>408</v>
      </c>
      <c r="D280" s="10" t="s">
        <v>897</v>
      </c>
      <c r="E280" s="2" t="s">
        <v>373</v>
      </c>
      <c r="F280" s="2"/>
      <c r="G280" s="2">
        <v>10</v>
      </c>
      <c r="H280" s="2" t="s">
        <v>250</v>
      </c>
      <c r="I280" s="2" t="s">
        <v>364</v>
      </c>
      <c r="J280" s="2">
        <v>50.15</v>
      </c>
      <c r="K280" s="12">
        <f t="shared" si="4"/>
        <v>5.0149999999999999E-5</v>
      </c>
    </row>
    <row r="281" spans="1:11" hidden="1">
      <c r="A281" s="10">
        <v>281</v>
      </c>
      <c r="B281" s="10" t="s">
        <v>407</v>
      </c>
      <c r="C281" s="10" t="s">
        <v>408</v>
      </c>
      <c r="D281" s="10" t="s">
        <v>897</v>
      </c>
      <c r="E281" s="2" t="s">
        <v>374</v>
      </c>
      <c r="F281" s="2"/>
      <c r="G281" s="2">
        <v>400</v>
      </c>
      <c r="H281" s="2" t="s">
        <v>250</v>
      </c>
      <c r="I281" s="2" t="s">
        <v>364</v>
      </c>
      <c r="J281" s="2">
        <v>50.15</v>
      </c>
      <c r="K281" s="12">
        <f t="shared" si="4"/>
        <v>2.006E-3</v>
      </c>
    </row>
    <row r="282" spans="1:11" hidden="1">
      <c r="A282" s="10">
        <v>282</v>
      </c>
      <c r="B282" s="10" t="s">
        <v>407</v>
      </c>
      <c r="C282" s="10" t="s">
        <v>408</v>
      </c>
      <c r="D282" s="10" t="s">
        <v>978</v>
      </c>
      <c r="E282" s="2" t="s">
        <v>375</v>
      </c>
      <c r="F282" s="2"/>
      <c r="G282" s="2">
        <v>240</v>
      </c>
      <c r="H282" s="2" t="s">
        <v>250</v>
      </c>
      <c r="I282" s="2" t="s">
        <v>364</v>
      </c>
      <c r="J282" s="2">
        <v>138</v>
      </c>
      <c r="K282" s="12">
        <f t="shared" si="4"/>
        <v>3.3119999999999998E-3</v>
      </c>
    </row>
    <row r="283" spans="1:11" hidden="1">
      <c r="A283" s="10">
        <v>283</v>
      </c>
      <c r="B283" s="10" t="s">
        <v>407</v>
      </c>
      <c r="C283" s="10" t="s">
        <v>408</v>
      </c>
      <c r="D283" s="10" t="s">
        <v>978</v>
      </c>
      <c r="E283" s="2" t="s">
        <v>376</v>
      </c>
      <c r="F283" s="2"/>
      <c r="G283" s="2">
        <v>70</v>
      </c>
      <c r="H283" s="2" t="s">
        <v>250</v>
      </c>
      <c r="I283" s="2" t="s">
        <v>364</v>
      </c>
      <c r="J283" s="2">
        <v>77</v>
      </c>
      <c r="K283" s="12">
        <f t="shared" si="4"/>
        <v>5.3899999999999998E-4</v>
      </c>
    </row>
    <row r="284" spans="1:11" hidden="1">
      <c r="A284" s="10">
        <v>284</v>
      </c>
      <c r="B284" s="10" t="s">
        <v>407</v>
      </c>
      <c r="C284" s="10" t="s">
        <v>408</v>
      </c>
      <c r="D284" s="10" t="s">
        <v>897</v>
      </c>
      <c r="E284" s="2" t="s">
        <v>377</v>
      </c>
      <c r="F284" s="2"/>
      <c r="G284" s="2">
        <v>55</v>
      </c>
      <c r="H284" s="2" t="s">
        <v>250</v>
      </c>
      <c r="I284" s="2" t="s">
        <v>364</v>
      </c>
      <c r="J284" s="2">
        <v>47</v>
      </c>
      <c r="K284" s="12">
        <f t="shared" si="4"/>
        <v>2.5849999999999999E-4</v>
      </c>
    </row>
    <row r="285" spans="1:11" hidden="1">
      <c r="A285" s="10">
        <v>285</v>
      </c>
      <c r="B285" s="10" t="s">
        <v>407</v>
      </c>
      <c r="C285" s="10" t="s">
        <v>408</v>
      </c>
      <c r="D285" s="10" t="s">
        <v>897</v>
      </c>
      <c r="E285" s="2" t="s">
        <v>378</v>
      </c>
      <c r="F285" s="2"/>
      <c r="G285" s="2">
        <v>25</v>
      </c>
      <c r="H285" s="2" t="s">
        <v>250</v>
      </c>
      <c r="I285" s="2" t="s">
        <v>364</v>
      </c>
      <c r="J285" s="2">
        <v>85</v>
      </c>
      <c r="K285" s="12">
        <f t="shared" si="4"/>
        <v>2.1249999999999999E-4</v>
      </c>
    </row>
    <row r="286" spans="1:11" hidden="1">
      <c r="A286" s="10">
        <v>286</v>
      </c>
      <c r="B286" s="10" t="s">
        <v>407</v>
      </c>
      <c r="C286" s="10" t="s">
        <v>408</v>
      </c>
      <c r="D286" s="10" t="s">
        <v>897</v>
      </c>
      <c r="E286" s="2" t="s">
        <v>379</v>
      </c>
      <c r="F286" s="2"/>
      <c r="G286" s="2">
        <v>66</v>
      </c>
      <c r="H286" s="2" t="s">
        <v>250</v>
      </c>
      <c r="I286" s="2" t="s">
        <v>364</v>
      </c>
      <c r="J286" s="2">
        <v>66</v>
      </c>
      <c r="K286" s="12">
        <f t="shared" si="4"/>
        <v>4.3560000000000002E-4</v>
      </c>
    </row>
    <row r="287" spans="1:11" hidden="1">
      <c r="A287" s="10">
        <v>287</v>
      </c>
      <c r="B287" s="10" t="s">
        <v>407</v>
      </c>
      <c r="C287" s="10" t="s">
        <v>408</v>
      </c>
      <c r="D287" s="10" t="s">
        <v>897</v>
      </c>
      <c r="E287" s="2" t="s">
        <v>380</v>
      </c>
      <c r="F287" s="2"/>
      <c r="G287" s="2">
        <v>30</v>
      </c>
      <c r="H287" s="2" t="s">
        <v>250</v>
      </c>
      <c r="I287" s="2" t="s">
        <v>364</v>
      </c>
      <c r="J287" s="2">
        <v>52</v>
      </c>
      <c r="K287" s="12">
        <f t="shared" si="4"/>
        <v>1.56E-4</v>
      </c>
    </row>
    <row r="288" spans="1:11" hidden="1">
      <c r="A288" s="10">
        <v>288</v>
      </c>
      <c r="B288" s="10" t="s">
        <v>407</v>
      </c>
      <c r="C288" s="10" t="s">
        <v>408</v>
      </c>
      <c r="D288" s="10" t="s">
        <v>897</v>
      </c>
      <c r="E288" s="2" t="s">
        <v>381</v>
      </c>
      <c r="F288" s="2"/>
      <c r="G288" s="2">
        <v>210</v>
      </c>
      <c r="H288" s="2" t="s">
        <v>250</v>
      </c>
      <c r="I288" s="2" t="s">
        <v>364</v>
      </c>
      <c r="J288" s="2">
        <v>42</v>
      </c>
      <c r="K288" s="12">
        <f t="shared" si="4"/>
        <v>8.8199999999999997E-4</v>
      </c>
    </row>
    <row r="289" spans="1:11" hidden="1">
      <c r="A289" s="10">
        <v>289</v>
      </c>
      <c r="B289" s="10" t="s">
        <v>407</v>
      </c>
      <c r="C289" s="10" t="s">
        <v>408</v>
      </c>
      <c r="D289" s="10" t="s">
        <v>897</v>
      </c>
      <c r="E289" s="2" t="s">
        <v>381</v>
      </c>
      <c r="F289" s="2"/>
      <c r="G289" s="2">
        <v>88</v>
      </c>
      <c r="H289" s="2" t="s">
        <v>250</v>
      </c>
      <c r="I289" s="2" t="s">
        <v>382</v>
      </c>
      <c r="J289" s="2">
        <v>42</v>
      </c>
      <c r="K289" s="12">
        <f t="shared" si="4"/>
        <v>3.6959999999999998E-4</v>
      </c>
    </row>
    <row r="290" spans="1:11" hidden="1">
      <c r="A290" s="10">
        <v>290</v>
      </c>
      <c r="B290" s="10" t="s">
        <v>407</v>
      </c>
      <c r="C290" s="10" t="s">
        <v>408</v>
      </c>
      <c r="D290" s="10" t="s">
        <v>897</v>
      </c>
      <c r="E290" s="2" t="s">
        <v>383</v>
      </c>
      <c r="F290" s="2"/>
      <c r="G290" s="2">
        <v>1</v>
      </c>
      <c r="H290" s="2" t="s">
        <v>250</v>
      </c>
      <c r="I290" s="2" t="s">
        <v>382</v>
      </c>
      <c r="J290" s="2">
        <v>847.11</v>
      </c>
      <c r="K290" s="12">
        <f t="shared" si="4"/>
        <v>8.4710999999999996E-5</v>
      </c>
    </row>
    <row r="291" spans="1:11" hidden="1">
      <c r="A291" s="10">
        <v>291</v>
      </c>
      <c r="B291" s="10" t="s">
        <v>407</v>
      </c>
      <c r="C291" s="10" t="s">
        <v>408</v>
      </c>
      <c r="D291" s="10" t="s">
        <v>897</v>
      </c>
      <c r="E291" s="2" t="s">
        <v>384</v>
      </c>
      <c r="F291" s="2"/>
      <c r="G291" s="2">
        <v>1</v>
      </c>
      <c r="H291" s="2" t="s">
        <v>250</v>
      </c>
      <c r="I291" s="2" t="s">
        <v>382</v>
      </c>
      <c r="J291" s="2">
        <v>351.19</v>
      </c>
      <c r="K291" s="12">
        <f t="shared" si="4"/>
        <v>3.5119E-5</v>
      </c>
    </row>
    <row r="292" spans="1:11" hidden="1">
      <c r="A292" s="10">
        <v>292</v>
      </c>
      <c r="B292" s="10" t="s">
        <v>407</v>
      </c>
      <c r="C292" s="10" t="s">
        <v>408</v>
      </c>
      <c r="D292" s="10" t="s">
        <v>897</v>
      </c>
      <c r="E292" s="2" t="s">
        <v>385</v>
      </c>
      <c r="F292" s="2"/>
      <c r="G292" s="2">
        <v>3</v>
      </c>
      <c r="H292" s="2" t="s">
        <v>250</v>
      </c>
      <c r="I292" s="2" t="s">
        <v>382</v>
      </c>
      <c r="J292" s="2">
        <v>1449.77</v>
      </c>
      <c r="K292" s="12">
        <f t="shared" si="4"/>
        <v>4.3493099999999995E-4</v>
      </c>
    </row>
    <row r="293" spans="1:11" hidden="1">
      <c r="A293" s="10">
        <v>293</v>
      </c>
      <c r="B293" s="10" t="s">
        <v>407</v>
      </c>
      <c r="C293" s="10" t="s">
        <v>408</v>
      </c>
      <c r="D293" s="10" t="s">
        <v>897</v>
      </c>
      <c r="E293" s="2" t="s">
        <v>386</v>
      </c>
      <c r="F293" s="2"/>
      <c r="G293" s="2">
        <v>3</v>
      </c>
      <c r="H293" s="2" t="s">
        <v>250</v>
      </c>
      <c r="I293" s="2" t="s">
        <v>382</v>
      </c>
      <c r="J293" s="2">
        <v>357.03</v>
      </c>
      <c r="K293" s="12">
        <f t="shared" si="4"/>
        <v>1.0710899999999999E-4</v>
      </c>
    </row>
    <row r="294" spans="1:11" hidden="1">
      <c r="A294" s="10">
        <v>294</v>
      </c>
      <c r="B294" s="10" t="s">
        <v>407</v>
      </c>
      <c r="C294" s="10" t="s">
        <v>408</v>
      </c>
      <c r="D294" s="10" t="s">
        <v>897</v>
      </c>
      <c r="E294" s="2" t="s">
        <v>387</v>
      </c>
      <c r="F294" s="2"/>
      <c r="G294" s="2">
        <v>3</v>
      </c>
      <c r="H294" s="2" t="s">
        <v>250</v>
      </c>
      <c r="I294" s="2" t="s">
        <v>382</v>
      </c>
      <c r="J294" s="2">
        <v>655.69</v>
      </c>
      <c r="K294" s="12">
        <f t="shared" si="4"/>
        <v>1.9670700000000001E-4</v>
      </c>
    </row>
    <row r="295" spans="1:11" hidden="1">
      <c r="A295" s="10">
        <v>295</v>
      </c>
      <c r="B295" s="10" t="s">
        <v>407</v>
      </c>
      <c r="C295" s="10" t="s">
        <v>408</v>
      </c>
      <c r="D295" s="10" t="s">
        <v>897</v>
      </c>
      <c r="E295" s="2" t="s">
        <v>387</v>
      </c>
      <c r="F295" s="2"/>
      <c r="G295" s="2">
        <v>2</v>
      </c>
      <c r="H295" s="2" t="s">
        <v>250</v>
      </c>
      <c r="I295" s="2" t="s">
        <v>382</v>
      </c>
      <c r="J295" s="2">
        <v>655.69</v>
      </c>
      <c r="K295" s="12">
        <f t="shared" si="4"/>
        <v>1.3113800000000002E-4</v>
      </c>
    </row>
    <row r="296" spans="1:11" hidden="1">
      <c r="A296" s="10">
        <v>296</v>
      </c>
      <c r="B296" s="10" t="s">
        <v>407</v>
      </c>
      <c r="C296" s="10" t="s">
        <v>408</v>
      </c>
      <c r="D296" s="10" t="s">
        <v>897</v>
      </c>
      <c r="E296" s="2" t="s">
        <v>385</v>
      </c>
      <c r="F296" s="2"/>
      <c r="G296" s="2">
        <v>2</v>
      </c>
      <c r="H296" s="2" t="s">
        <v>250</v>
      </c>
      <c r="I296" s="2" t="s">
        <v>382</v>
      </c>
      <c r="J296" s="2">
        <v>1449.77</v>
      </c>
      <c r="K296" s="12">
        <f t="shared" si="4"/>
        <v>2.8995399999999998E-4</v>
      </c>
    </row>
    <row r="297" spans="1:11" hidden="1">
      <c r="A297" s="10">
        <v>297</v>
      </c>
      <c r="B297" s="10" t="s">
        <v>407</v>
      </c>
      <c r="C297" s="10" t="s">
        <v>408</v>
      </c>
      <c r="D297" s="10" t="s">
        <v>897</v>
      </c>
      <c r="E297" s="2" t="s">
        <v>388</v>
      </c>
      <c r="F297" s="2"/>
      <c r="G297" s="2">
        <v>2</v>
      </c>
      <c r="H297" s="2" t="s">
        <v>250</v>
      </c>
      <c r="I297" s="2" t="s">
        <v>382</v>
      </c>
      <c r="J297" s="2">
        <v>357.03</v>
      </c>
      <c r="K297" s="12">
        <f t="shared" si="4"/>
        <v>7.1406E-5</v>
      </c>
    </row>
    <row r="298" spans="1:11" hidden="1">
      <c r="A298" s="10">
        <v>298</v>
      </c>
      <c r="B298" s="10" t="s">
        <v>407</v>
      </c>
      <c r="C298" s="10" t="s">
        <v>408</v>
      </c>
      <c r="D298" s="10" t="s">
        <v>897</v>
      </c>
      <c r="E298" s="2" t="s">
        <v>385</v>
      </c>
      <c r="F298" s="2"/>
      <c r="G298" s="2">
        <v>3</v>
      </c>
      <c r="H298" s="2" t="s">
        <v>250</v>
      </c>
      <c r="I298" s="2" t="s">
        <v>382</v>
      </c>
      <c r="J298" s="2">
        <v>1449.77</v>
      </c>
      <c r="K298" s="12">
        <f t="shared" si="4"/>
        <v>4.3493099999999995E-4</v>
      </c>
    </row>
    <row r="299" spans="1:11" hidden="1">
      <c r="A299" s="10">
        <v>299</v>
      </c>
      <c r="B299" s="10" t="s">
        <v>407</v>
      </c>
      <c r="C299" s="10" t="s">
        <v>408</v>
      </c>
      <c r="D299" s="10" t="s">
        <v>897</v>
      </c>
      <c r="E299" s="2" t="s">
        <v>389</v>
      </c>
      <c r="F299" s="2"/>
      <c r="G299" s="2">
        <v>3</v>
      </c>
      <c r="H299" s="2" t="s">
        <v>250</v>
      </c>
      <c r="I299" s="2" t="s">
        <v>382</v>
      </c>
      <c r="J299" s="2">
        <v>579.73</v>
      </c>
      <c r="K299" s="12">
        <f t="shared" si="4"/>
        <v>1.73919E-4</v>
      </c>
    </row>
    <row r="300" spans="1:11" hidden="1">
      <c r="A300" s="10">
        <v>300</v>
      </c>
      <c r="B300" s="10" t="s">
        <v>407</v>
      </c>
      <c r="C300" s="10" t="s">
        <v>408</v>
      </c>
      <c r="D300" s="10" t="s">
        <v>897</v>
      </c>
      <c r="E300" s="2" t="s">
        <v>387</v>
      </c>
      <c r="F300" s="2"/>
      <c r="G300" s="2">
        <v>3</v>
      </c>
      <c r="H300" s="2" t="s">
        <v>250</v>
      </c>
      <c r="I300" s="2" t="s">
        <v>382</v>
      </c>
      <c r="J300" s="2">
        <v>655.69</v>
      </c>
      <c r="K300" s="12">
        <f t="shared" si="4"/>
        <v>1.9670700000000001E-4</v>
      </c>
    </row>
    <row r="301" spans="1:11" hidden="1">
      <c r="A301" s="10">
        <v>301</v>
      </c>
      <c r="B301" s="10" t="s">
        <v>407</v>
      </c>
      <c r="C301" s="10" t="s">
        <v>408</v>
      </c>
      <c r="D301" s="10" t="s">
        <v>897</v>
      </c>
      <c r="E301" s="2" t="s">
        <v>390</v>
      </c>
      <c r="F301" s="2"/>
      <c r="G301" s="2">
        <v>1</v>
      </c>
      <c r="H301" s="2" t="s">
        <v>250</v>
      </c>
      <c r="I301" s="2" t="s">
        <v>382</v>
      </c>
      <c r="J301" s="2">
        <v>1133.96</v>
      </c>
      <c r="K301" s="12">
        <f t="shared" si="4"/>
        <v>1.1339600000000001E-4</v>
      </c>
    </row>
    <row r="302" spans="1:11" hidden="1">
      <c r="A302" s="10">
        <v>302</v>
      </c>
      <c r="B302" s="10" t="s">
        <v>407</v>
      </c>
      <c r="C302" s="10" t="s">
        <v>408</v>
      </c>
      <c r="D302" s="10" t="s">
        <v>897</v>
      </c>
      <c r="E302" s="2" t="s">
        <v>391</v>
      </c>
      <c r="F302" s="2"/>
      <c r="G302" s="2">
        <v>1</v>
      </c>
      <c r="H302" s="2" t="s">
        <v>250</v>
      </c>
      <c r="I302" s="2" t="s">
        <v>382</v>
      </c>
      <c r="J302" s="2">
        <v>2767.64</v>
      </c>
      <c r="K302" s="12">
        <f t="shared" si="4"/>
        <v>2.7676399999999998E-4</v>
      </c>
    </row>
    <row r="303" spans="1:11" hidden="1">
      <c r="A303" s="10">
        <v>303</v>
      </c>
      <c r="B303" s="10" t="s">
        <v>407</v>
      </c>
      <c r="C303" s="10" t="s">
        <v>408</v>
      </c>
      <c r="D303" s="10" t="s">
        <v>897</v>
      </c>
      <c r="E303" s="2" t="s">
        <v>392</v>
      </c>
      <c r="F303" s="2"/>
      <c r="G303" s="2">
        <v>1</v>
      </c>
      <c r="H303" s="2" t="s">
        <v>250</v>
      </c>
      <c r="I303" s="2" t="s">
        <v>382</v>
      </c>
      <c r="J303" s="2">
        <v>3359.53</v>
      </c>
      <c r="K303" s="12">
        <f t="shared" si="4"/>
        <v>3.35953E-4</v>
      </c>
    </row>
    <row r="304" spans="1:11" hidden="1">
      <c r="A304" s="10">
        <v>304</v>
      </c>
      <c r="B304" s="10" t="s">
        <v>407</v>
      </c>
      <c r="C304" s="10" t="s">
        <v>408</v>
      </c>
      <c r="D304" s="10" t="s">
        <v>897</v>
      </c>
      <c r="E304" s="2" t="s">
        <v>392</v>
      </c>
      <c r="F304" s="2"/>
      <c r="G304" s="2">
        <v>7</v>
      </c>
      <c r="H304" s="2" t="s">
        <v>250</v>
      </c>
      <c r="I304" s="2" t="s">
        <v>382</v>
      </c>
      <c r="J304" s="2">
        <v>3359.53</v>
      </c>
      <c r="K304" s="12">
        <f t="shared" si="4"/>
        <v>2.3516710000000005E-3</v>
      </c>
    </row>
    <row r="305" spans="1:11" hidden="1">
      <c r="A305" s="10">
        <v>305</v>
      </c>
      <c r="B305" s="10" t="s">
        <v>407</v>
      </c>
      <c r="C305" s="10" t="s">
        <v>408</v>
      </c>
      <c r="D305" s="10" t="s">
        <v>897</v>
      </c>
      <c r="E305" s="2" t="s">
        <v>393</v>
      </c>
      <c r="F305" s="2"/>
      <c r="G305" s="2">
        <v>6</v>
      </c>
      <c r="H305" s="2" t="s">
        <v>250</v>
      </c>
      <c r="I305" s="2" t="s">
        <v>382</v>
      </c>
      <c r="J305" s="2">
        <v>610.4</v>
      </c>
      <c r="K305" s="12">
        <f t="shared" si="4"/>
        <v>3.6623999999999999E-4</v>
      </c>
    </row>
    <row r="306" spans="1:11" hidden="1">
      <c r="A306" s="10">
        <v>306</v>
      </c>
      <c r="B306" s="10" t="s">
        <v>407</v>
      </c>
      <c r="C306" s="10" t="s">
        <v>408</v>
      </c>
      <c r="D306" s="10" t="s">
        <v>897</v>
      </c>
      <c r="E306" s="2" t="s">
        <v>394</v>
      </c>
      <c r="F306" s="2"/>
      <c r="G306" s="2">
        <v>7</v>
      </c>
      <c r="H306" s="2" t="s">
        <v>250</v>
      </c>
      <c r="I306" s="2" t="s">
        <v>382</v>
      </c>
      <c r="J306" s="2">
        <v>2767.64</v>
      </c>
      <c r="K306" s="12">
        <f t="shared" si="4"/>
        <v>1.937348E-3</v>
      </c>
    </row>
    <row r="307" spans="1:11" hidden="1">
      <c r="A307" s="10">
        <v>307</v>
      </c>
      <c r="B307" s="10" t="s">
        <v>407</v>
      </c>
      <c r="C307" s="10" t="s">
        <v>408</v>
      </c>
      <c r="D307" s="10" t="s">
        <v>897</v>
      </c>
      <c r="E307" s="2" t="s">
        <v>392</v>
      </c>
      <c r="F307" s="2"/>
      <c r="G307" s="2">
        <v>5</v>
      </c>
      <c r="H307" s="2" t="s">
        <v>250</v>
      </c>
      <c r="I307" s="2" t="s">
        <v>382</v>
      </c>
      <c r="J307" s="2">
        <v>3359.53</v>
      </c>
      <c r="K307" s="12">
        <f t="shared" si="4"/>
        <v>1.6797650000000002E-3</v>
      </c>
    </row>
    <row r="308" spans="1:11" hidden="1">
      <c r="A308" s="10">
        <v>308</v>
      </c>
      <c r="B308" s="10" t="s">
        <v>407</v>
      </c>
      <c r="C308" s="10" t="s">
        <v>408</v>
      </c>
      <c r="D308" s="10" t="s">
        <v>897</v>
      </c>
      <c r="E308" s="2" t="s">
        <v>395</v>
      </c>
      <c r="F308" s="2"/>
      <c r="G308" s="2">
        <v>5</v>
      </c>
      <c r="H308" s="2" t="s">
        <v>250</v>
      </c>
      <c r="I308" s="2" t="s">
        <v>382</v>
      </c>
      <c r="J308" s="2">
        <v>2767.64</v>
      </c>
      <c r="K308" s="12">
        <f t="shared" si="4"/>
        <v>1.3838199999999998E-3</v>
      </c>
    </row>
    <row r="309" spans="1:11" hidden="1">
      <c r="A309" s="10">
        <v>309</v>
      </c>
      <c r="B309" s="10" t="s">
        <v>407</v>
      </c>
      <c r="C309" s="10" t="s">
        <v>408</v>
      </c>
      <c r="D309" s="10" t="s">
        <v>897</v>
      </c>
      <c r="E309" s="2" t="s">
        <v>396</v>
      </c>
      <c r="F309" s="2"/>
      <c r="G309" s="2">
        <v>1</v>
      </c>
      <c r="H309" s="2" t="s">
        <v>250</v>
      </c>
      <c r="I309" s="2" t="s">
        <v>382</v>
      </c>
      <c r="J309" s="2">
        <v>2773.59</v>
      </c>
      <c r="K309" s="12">
        <f t="shared" si="4"/>
        <v>2.7735900000000003E-4</v>
      </c>
    </row>
    <row r="310" spans="1:11" hidden="1">
      <c r="A310" s="10">
        <v>310</v>
      </c>
      <c r="B310" s="10" t="s">
        <v>407</v>
      </c>
      <c r="C310" s="10" t="s">
        <v>408</v>
      </c>
      <c r="D310" s="10" t="s">
        <v>897</v>
      </c>
      <c r="E310" s="2" t="s">
        <v>397</v>
      </c>
      <c r="F310" s="2"/>
      <c r="G310" s="2">
        <v>1</v>
      </c>
      <c r="H310" s="2" t="s">
        <v>250</v>
      </c>
      <c r="I310" s="2" t="s">
        <v>382</v>
      </c>
      <c r="J310" s="2">
        <v>9988.4500000000007</v>
      </c>
      <c r="K310" s="12">
        <f t="shared" si="4"/>
        <v>9.9884500000000016E-4</v>
      </c>
    </row>
    <row r="311" spans="1:11" hidden="1">
      <c r="A311" s="10">
        <v>311</v>
      </c>
      <c r="B311" s="10" t="s">
        <v>407</v>
      </c>
      <c r="C311" s="10" t="s">
        <v>408</v>
      </c>
      <c r="D311" s="10" t="s">
        <v>897</v>
      </c>
      <c r="E311" s="2" t="s">
        <v>398</v>
      </c>
      <c r="F311" s="2"/>
      <c r="G311" s="2">
        <v>1</v>
      </c>
      <c r="H311" s="2" t="s">
        <v>250</v>
      </c>
      <c r="I311" s="2" t="s">
        <v>382</v>
      </c>
      <c r="J311" s="2">
        <v>13210.99</v>
      </c>
      <c r="K311" s="12">
        <f t="shared" si="4"/>
        <v>1.3210990000000001E-3</v>
      </c>
    </row>
    <row r="312" spans="1:11">
      <c r="A312" s="10">
        <v>312</v>
      </c>
      <c r="B312" s="10" t="s">
        <v>407</v>
      </c>
      <c r="C312" s="10" t="s">
        <v>408</v>
      </c>
      <c r="D312" s="10" t="s">
        <v>899</v>
      </c>
      <c r="E312" s="2" t="s">
        <v>399</v>
      </c>
      <c r="F312" s="2"/>
      <c r="G312" s="2">
        <v>184</v>
      </c>
      <c r="H312" s="2" t="s">
        <v>355</v>
      </c>
      <c r="I312" s="2" t="s">
        <v>400</v>
      </c>
      <c r="J312" s="2">
        <v>295</v>
      </c>
      <c r="K312" s="12">
        <f t="shared" si="4"/>
        <v>5.4279999999999997E-3</v>
      </c>
    </row>
    <row r="313" spans="1:11">
      <c r="A313" s="10">
        <v>313</v>
      </c>
      <c r="B313" s="10" t="s">
        <v>407</v>
      </c>
      <c r="C313" s="10" t="s">
        <v>408</v>
      </c>
      <c r="D313" s="10" t="s">
        <v>899</v>
      </c>
      <c r="E313" s="2" t="s">
        <v>401</v>
      </c>
      <c r="F313" s="2"/>
      <c r="G313" s="2">
        <v>190</v>
      </c>
      <c r="H313" s="2" t="s">
        <v>355</v>
      </c>
      <c r="I313" s="2" t="s">
        <v>400</v>
      </c>
      <c r="J313" s="2">
        <v>214</v>
      </c>
      <c r="K313" s="12">
        <f t="shared" si="4"/>
        <v>4.0660000000000002E-3</v>
      </c>
    </row>
    <row r="314" spans="1:11">
      <c r="A314" s="10">
        <v>314</v>
      </c>
      <c r="B314" s="10" t="s">
        <v>407</v>
      </c>
      <c r="C314" s="10" t="s">
        <v>408</v>
      </c>
      <c r="D314" s="10" t="s">
        <v>899</v>
      </c>
      <c r="E314" s="2" t="s">
        <v>402</v>
      </c>
      <c r="F314" s="2"/>
      <c r="G314" s="2">
        <v>573</v>
      </c>
      <c r="H314" s="2" t="s">
        <v>355</v>
      </c>
      <c r="I314" s="2" t="s">
        <v>400</v>
      </c>
      <c r="J314" s="2">
        <v>443</v>
      </c>
      <c r="K314" s="12">
        <f t="shared" si="4"/>
        <v>2.5383900000000001E-2</v>
      </c>
    </row>
    <row r="315" spans="1:11">
      <c r="A315" s="10">
        <v>315</v>
      </c>
      <c r="B315" s="10" t="s">
        <v>407</v>
      </c>
      <c r="C315" s="10" t="s">
        <v>408</v>
      </c>
      <c r="D315" s="10" t="s">
        <v>899</v>
      </c>
      <c r="E315" s="2" t="s">
        <v>403</v>
      </c>
      <c r="F315" s="2"/>
      <c r="G315" s="2">
        <v>131</v>
      </c>
      <c r="H315" s="2" t="s">
        <v>355</v>
      </c>
      <c r="I315" s="2" t="s">
        <v>400</v>
      </c>
      <c r="J315" s="2">
        <v>334.35</v>
      </c>
      <c r="K315" s="12">
        <f t="shared" si="4"/>
        <v>4.3799850000000003E-3</v>
      </c>
    </row>
    <row r="316" spans="1:11">
      <c r="A316" s="10">
        <v>316</v>
      </c>
      <c r="B316" s="10" t="s">
        <v>407</v>
      </c>
      <c r="C316" s="10" t="s">
        <v>408</v>
      </c>
      <c r="D316" s="10" t="s">
        <v>899</v>
      </c>
      <c r="E316" s="2" t="s">
        <v>404</v>
      </c>
      <c r="F316" s="2"/>
      <c r="G316" s="2">
        <v>92</v>
      </c>
      <c r="H316" s="2" t="s">
        <v>355</v>
      </c>
      <c r="I316" s="2" t="s">
        <v>400</v>
      </c>
      <c r="J316" s="2">
        <v>696</v>
      </c>
      <c r="K316" s="12">
        <f t="shared" si="4"/>
        <v>6.4032000000000004E-3</v>
      </c>
    </row>
    <row r="317" spans="1:11" hidden="1">
      <c r="A317" s="10">
        <v>317</v>
      </c>
      <c r="B317" s="10" t="s">
        <v>407</v>
      </c>
      <c r="C317" s="10" t="s">
        <v>408</v>
      </c>
      <c r="D317" s="10" t="s">
        <v>980</v>
      </c>
      <c r="E317" s="2" t="s">
        <v>405</v>
      </c>
      <c r="F317" s="2"/>
      <c r="G317" s="2">
        <v>50</v>
      </c>
      <c r="H317" s="2" t="s">
        <v>182</v>
      </c>
      <c r="I317" s="2"/>
      <c r="J317" s="2">
        <v>2257.92</v>
      </c>
      <c r="K317" s="12">
        <f t="shared" si="4"/>
        <v>1.12896E-2</v>
      </c>
    </row>
    <row r="318" spans="1:11" hidden="1">
      <c r="A318" s="10">
        <v>318</v>
      </c>
      <c r="B318" s="10" t="s">
        <v>407</v>
      </c>
      <c r="C318" s="10" t="s">
        <v>408</v>
      </c>
      <c r="D318" s="10" t="s">
        <v>980</v>
      </c>
      <c r="E318" s="2" t="s">
        <v>406</v>
      </c>
      <c r="F318" s="2"/>
      <c r="G318" s="2">
        <v>60</v>
      </c>
      <c r="H318" s="2" t="s">
        <v>182</v>
      </c>
      <c r="I318" s="2"/>
      <c r="J318" s="2">
        <v>3763.19</v>
      </c>
      <c r="K318" s="12">
        <f t="shared" si="4"/>
        <v>2.2579140000000001E-2</v>
      </c>
    </row>
    <row r="319" spans="1:11" hidden="1">
      <c r="A319" s="10">
        <v>319</v>
      </c>
      <c r="B319" s="10" t="s">
        <v>416</v>
      </c>
      <c r="C319" s="10" t="s">
        <v>417</v>
      </c>
      <c r="D319" s="10" t="s">
        <v>897</v>
      </c>
      <c r="E319" s="2" t="s">
        <v>409</v>
      </c>
      <c r="F319" s="2" t="s">
        <v>410</v>
      </c>
      <c r="G319" s="36">
        <v>48</v>
      </c>
      <c r="H319" s="2" t="s">
        <v>182</v>
      </c>
      <c r="I319" s="2" t="s">
        <v>198</v>
      </c>
      <c r="J319" s="2">
        <v>366.81</v>
      </c>
      <c r="K319" s="12">
        <f t="shared" si="4"/>
        <v>1.7606880000000001E-3</v>
      </c>
    </row>
    <row r="320" spans="1:11" hidden="1">
      <c r="A320" s="10">
        <v>320</v>
      </c>
      <c r="B320" s="10" t="s">
        <v>416</v>
      </c>
      <c r="C320" s="10" t="s">
        <v>417</v>
      </c>
      <c r="D320" s="10" t="s">
        <v>897</v>
      </c>
      <c r="E320" s="2" t="s">
        <v>411</v>
      </c>
      <c r="F320" s="2" t="s">
        <v>410</v>
      </c>
      <c r="G320" s="36">
        <v>24</v>
      </c>
      <c r="H320" s="2" t="s">
        <v>182</v>
      </c>
      <c r="I320" s="2" t="s">
        <v>198</v>
      </c>
      <c r="J320" s="2">
        <v>694.12</v>
      </c>
      <c r="K320" s="12">
        <f t="shared" si="4"/>
        <v>1.6658880000000001E-3</v>
      </c>
    </row>
    <row r="321" spans="1:11" hidden="1">
      <c r="A321" s="10">
        <v>321</v>
      </c>
      <c r="B321" s="10" t="s">
        <v>416</v>
      </c>
      <c r="C321" s="10" t="s">
        <v>417</v>
      </c>
      <c r="D321" s="10" t="s">
        <v>895</v>
      </c>
      <c r="E321" s="2" t="s">
        <v>412</v>
      </c>
      <c r="F321" s="2" t="s">
        <v>413</v>
      </c>
      <c r="G321" s="36">
        <v>42</v>
      </c>
      <c r="H321" s="2" t="s">
        <v>182</v>
      </c>
      <c r="I321" s="2" t="s">
        <v>198</v>
      </c>
      <c r="J321" s="2">
        <v>181.25</v>
      </c>
      <c r="K321" s="12">
        <f t="shared" si="4"/>
        <v>7.6124999999999999E-4</v>
      </c>
    </row>
    <row r="322" spans="1:11" hidden="1">
      <c r="A322" s="10">
        <v>322</v>
      </c>
      <c r="B322" s="10" t="s">
        <v>416</v>
      </c>
      <c r="C322" s="10" t="s">
        <v>417</v>
      </c>
      <c r="D322" s="10" t="s">
        <v>895</v>
      </c>
      <c r="E322" s="2" t="s">
        <v>414</v>
      </c>
      <c r="F322" s="2" t="s">
        <v>415</v>
      </c>
      <c r="G322" s="36">
        <v>96</v>
      </c>
      <c r="H322" s="2" t="s">
        <v>182</v>
      </c>
      <c r="I322" s="2" t="s">
        <v>198</v>
      </c>
      <c r="J322" s="2">
        <v>478.19</v>
      </c>
      <c r="K322" s="12">
        <f t="shared" ref="K322:K385" si="5">(J322*G322)/10000000</f>
        <v>4.5906239999999997E-3</v>
      </c>
    </row>
    <row r="323" spans="1:11" hidden="1">
      <c r="A323" s="10">
        <v>323</v>
      </c>
      <c r="B323" s="10" t="s">
        <v>418</v>
      </c>
      <c r="C323" s="10" t="s">
        <v>421</v>
      </c>
      <c r="D323" s="10" t="s">
        <v>862</v>
      </c>
      <c r="E323" s="36" t="s">
        <v>419</v>
      </c>
      <c r="F323" s="2"/>
      <c r="G323" s="2">
        <v>7</v>
      </c>
      <c r="H323" s="2" t="s">
        <v>33</v>
      </c>
      <c r="I323" s="36" t="s">
        <v>420</v>
      </c>
      <c r="J323" s="2">
        <v>103000</v>
      </c>
      <c r="K323" s="12">
        <f t="shared" si="5"/>
        <v>7.2099999999999997E-2</v>
      </c>
    </row>
    <row r="324" spans="1:11" hidden="1">
      <c r="A324" s="10">
        <v>324</v>
      </c>
      <c r="B324" s="10" t="s">
        <v>422</v>
      </c>
      <c r="C324" s="10" t="s">
        <v>439</v>
      </c>
      <c r="D324" s="10" t="s">
        <v>895</v>
      </c>
      <c r="E324" s="2" t="s">
        <v>423</v>
      </c>
      <c r="F324" s="2" t="s">
        <v>424</v>
      </c>
      <c r="G324" s="2">
        <v>60</v>
      </c>
      <c r="H324" s="2" t="s">
        <v>14</v>
      </c>
      <c r="I324" s="2" t="s">
        <v>425</v>
      </c>
      <c r="J324" s="2">
        <v>2044</v>
      </c>
      <c r="K324" s="12">
        <f t="shared" si="5"/>
        <v>1.2264000000000001E-2</v>
      </c>
    </row>
    <row r="325" spans="1:11" hidden="1">
      <c r="A325" s="10">
        <v>325</v>
      </c>
      <c r="B325" s="10" t="s">
        <v>422</v>
      </c>
      <c r="C325" s="10" t="s">
        <v>439</v>
      </c>
      <c r="D325" s="10" t="s">
        <v>895</v>
      </c>
      <c r="E325" s="2" t="s">
        <v>426</v>
      </c>
      <c r="F325" s="2" t="s">
        <v>424</v>
      </c>
      <c r="G325" s="2">
        <v>1002</v>
      </c>
      <c r="H325" s="2" t="s">
        <v>14</v>
      </c>
      <c r="I325" s="2" t="s">
        <v>425</v>
      </c>
      <c r="J325" s="2">
        <v>176</v>
      </c>
      <c r="K325" s="12">
        <f t="shared" si="5"/>
        <v>1.76352E-2</v>
      </c>
    </row>
    <row r="326" spans="1:11" hidden="1">
      <c r="A326" s="10">
        <v>326</v>
      </c>
      <c r="B326" s="10" t="s">
        <v>422</v>
      </c>
      <c r="C326" s="10" t="s">
        <v>439</v>
      </c>
      <c r="D326" s="10" t="s">
        <v>897</v>
      </c>
      <c r="E326" s="2" t="s">
        <v>427</v>
      </c>
      <c r="F326" s="2" t="s">
        <v>428</v>
      </c>
      <c r="G326" s="2">
        <v>2000</v>
      </c>
      <c r="H326" s="2" t="s">
        <v>14</v>
      </c>
      <c r="I326" s="2" t="s">
        <v>429</v>
      </c>
      <c r="J326" s="2">
        <v>355</v>
      </c>
      <c r="K326" s="12">
        <f t="shared" si="5"/>
        <v>7.0999999999999994E-2</v>
      </c>
    </row>
    <row r="327" spans="1:11" ht="29" hidden="1">
      <c r="A327" s="10">
        <v>327</v>
      </c>
      <c r="B327" s="10" t="s">
        <v>422</v>
      </c>
      <c r="C327" s="10" t="s">
        <v>439</v>
      </c>
      <c r="D327" s="10" t="s">
        <v>897</v>
      </c>
      <c r="E327" s="36" t="s">
        <v>430</v>
      </c>
      <c r="F327" s="2" t="s">
        <v>428</v>
      </c>
      <c r="G327" s="2">
        <v>13</v>
      </c>
      <c r="H327" s="2" t="s">
        <v>431</v>
      </c>
      <c r="I327" s="2" t="s">
        <v>432</v>
      </c>
      <c r="J327" s="2">
        <v>6950</v>
      </c>
      <c r="K327" s="12">
        <f t="shared" si="5"/>
        <v>9.0349999999999996E-3</v>
      </c>
    </row>
    <row r="328" spans="1:11">
      <c r="A328" s="10">
        <v>328</v>
      </c>
      <c r="B328" s="10" t="s">
        <v>422</v>
      </c>
      <c r="C328" s="10" t="s">
        <v>439</v>
      </c>
      <c r="D328" s="10" t="s">
        <v>899</v>
      </c>
      <c r="E328" s="2" t="s">
        <v>433</v>
      </c>
      <c r="F328" s="2" t="s">
        <v>434</v>
      </c>
      <c r="G328" s="2">
        <v>16</v>
      </c>
      <c r="H328" s="2" t="s">
        <v>14</v>
      </c>
      <c r="I328" s="2" t="s">
        <v>435</v>
      </c>
      <c r="J328" s="11">
        <v>1054</v>
      </c>
      <c r="K328" s="12">
        <f t="shared" si="5"/>
        <v>1.6864E-3</v>
      </c>
    </row>
    <row r="329" spans="1:11">
      <c r="A329" s="10">
        <v>329</v>
      </c>
      <c r="B329" s="10" t="s">
        <v>422</v>
      </c>
      <c r="C329" s="10" t="s">
        <v>439</v>
      </c>
      <c r="D329" s="10" t="s">
        <v>899</v>
      </c>
      <c r="E329" s="2" t="s">
        <v>436</v>
      </c>
      <c r="F329" s="2" t="s">
        <v>434</v>
      </c>
      <c r="G329" s="2">
        <v>135</v>
      </c>
      <c r="H329" s="2" t="s">
        <v>14</v>
      </c>
      <c r="I329" s="2" t="s">
        <v>437</v>
      </c>
      <c r="J329" s="11">
        <v>1112.8</v>
      </c>
      <c r="K329" s="12">
        <f t="shared" si="5"/>
        <v>1.5022799999999999E-2</v>
      </c>
    </row>
    <row r="330" spans="1:11">
      <c r="A330" s="10">
        <v>330</v>
      </c>
      <c r="B330" s="10" t="s">
        <v>422</v>
      </c>
      <c r="C330" s="10" t="s">
        <v>439</v>
      </c>
      <c r="D330" s="10" t="s">
        <v>899</v>
      </c>
      <c r="E330" s="2" t="s">
        <v>438</v>
      </c>
      <c r="F330" s="2" t="s">
        <v>434</v>
      </c>
      <c r="G330" s="2">
        <v>72</v>
      </c>
      <c r="H330" s="2" t="s">
        <v>14</v>
      </c>
      <c r="I330" s="2" t="s">
        <v>437</v>
      </c>
      <c r="J330" s="11">
        <v>1730.25</v>
      </c>
      <c r="K330" s="12">
        <f t="shared" si="5"/>
        <v>1.24578E-2</v>
      </c>
    </row>
    <row r="331" spans="1:11">
      <c r="A331" s="10">
        <v>331</v>
      </c>
      <c r="B331" s="10" t="s">
        <v>422</v>
      </c>
      <c r="C331" s="10" t="s">
        <v>439</v>
      </c>
      <c r="D331" s="10" t="s">
        <v>899</v>
      </c>
      <c r="E331" s="2" t="s">
        <v>438</v>
      </c>
      <c r="F331" s="2" t="s">
        <v>434</v>
      </c>
      <c r="G331" s="2">
        <v>37</v>
      </c>
      <c r="H331" s="2" t="s">
        <v>14</v>
      </c>
      <c r="I331" s="2" t="s">
        <v>437</v>
      </c>
      <c r="J331" s="11">
        <v>1730.25</v>
      </c>
      <c r="K331" s="12">
        <f t="shared" si="5"/>
        <v>6.4019250000000002E-3</v>
      </c>
    </row>
    <row r="332" spans="1:11" hidden="1">
      <c r="A332" s="10">
        <v>332</v>
      </c>
      <c r="B332" s="10" t="s">
        <v>563</v>
      </c>
      <c r="C332" s="10" t="s">
        <v>564</v>
      </c>
      <c r="D332" s="10" t="s">
        <v>897</v>
      </c>
      <c r="E332" s="2" t="s">
        <v>440</v>
      </c>
      <c r="F332" s="2" t="s">
        <v>441</v>
      </c>
      <c r="G332" s="2">
        <v>90</v>
      </c>
      <c r="H332" s="2" t="s">
        <v>442</v>
      </c>
      <c r="I332" s="2" t="s">
        <v>443</v>
      </c>
      <c r="J332" s="35">
        <v>2350</v>
      </c>
      <c r="K332" s="12">
        <f t="shared" si="5"/>
        <v>2.1149999999999999E-2</v>
      </c>
    </row>
    <row r="333" spans="1:11" hidden="1">
      <c r="A333" s="10">
        <v>333</v>
      </c>
      <c r="B333" s="10" t="s">
        <v>563</v>
      </c>
      <c r="C333" s="10" t="s">
        <v>564</v>
      </c>
      <c r="D333" s="10" t="s">
        <v>862</v>
      </c>
      <c r="E333" s="2" t="s">
        <v>444</v>
      </c>
      <c r="F333" s="2" t="s">
        <v>445</v>
      </c>
      <c r="G333" s="2">
        <v>10</v>
      </c>
      <c r="H333" s="2" t="s">
        <v>442</v>
      </c>
      <c r="I333" s="2" t="s">
        <v>446</v>
      </c>
      <c r="J333" s="35">
        <v>1265</v>
      </c>
      <c r="K333" s="12">
        <f t="shared" si="5"/>
        <v>1.2650000000000001E-3</v>
      </c>
    </row>
    <row r="334" spans="1:11" hidden="1">
      <c r="A334" s="10">
        <v>334</v>
      </c>
      <c r="B334" s="10" t="s">
        <v>563</v>
      </c>
      <c r="C334" s="10" t="s">
        <v>564</v>
      </c>
      <c r="D334" s="10" t="s">
        <v>862</v>
      </c>
      <c r="E334" s="2" t="s">
        <v>444</v>
      </c>
      <c r="F334" s="2" t="s">
        <v>445</v>
      </c>
      <c r="G334" s="2">
        <v>2</v>
      </c>
      <c r="H334" s="2" t="s">
        <v>442</v>
      </c>
      <c r="I334" s="2" t="s">
        <v>246</v>
      </c>
      <c r="J334" s="2"/>
      <c r="K334" s="12">
        <f t="shared" si="5"/>
        <v>0</v>
      </c>
    </row>
    <row r="335" spans="1:11" hidden="1">
      <c r="A335" s="10">
        <v>335</v>
      </c>
      <c r="B335" s="10" t="s">
        <v>563</v>
      </c>
      <c r="C335" s="10" t="s">
        <v>564</v>
      </c>
      <c r="D335" s="10" t="s">
        <v>862</v>
      </c>
      <c r="E335" s="2" t="s">
        <v>444</v>
      </c>
      <c r="F335" s="2" t="s">
        <v>447</v>
      </c>
      <c r="G335" s="2">
        <v>2</v>
      </c>
      <c r="H335" s="2" t="s">
        <v>442</v>
      </c>
      <c r="I335" s="2" t="s">
        <v>446</v>
      </c>
      <c r="J335" s="35">
        <v>2008.8</v>
      </c>
      <c r="K335" s="12">
        <f t="shared" si="5"/>
        <v>4.0175999999999998E-4</v>
      </c>
    </row>
    <row r="336" spans="1:11" hidden="1">
      <c r="A336" s="10">
        <v>336</v>
      </c>
      <c r="B336" s="10" t="s">
        <v>563</v>
      </c>
      <c r="C336" s="10" t="s">
        <v>564</v>
      </c>
      <c r="D336" s="10" t="s">
        <v>862</v>
      </c>
      <c r="E336" s="2" t="s">
        <v>444</v>
      </c>
      <c r="F336" s="2" t="s">
        <v>447</v>
      </c>
      <c r="G336" s="2">
        <v>2</v>
      </c>
      <c r="H336" s="2" t="s">
        <v>442</v>
      </c>
      <c r="I336" s="39" t="s">
        <v>448</v>
      </c>
      <c r="J336" s="35">
        <v>2157.6</v>
      </c>
      <c r="K336" s="12">
        <f t="shared" si="5"/>
        <v>4.3151999999999996E-4</v>
      </c>
    </row>
    <row r="337" spans="1:11" hidden="1">
      <c r="A337" s="10">
        <v>337</v>
      </c>
      <c r="B337" s="10" t="s">
        <v>563</v>
      </c>
      <c r="C337" s="10" t="s">
        <v>564</v>
      </c>
      <c r="D337" s="10" t="s">
        <v>862</v>
      </c>
      <c r="E337" s="2" t="s">
        <v>444</v>
      </c>
      <c r="F337" s="2" t="s">
        <v>449</v>
      </c>
      <c r="G337" s="2">
        <v>2</v>
      </c>
      <c r="H337" s="2" t="s">
        <v>442</v>
      </c>
      <c r="I337" s="2" t="s">
        <v>446</v>
      </c>
      <c r="J337" s="35">
        <v>6291</v>
      </c>
      <c r="K337" s="12">
        <f t="shared" si="5"/>
        <v>1.2581999999999999E-3</v>
      </c>
    </row>
    <row r="338" spans="1:11" hidden="1">
      <c r="A338" s="10">
        <v>338</v>
      </c>
      <c r="B338" s="10" t="s">
        <v>563</v>
      </c>
      <c r="C338" s="10" t="s">
        <v>564</v>
      </c>
      <c r="D338" s="10" t="s">
        <v>862</v>
      </c>
      <c r="E338" s="2" t="s">
        <v>450</v>
      </c>
      <c r="F338" s="2" t="s">
        <v>451</v>
      </c>
      <c r="G338" s="2">
        <v>180</v>
      </c>
      <c r="H338" s="2" t="s">
        <v>442</v>
      </c>
      <c r="I338" s="2" t="s">
        <v>446</v>
      </c>
      <c r="J338" s="25">
        <v>473</v>
      </c>
      <c r="K338" s="12">
        <f t="shared" si="5"/>
        <v>8.5140000000000007E-3</v>
      </c>
    </row>
    <row r="339" spans="1:11" hidden="1">
      <c r="A339" s="10">
        <v>339</v>
      </c>
      <c r="B339" s="10" t="s">
        <v>563</v>
      </c>
      <c r="C339" s="10" t="s">
        <v>564</v>
      </c>
      <c r="D339" s="10" t="s">
        <v>862</v>
      </c>
      <c r="E339" s="2" t="s">
        <v>450</v>
      </c>
      <c r="F339" s="2" t="s">
        <v>452</v>
      </c>
      <c r="G339" s="2">
        <v>50</v>
      </c>
      <c r="H339" s="2" t="s">
        <v>442</v>
      </c>
      <c r="I339" s="2" t="s">
        <v>453</v>
      </c>
      <c r="J339" s="2"/>
      <c r="K339" s="12">
        <f t="shared" si="5"/>
        <v>0</v>
      </c>
    </row>
    <row r="340" spans="1:11" hidden="1">
      <c r="A340" s="10">
        <v>340</v>
      </c>
      <c r="B340" s="10" t="s">
        <v>563</v>
      </c>
      <c r="C340" s="10" t="s">
        <v>564</v>
      </c>
      <c r="D340" s="10" t="s">
        <v>895</v>
      </c>
      <c r="E340" s="2" t="s">
        <v>454</v>
      </c>
      <c r="F340" s="2" t="s">
        <v>455</v>
      </c>
      <c r="G340" s="2">
        <v>30</v>
      </c>
      <c r="H340" s="2" t="s">
        <v>182</v>
      </c>
      <c r="I340" s="2" t="s">
        <v>456</v>
      </c>
      <c r="J340" s="35">
        <v>4680</v>
      </c>
      <c r="K340" s="12">
        <f t="shared" si="5"/>
        <v>1.404E-2</v>
      </c>
    </row>
    <row r="341" spans="1:11" hidden="1">
      <c r="A341" s="10">
        <v>341</v>
      </c>
      <c r="B341" s="10" t="s">
        <v>563</v>
      </c>
      <c r="C341" s="10" t="s">
        <v>564</v>
      </c>
      <c r="D341" s="10" t="s">
        <v>895</v>
      </c>
      <c r="E341" s="2" t="s">
        <v>454</v>
      </c>
      <c r="F341" s="2" t="s">
        <v>457</v>
      </c>
      <c r="G341" s="2">
        <v>30</v>
      </c>
      <c r="H341" s="2" t="s">
        <v>182</v>
      </c>
      <c r="I341" s="2" t="s">
        <v>456</v>
      </c>
      <c r="J341" s="35">
        <v>3470</v>
      </c>
      <c r="K341" s="12">
        <f t="shared" si="5"/>
        <v>1.0410000000000001E-2</v>
      </c>
    </row>
    <row r="342" spans="1:11" hidden="1">
      <c r="A342" s="10">
        <v>342</v>
      </c>
      <c r="B342" s="10" t="s">
        <v>563</v>
      </c>
      <c r="C342" s="10" t="s">
        <v>564</v>
      </c>
      <c r="D342" s="10" t="s">
        <v>895</v>
      </c>
      <c r="E342" s="2" t="s">
        <v>454</v>
      </c>
      <c r="F342" s="2" t="s">
        <v>458</v>
      </c>
      <c r="G342" s="2">
        <v>12</v>
      </c>
      <c r="H342" s="2" t="s">
        <v>182</v>
      </c>
      <c r="I342" s="2" t="s">
        <v>456</v>
      </c>
      <c r="J342" s="35">
        <v>2955</v>
      </c>
      <c r="K342" s="12">
        <f t="shared" si="5"/>
        <v>3.5460000000000001E-3</v>
      </c>
    </row>
    <row r="343" spans="1:11" hidden="1">
      <c r="A343" s="10">
        <v>343</v>
      </c>
      <c r="B343" s="10" t="s">
        <v>563</v>
      </c>
      <c r="C343" s="10" t="s">
        <v>564</v>
      </c>
      <c r="D343" s="10" t="s">
        <v>895</v>
      </c>
      <c r="E343" s="2" t="s">
        <v>454</v>
      </c>
      <c r="F343" s="2" t="s">
        <v>449</v>
      </c>
      <c r="G343" s="2">
        <v>50</v>
      </c>
      <c r="H343" s="2" t="s">
        <v>182</v>
      </c>
      <c r="I343" s="2" t="s">
        <v>456</v>
      </c>
      <c r="J343" s="35">
        <v>2280</v>
      </c>
      <c r="K343" s="12">
        <f t="shared" si="5"/>
        <v>1.14E-2</v>
      </c>
    </row>
    <row r="344" spans="1:11" hidden="1">
      <c r="A344" s="10">
        <v>344</v>
      </c>
      <c r="B344" s="10" t="s">
        <v>563</v>
      </c>
      <c r="C344" s="10" t="s">
        <v>564</v>
      </c>
      <c r="D344" s="10" t="s">
        <v>895</v>
      </c>
      <c r="E344" s="2" t="s">
        <v>454</v>
      </c>
      <c r="F344" s="2" t="s">
        <v>459</v>
      </c>
      <c r="G344" s="2">
        <v>150</v>
      </c>
      <c r="H344" s="2" t="s">
        <v>182</v>
      </c>
      <c r="I344" s="2" t="s">
        <v>456</v>
      </c>
      <c r="J344" s="35">
        <v>1147</v>
      </c>
      <c r="K344" s="12">
        <f t="shared" si="5"/>
        <v>1.7205000000000002E-2</v>
      </c>
    </row>
    <row r="345" spans="1:11" hidden="1">
      <c r="A345" s="10">
        <v>345</v>
      </c>
      <c r="B345" s="10" t="s">
        <v>563</v>
      </c>
      <c r="C345" s="10" t="s">
        <v>564</v>
      </c>
      <c r="D345" s="10" t="s">
        <v>895</v>
      </c>
      <c r="E345" s="2" t="s">
        <v>454</v>
      </c>
      <c r="F345" s="2" t="s">
        <v>447</v>
      </c>
      <c r="G345" s="2">
        <v>40</v>
      </c>
      <c r="H345" s="2" t="s">
        <v>182</v>
      </c>
      <c r="I345" s="2" t="s">
        <v>456</v>
      </c>
      <c r="J345" s="25">
        <v>797</v>
      </c>
      <c r="K345" s="12">
        <f t="shared" si="5"/>
        <v>3.1879999999999999E-3</v>
      </c>
    </row>
    <row r="346" spans="1:11" hidden="1">
      <c r="A346" s="10">
        <v>346</v>
      </c>
      <c r="B346" s="10" t="s">
        <v>563</v>
      </c>
      <c r="C346" s="10" t="s">
        <v>564</v>
      </c>
      <c r="D346" s="10" t="s">
        <v>895</v>
      </c>
      <c r="E346" s="2" t="s">
        <v>454</v>
      </c>
      <c r="F346" s="2" t="s">
        <v>460</v>
      </c>
      <c r="G346" s="2">
        <v>60</v>
      </c>
      <c r="H346" s="2" t="s">
        <v>182</v>
      </c>
      <c r="I346" s="2" t="s">
        <v>456</v>
      </c>
      <c r="J346" s="25">
        <v>537</v>
      </c>
      <c r="K346" s="12">
        <f t="shared" si="5"/>
        <v>3.222E-3</v>
      </c>
    </row>
    <row r="347" spans="1:11" hidden="1">
      <c r="A347" s="10">
        <v>347</v>
      </c>
      <c r="B347" s="10" t="s">
        <v>563</v>
      </c>
      <c r="C347" s="10" t="s">
        <v>564</v>
      </c>
      <c r="D347" s="10" t="s">
        <v>895</v>
      </c>
      <c r="E347" s="2" t="s">
        <v>454</v>
      </c>
      <c r="F347" s="2" t="s">
        <v>461</v>
      </c>
      <c r="G347" s="2">
        <v>40</v>
      </c>
      <c r="H347" s="2" t="s">
        <v>182</v>
      </c>
      <c r="I347" s="2" t="s">
        <v>456</v>
      </c>
      <c r="J347" s="25">
        <v>541</v>
      </c>
      <c r="K347" s="12">
        <f t="shared" si="5"/>
        <v>2.1640000000000001E-3</v>
      </c>
    </row>
    <row r="348" spans="1:11" hidden="1">
      <c r="A348" s="10">
        <v>348</v>
      </c>
      <c r="B348" s="10" t="s">
        <v>563</v>
      </c>
      <c r="C348" s="10" t="s">
        <v>564</v>
      </c>
      <c r="D348" s="10" t="s">
        <v>895</v>
      </c>
      <c r="E348" s="2" t="s">
        <v>454</v>
      </c>
      <c r="F348" s="2" t="s">
        <v>462</v>
      </c>
      <c r="G348" s="2">
        <v>50</v>
      </c>
      <c r="H348" s="2" t="s">
        <v>182</v>
      </c>
      <c r="I348" s="2" t="s">
        <v>456</v>
      </c>
      <c r="J348" s="25">
        <v>340</v>
      </c>
      <c r="K348" s="12">
        <f t="shared" si="5"/>
        <v>1.6999999999999999E-3</v>
      </c>
    </row>
    <row r="349" spans="1:11" hidden="1">
      <c r="A349" s="10">
        <v>349</v>
      </c>
      <c r="B349" s="10" t="s">
        <v>563</v>
      </c>
      <c r="C349" s="10" t="s">
        <v>564</v>
      </c>
      <c r="D349" s="10" t="s">
        <v>897</v>
      </c>
      <c r="E349" s="36" t="s">
        <v>463</v>
      </c>
      <c r="F349" s="36" t="s">
        <v>464</v>
      </c>
      <c r="G349" s="2">
        <v>7</v>
      </c>
      <c r="H349" s="2" t="s">
        <v>442</v>
      </c>
      <c r="I349" s="2" t="s">
        <v>465</v>
      </c>
      <c r="J349" s="35">
        <v>10475</v>
      </c>
      <c r="K349" s="12">
        <f t="shared" si="5"/>
        <v>7.3324999999999996E-3</v>
      </c>
    </row>
    <row r="350" spans="1:11" hidden="1">
      <c r="A350" s="10">
        <v>350</v>
      </c>
      <c r="B350" s="10" t="s">
        <v>563</v>
      </c>
      <c r="C350" s="10" t="s">
        <v>564</v>
      </c>
      <c r="D350" s="10" t="s">
        <v>897</v>
      </c>
      <c r="E350" s="2" t="s">
        <v>466</v>
      </c>
      <c r="F350" s="2" t="s">
        <v>467</v>
      </c>
      <c r="G350" s="2">
        <v>6</v>
      </c>
      <c r="H350" s="2" t="s">
        <v>442</v>
      </c>
      <c r="I350" s="2" t="s">
        <v>468</v>
      </c>
      <c r="J350" s="2"/>
      <c r="K350" s="12">
        <f t="shared" si="5"/>
        <v>0</v>
      </c>
    </row>
    <row r="351" spans="1:11" hidden="1">
      <c r="A351" s="10">
        <v>351</v>
      </c>
      <c r="B351" s="10" t="s">
        <v>563</v>
      </c>
      <c r="C351" s="10" t="s">
        <v>564</v>
      </c>
      <c r="D351" s="10" t="s">
        <v>981</v>
      </c>
      <c r="E351" s="2" t="s">
        <v>469</v>
      </c>
      <c r="F351" s="2" t="s">
        <v>458</v>
      </c>
      <c r="G351" s="2">
        <v>12</v>
      </c>
      <c r="H351" s="2" t="s">
        <v>182</v>
      </c>
      <c r="I351" s="2" t="s">
        <v>470</v>
      </c>
      <c r="J351" s="25">
        <v>102.6</v>
      </c>
      <c r="K351" s="12">
        <f t="shared" si="5"/>
        <v>1.2311999999999997E-4</v>
      </c>
    </row>
    <row r="352" spans="1:11" hidden="1">
      <c r="A352" s="10">
        <v>352</v>
      </c>
      <c r="B352" s="10" t="s">
        <v>563</v>
      </c>
      <c r="C352" s="10" t="s">
        <v>564</v>
      </c>
      <c r="D352" s="10" t="s">
        <v>981</v>
      </c>
      <c r="E352" s="2" t="s">
        <v>469</v>
      </c>
      <c r="F352" s="2" t="s">
        <v>471</v>
      </c>
      <c r="G352" s="2">
        <v>6</v>
      </c>
      <c r="H352" s="2" t="s">
        <v>182</v>
      </c>
      <c r="I352" s="2" t="s">
        <v>470</v>
      </c>
      <c r="J352" s="25">
        <v>930</v>
      </c>
      <c r="K352" s="12">
        <f t="shared" si="5"/>
        <v>5.5800000000000001E-4</v>
      </c>
    </row>
    <row r="353" spans="1:11" hidden="1">
      <c r="A353" s="10">
        <v>353</v>
      </c>
      <c r="B353" s="10" t="s">
        <v>563</v>
      </c>
      <c r="C353" s="10" t="s">
        <v>564</v>
      </c>
      <c r="D353" s="10" t="s">
        <v>981</v>
      </c>
      <c r="E353" s="2" t="s">
        <v>469</v>
      </c>
      <c r="F353" s="2" t="s">
        <v>445</v>
      </c>
      <c r="G353" s="2">
        <v>50</v>
      </c>
      <c r="H353" s="2" t="s">
        <v>182</v>
      </c>
      <c r="I353" s="2" t="s">
        <v>470</v>
      </c>
      <c r="J353" s="25">
        <v>295</v>
      </c>
      <c r="K353" s="12">
        <f t="shared" si="5"/>
        <v>1.475E-3</v>
      </c>
    </row>
    <row r="354" spans="1:11" hidden="1">
      <c r="A354" s="10">
        <v>354</v>
      </c>
      <c r="B354" s="10" t="s">
        <v>563</v>
      </c>
      <c r="C354" s="10" t="s">
        <v>564</v>
      </c>
      <c r="D354" s="10" t="s">
        <v>981</v>
      </c>
      <c r="E354" s="2" t="s">
        <v>469</v>
      </c>
      <c r="F354" s="2" t="s">
        <v>472</v>
      </c>
      <c r="G354" s="2">
        <v>60</v>
      </c>
      <c r="H354" s="2" t="s">
        <v>182</v>
      </c>
      <c r="I354" s="2" t="s">
        <v>470</v>
      </c>
      <c r="J354" s="25">
        <v>176.13</v>
      </c>
      <c r="K354" s="12">
        <f t="shared" si="5"/>
        <v>1.05678E-3</v>
      </c>
    </row>
    <row r="355" spans="1:11" hidden="1">
      <c r="A355" s="10">
        <v>355</v>
      </c>
      <c r="B355" s="10" t="s">
        <v>563</v>
      </c>
      <c r="C355" s="10" t="s">
        <v>564</v>
      </c>
      <c r="D355" s="10" t="s">
        <v>981</v>
      </c>
      <c r="E355" s="2" t="s">
        <v>469</v>
      </c>
      <c r="F355" s="2" t="s">
        <v>460</v>
      </c>
      <c r="G355" s="2">
        <v>20</v>
      </c>
      <c r="H355" s="2" t="s">
        <v>182</v>
      </c>
      <c r="I355" s="2" t="s">
        <v>470</v>
      </c>
      <c r="J355" s="25">
        <v>129.96</v>
      </c>
      <c r="K355" s="12">
        <f t="shared" si="5"/>
        <v>2.5992000000000002E-4</v>
      </c>
    </row>
    <row r="356" spans="1:11" hidden="1">
      <c r="A356" s="10">
        <v>356</v>
      </c>
      <c r="B356" s="10" t="s">
        <v>563</v>
      </c>
      <c r="C356" s="10" t="s">
        <v>564</v>
      </c>
      <c r="D356" s="10" t="s">
        <v>981</v>
      </c>
      <c r="E356" s="2" t="s">
        <v>469</v>
      </c>
      <c r="F356" s="2" t="s">
        <v>473</v>
      </c>
      <c r="G356" s="2">
        <v>5</v>
      </c>
      <c r="H356" s="2" t="s">
        <v>182</v>
      </c>
      <c r="I356" s="2" t="s">
        <v>470</v>
      </c>
      <c r="J356" s="25">
        <v>79.23</v>
      </c>
      <c r="K356" s="12">
        <f t="shared" si="5"/>
        <v>3.9615000000000006E-5</v>
      </c>
    </row>
    <row r="357" spans="1:11" hidden="1">
      <c r="A357" s="10">
        <v>357</v>
      </c>
      <c r="B357" s="10" t="s">
        <v>563</v>
      </c>
      <c r="C357" s="10" t="s">
        <v>564</v>
      </c>
      <c r="D357" s="10" t="s">
        <v>981</v>
      </c>
      <c r="E357" s="36" t="s">
        <v>474</v>
      </c>
      <c r="F357" s="36" t="s">
        <v>475</v>
      </c>
      <c r="G357" s="2">
        <v>30</v>
      </c>
      <c r="H357" s="2" t="s">
        <v>476</v>
      </c>
      <c r="I357" s="2" t="s">
        <v>477</v>
      </c>
      <c r="J357" s="25">
        <v>402.04</v>
      </c>
      <c r="K357" s="12">
        <f t="shared" si="5"/>
        <v>1.20612E-3</v>
      </c>
    </row>
    <row r="358" spans="1:11" ht="14.5" hidden="1" customHeight="1">
      <c r="A358" s="10">
        <v>358</v>
      </c>
      <c r="B358" s="10" t="s">
        <v>563</v>
      </c>
      <c r="C358" s="10" t="s">
        <v>564</v>
      </c>
      <c r="D358" s="10" t="s">
        <v>982</v>
      </c>
      <c r="E358" s="2" t="s">
        <v>478</v>
      </c>
      <c r="F358" s="2" t="s">
        <v>479</v>
      </c>
      <c r="G358" s="2">
        <v>1</v>
      </c>
      <c r="H358" s="2" t="s">
        <v>442</v>
      </c>
      <c r="I358" s="2" t="s">
        <v>480</v>
      </c>
      <c r="J358" s="39">
        <v>4347</v>
      </c>
      <c r="K358" s="12">
        <f t="shared" si="5"/>
        <v>4.347E-4</v>
      </c>
    </row>
    <row r="359" spans="1:11" hidden="1">
      <c r="A359" s="10">
        <v>359</v>
      </c>
      <c r="B359" s="10" t="s">
        <v>563</v>
      </c>
      <c r="C359" s="10" t="s">
        <v>564</v>
      </c>
      <c r="D359" s="10" t="s">
        <v>982</v>
      </c>
      <c r="E359" s="2" t="s">
        <v>478</v>
      </c>
      <c r="F359" s="2" t="s">
        <v>481</v>
      </c>
      <c r="G359" s="2">
        <v>1</v>
      </c>
      <c r="H359" s="2" t="s">
        <v>442</v>
      </c>
      <c r="I359" s="2" t="s">
        <v>480</v>
      </c>
      <c r="J359" s="39">
        <v>2173.5</v>
      </c>
      <c r="K359" s="12">
        <f t="shared" si="5"/>
        <v>2.1735E-4</v>
      </c>
    </row>
    <row r="360" spans="1:11" hidden="1">
      <c r="A360" s="10">
        <v>360</v>
      </c>
      <c r="B360" s="10" t="s">
        <v>563</v>
      </c>
      <c r="C360" s="10" t="s">
        <v>564</v>
      </c>
      <c r="D360" s="10" t="s">
        <v>982</v>
      </c>
      <c r="E360" s="2" t="s">
        <v>478</v>
      </c>
      <c r="F360" s="2" t="s">
        <v>482</v>
      </c>
      <c r="G360" s="2">
        <v>1</v>
      </c>
      <c r="H360" s="2" t="s">
        <v>442</v>
      </c>
      <c r="I360" s="2" t="s">
        <v>480</v>
      </c>
      <c r="J360" s="39">
        <v>1035</v>
      </c>
      <c r="K360" s="12">
        <f t="shared" si="5"/>
        <v>1.0349999999999999E-4</v>
      </c>
    </row>
    <row r="361" spans="1:11" hidden="1">
      <c r="A361" s="10">
        <v>361</v>
      </c>
      <c r="B361" s="10" t="s">
        <v>563</v>
      </c>
      <c r="C361" s="10" t="s">
        <v>564</v>
      </c>
      <c r="D361" s="10" t="s">
        <v>982</v>
      </c>
      <c r="E361" s="2" t="s">
        <v>478</v>
      </c>
      <c r="F361" s="2" t="s">
        <v>483</v>
      </c>
      <c r="G361" s="2">
        <v>1</v>
      </c>
      <c r="H361" s="2" t="s">
        <v>442</v>
      </c>
      <c r="I361" s="2" t="s">
        <v>480</v>
      </c>
      <c r="J361" s="39">
        <v>690</v>
      </c>
      <c r="K361" s="12">
        <f t="shared" si="5"/>
        <v>6.8999999999999997E-5</v>
      </c>
    </row>
    <row r="362" spans="1:11" hidden="1">
      <c r="A362" s="10">
        <v>362</v>
      </c>
      <c r="B362" s="10" t="s">
        <v>563</v>
      </c>
      <c r="C362" s="10" t="s">
        <v>564</v>
      </c>
      <c r="D362" s="10" t="s">
        <v>982</v>
      </c>
      <c r="E362" s="2" t="s">
        <v>478</v>
      </c>
      <c r="F362" s="2" t="s">
        <v>484</v>
      </c>
      <c r="G362" s="2">
        <v>1</v>
      </c>
      <c r="H362" s="2" t="s">
        <v>442</v>
      </c>
      <c r="I362" s="2" t="s">
        <v>480</v>
      </c>
      <c r="J362" s="39">
        <v>948.75000000000011</v>
      </c>
      <c r="K362" s="12">
        <f t="shared" si="5"/>
        <v>9.4875000000000016E-5</v>
      </c>
    </row>
    <row r="363" spans="1:11" hidden="1">
      <c r="A363" s="10">
        <v>363</v>
      </c>
      <c r="B363" s="10" t="s">
        <v>563</v>
      </c>
      <c r="C363" s="10" t="s">
        <v>564</v>
      </c>
      <c r="D363" s="10" t="s">
        <v>982</v>
      </c>
      <c r="E363" s="2" t="s">
        <v>478</v>
      </c>
      <c r="F363" s="2" t="s">
        <v>485</v>
      </c>
      <c r="G363" s="2">
        <v>1</v>
      </c>
      <c r="H363" s="2" t="s">
        <v>442</v>
      </c>
      <c r="I363" s="2" t="s">
        <v>480</v>
      </c>
      <c r="J363" s="39">
        <v>1035</v>
      </c>
      <c r="K363" s="12">
        <f t="shared" si="5"/>
        <v>1.0349999999999999E-4</v>
      </c>
    </row>
    <row r="364" spans="1:11" hidden="1">
      <c r="A364" s="10">
        <v>364</v>
      </c>
      <c r="B364" s="10" t="s">
        <v>563</v>
      </c>
      <c r="C364" s="10" t="s">
        <v>564</v>
      </c>
      <c r="D364" s="10" t="s">
        <v>982</v>
      </c>
      <c r="E364" s="2" t="s">
        <v>478</v>
      </c>
      <c r="F364" s="2" t="s">
        <v>486</v>
      </c>
      <c r="G364" s="2">
        <v>1</v>
      </c>
      <c r="H364" s="2" t="s">
        <v>442</v>
      </c>
      <c r="I364" s="2" t="s">
        <v>480</v>
      </c>
      <c r="J364" s="39">
        <v>690</v>
      </c>
      <c r="K364" s="12">
        <f t="shared" si="5"/>
        <v>6.8999999999999997E-5</v>
      </c>
    </row>
    <row r="365" spans="1:11" hidden="1">
      <c r="A365" s="10">
        <v>365</v>
      </c>
      <c r="B365" s="10" t="s">
        <v>563</v>
      </c>
      <c r="C365" s="10" t="s">
        <v>564</v>
      </c>
      <c r="D365" s="10" t="s">
        <v>982</v>
      </c>
      <c r="E365" s="2" t="s">
        <v>478</v>
      </c>
      <c r="F365" s="2" t="s">
        <v>487</v>
      </c>
      <c r="G365" s="2">
        <v>1</v>
      </c>
      <c r="H365" s="2" t="s">
        <v>442</v>
      </c>
      <c r="I365" s="2" t="s">
        <v>480</v>
      </c>
      <c r="J365" s="39">
        <v>1104.0000000000002</v>
      </c>
      <c r="K365" s="12">
        <f t="shared" si="5"/>
        <v>1.1040000000000003E-4</v>
      </c>
    </row>
    <row r="366" spans="1:11" hidden="1">
      <c r="A366" s="10">
        <v>366</v>
      </c>
      <c r="B366" s="10" t="s">
        <v>563</v>
      </c>
      <c r="C366" s="10" t="s">
        <v>564</v>
      </c>
      <c r="D366" s="10" t="s">
        <v>982</v>
      </c>
      <c r="E366" s="2" t="s">
        <v>478</v>
      </c>
      <c r="F366" s="2" t="s">
        <v>488</v>
      </c>
      <c r="G366" s="2">
        <v>1</v>
      </c>
      <c r="H366" s="2" t="s">
        <v>442</v>
      </c>
      <c r="I366" s="2" t="s">
        <v>480</v>
      </c>
      <c r="J366" s="39">
        <v>690</v>
      </c>
      <c r="K366" s="12">
        <f t="shared" si="5"/>
        <v>6.8999999999999997E-5</v>
      </c>
    </row>
    <row r="367" spans="1:11" hidden="1">
      <c r="A367" s="10">
        <v>367</v>
      </c>
      <c r="B367" s="10" t="s">
        <v>563</v>
      </c>
      <c r="C367" s="10" t="s">
        <v>564</v>
      </c>
      <c r="D367" s="10" t="s">
        <v>982</v>
      </c>
      <c r="E367" s="2" t="s">
        <v>478</v>
      </c>
      <c r="F367" s="2" t="s">
        <v>489</v>
      </c>
      <c r="G367" s="2">
        <v>1</v>
      </c>
      <c r="H367" s="2" t="s">
        <v>442</v>
      </c>
      <c r="I367" s="2" t="s">
        <v>480</v>
      </c>
      <c r="J367" s="39">
        <v>690</v>
      </c>
      <c r="K367" s="12">
        <f t="shared" si="5"/>
        <v>6.8999999999999997E-5</v>
      </c>
    </row>
    <row r="368" spans="1:11" hidden="1">
      <c r="A368" s="10">
        <v>368</v>
      </c>
      <c r="B368" s="10" t="s">
        <v>563</v>
      </c>
      <c r="C368" s="10" t="s">
        <v>564</v>
      </c>
      <c r="D368" s="10" t="s">
        <v>982</v>
      </c>
      <c r="E368" s="2" t="s">
        <v>478</v>
      </c>
      <c r="F368" s="2" t="s">
        <v>490</v>
      </c>
      <c r="G368" s="2">
        <v>1</v>
      </c>
      <c r="H368" s="2" t="s">
        <v>442</v>
      </c>
      <c r="I368" s="2" t="s">
        <v>480</v>
      </c>
      <c r="J368" s="39">
        <v>1207.5</v>
      </c>
      <c r="K368" s="12">
        <f t="shared" si="5"/>
        <v>1.2074999999999999E-4</v>
      </c>
    </row>
    <row r="369" spans="1:11" hidden="1">
      <c r="A369" s="10">
        <v>369</v>
      </c>
      <c r="B369" s="10" t="s">
        <v>563</v>
      </c>
      <c r="C369" s="10" t="s">
        <v>564</v>
      </c>
      <c r="D369" s="10" t="s">
        <v>982</v>
      </c>
      <c r="E369" s="2" t="s">
        <v>478</v>
      </c>
      <c r="F369" s="2" t="s">
        <v>491</v>
      </c>
      <c r="G369" s="2">
        <v>1</v>
      </c>
      <c r="H369" s="2" t="s">
        <v>442</v>
      </c>
      <c r="I369" s="2" t="s">
        <v>480</v>
      </c>
      <c r="J369" s="39">
        <v>2208.0000000000005</v>
      </c>
      <c r="K369" s="12">
        <f t="shared" si="5"/>
        <v>2.2080000000000005E-4</v>
      </c>
    </row>
    <row r="370" spans="1:11" hidden="1">
      <c r="A370" s="10">
        <v>370</v>
      </c>
      <c r="B370" s="10" t="s">
        <v>563</v>
      </c>
      <c r="C370" s="10" t="s">
        <v>564</v>
      </c>
      <c r="D370" s="10" t="s">
        <v>982</v>
      </c>
      <c r="E370" s="2" t="s">
        <v>478</v>
      </c>
      <c r="F370" s="2" t="s">
        <v>489</v>
      </c>
      <c r="G370" s="2">
        <v>1</v>
      </c>
      <c r="H370" s="2" t="s">
        <v>442</v>
      </c>
      <c r="I370" s="2" t="s">
        <v>480</v>
      </c>
      <c r="J370" s="39">
        <v>690</v>
      </c>
      <c r="K370" s="12">
        <f t="shared" si="5"/>
        <v>6.8999999999999997E-5</v>
      </c>
    </row>
    <row r="371" spans="1:11" hidden="1">
      <c r="A371" s="10">
        <v>371</v>
      </c>
      <c r="B371" s="10" t="s">
        <v>563</v>
      </c>
      <c r="C371" s="10" t="s">
        <v>564</v>
      </c>
      <c r="D371" s="10" t="s">
        <v>982</v>
      </c>
      <c r="E371" s="2" t="s">
        <v>478</v>
      </c>
      <c r="F371" s="2" t="s">
        <v>482</v>
      </c>
      <c r="G371" s="2">
        <v>1</v>
      </c>
      <c r="H371" s="2" t="s">
        <v>442</v>
      </c>
      <c r="I371" s="2" t="s">
        <v>480</v>
      </c>
      <c r="J371" s="39">
        <v>1035</v>
      </c>
      <c r="K371" s="12">
        <f t="shared" si="5"/>
        <v>1.0349999999999999E-4</v>
      </c>
    </row>
    <row r="372" spans="1:11" hidden="1">
      <c r="A372" s="10">
        <v>372</v>
      </c>
      <c r="B372" s="10" t="s">
        <v>563</v>
      </c>
      <c r="C372" s="10" t="s">
        <v>564</v>
      </c>
      <c r="D372" s="10" t="s">
        <v>982</v>
      </c>
      <c r="E372" s="2" t="s">
        <v>478</v>
      </c>
      <c r="F372" s="2" t="s">
        <v>492</v>
      </c>
      <c r="G372" s="2">
        <v>1</v>
      </c>
      <c r="H372" s="2" t="s">
        <v>442</v>
      </c>
      <c r="I372" s="2" t="s">
        <v>480</v>
      </c>
      <c r="J372" s="39">
        <v>690</v>
      </c>
      <c r="K372" s="12">
        <f t="shared" si="5"/>
        <v>6.8999999999999997E-5</v>
      </c>
    </row>
    <row r="373" spans="1:11" hidden="1">
      <c r="A373" s="10">
        <v>373</v>
      </c>
      <c r="B373" s="10" t="s">
        <v>563</v>
      </c>
      <c r="C373" s="10" t="s">
        <v>564</v>
      </c>
      <c r="D373" s="10" t="s">
        <v>982</v>
      </c>
      <c r="E373" s="2" t="s">
        <v>478</v>
      </c>
      <c r="F373" s="2" t="s">
        <v>493</v>
      </c>
      <c r="G373" s="2">
        <v>1</v>
      </c>
      <c r="H373" s="2" t="s">
        <v>442</v>
      </c>
      <c r="I373" s="2" t="s">
        <v>480</v>
      </c>
      <c r="J373" s="39">
        <v>828</v>
      </c>
      <c r="K373" s="12">
        <f t="shared" si="5"/>
        <v>8.2799999999999993E-5</v>
      </c>
    </row>
    <row r="374" spans="1:11" hidden="1">
      <c r="A374" s="10">
        <v>374</v>
      </c>
      <c r="B374" s="10" t="s">
        <v>563</v>
      </c>
      <c r="C374" s="10" t="s">
        <v>564</v>
      </c>
      <c r="D374" s="10" t="s">
        <v>982</v>
      </c>
      <c r="E374" s="2" t="s">
        <v>478</v>
      </c>
      <c r="F374" s="2" t="s">
        <v>494</v>
      </c>
      <c r="G374" s="2">
        <v>1</v>
      </c>
      <c r="H374" s="2" t="s">
        <v>442</v>
      </c>
      <c r="I374" s="2" t="s">
        <v>480</v>
      </c>
      <c r="J374" s="39">
        <v>690</v>
      </c>
      <c r="K374" s="12">
        <f t="shared" si="5"/>
        <v>6.8999999999999997E-5</v>
      </c>
    </row>
    <row r="375" spans="1:11" hidden="1">
      <c r="A375" s="10">
        <v>375</v>
      </c>
      <c r="B375" s="10" t="s">
        <v>563</v>
      </c>
      <c r="C375" s="10" t="s">
        <v>564</v>
      </c>
      <c r="D375" s="10" t="s">
        <v>982</v>
      </c>
      <c r="E375" s="2" t="s">
        <v>478</v>
      </c>
      <c r="F375" s="2" t="s">
        <v>486</v>
      </c>
      <c r="G375" s="2">
        <v>1</v>
      </c>
      <c r="H375" s="2" t="s">
        <v>442</v>
      </c>
      <c r="I375" s="2" t="s">
        <v>480</v>
      </c>
      <c r="J375" s="39">
        <v>690</v>
      </c>
      <c r="K375" s="12">
        <f t="shared" si="5"/>
        <v>6.8999999999999997E-5</v>
      </c>
    </row>
    <row r="376" spans="1:11" hidden="1">
      <c r="A376" s="10">
        <v>376</v>
      </c>
      <c r="B376" s="10" t="s">
        <v>563</v>
      </c>
      <c r="C376" s="10" t="s">
        <v>564</v>
      </c>
      <c r="D376" s="10" t="s">
        <v>982</v>
      </c>
      <c r="E376" s="2" t="s">
        <v>478</v>
      </c>
      <c r="F376" s="2" t="s">
        <v>495</v>
      </c>
      <c r="G376" s="2">
        <v>1</v>
      </c>
      <c r="H376" s="2" t="s">
        <v>442</v>
      </c>
      <c r="I376" s="2" t="s">
        <v>480</v>
      </c>
      <c r="J376" s="39">
        <v>776.25</v>
      </c>
      <c r="K376" s="12">
        <f t="shared" si="5"/>
        <v>7.7625000000000003E-5</v>
      </c>
    </row>
    <row r="377" spans="1:11" hidden="1">
      <c r="A377" s="10">
        <v>377</v>
      </c>
      <c r="B377" s="10" t="s">
        <v>563</v>
      </c>
      <c r="C377" s="10" t="s">
        <v>564</v>
      </c>
      <c r="D377" s="10" t="s">
        <v>982</v>
      </c>
      <c r="E377" s="2" t="s">
        <v>478</v>
      </c>
      <c r="F377" s="2" t="s">
        <v>496</v>
      </c>
      <c r="G377" s="2">
        <v>1</v>
      </c>
      <c r="H377" s="2" t="s">
        <v>442</v>
      </c>
      <c r="I377" s="2" t="s">
        <v>480</v>
      </c>
      <c r="J377" s="39">
        <v>4502.25</v>
      </c>
      <c r="K377" s="12">
        <f t="shared" si="5"/>
        <v>4.5022500000000001E-4</v>
      </c>
    </row>
    <row r="378" spans="1:11" hidden="1">
      <c r="A378" s="10">
        <v>378</v>
      </c>
      <c r="B378" s="10" t="s">
        <v>563</v>
      </c>
      <c r="C378" s="10" t="s">
        <v>564</v>
      </c>
      <c r="D378" s="10" t="s">
        <v>982</v>
      </c>
      <c r="E378" s="2" t="s">
        <v>478</v>
      </c>
      <c r="F378" s="2" t="s">
        <v>497</v>
      </c>
      <c r="G378" s="2">
        <v>1</v>
      </c>
      <c r="H378" s="2" t="s">
        <v>442</v>
      </c>
      <c r="I378" s="2" t="s">
        <v>480</v>
      </c>
      <c r="J378" s="39">
        <v>690</v>
      </c>
      <c r="K378" s="12">
        <f t="shared" si="5"/>
        <v>6.8999999999999997E-5</v>
      </c>
    </row>
    <row r="379" spans="1:11" hidden="1">
      <c r="A379" s="10">
        <v>379</v>
      </c>
      <c r="B379" s="10" t="s">
        <v>563</v>
      </c>
      <c r="C379" s="10" t="s">
        <v>564</v>
      </c>
      <c r="D379" s="10" t="s">
        <v>982</v>
      </c>
      <c r="E379" s="2" t="s">
        <v>478</v>
      </c>
      <c r="F379" s="2" t="s">
        <v>489</v>
      </c>
      <c r="G379" s="2">
        <v>1</v>
      </c>
      <c r="H379" s="2" t="s">
        <v>442</v>
      </c>
      <c r="I379" s="2" t="s">
        <v>480</v>
      </c>
      <c r="J379" s="39">
        <v>690</v>
      </c>
      <c r="K379" s="12">
        <f t="shared" si="5"/>
        <v>6.8999999999999997E-5</v>
      </c>
    </row>
    <row r="380" spans="1:11" hidden="1">
      <c r="A380" s="10">
        <v>380</v>
      </c>
      <c r="B380" s="10" t="s">
        <v>563</v>
      </c>
      <c r="C380" s="10" t="s">
        <v>564</v>
      </c>
      <c r="D380" s="10" t="s">
        <v>982</v>
      </c>
      <c r="E380" s="2" t="s">
        <v>478</v>
      </c>
      <c r="F380" s="2" t="s">
        <v>497</v>
      </c>
      <c r="G380" s="2">
        <v>1</v>
      </c>
      <c r="H380" s="2" t="s">
        <v>442</v>
      </c>
      <c r="I380" s="2" t="s">
        <v>480</v>
      </c>
      <c r="J380" s="39">
        <v>690</v>
      </c>
      <c r="K380" s="12">
        <f t="shared" si="5"/>
        <v>6.8999999999999997E-5</v>
      </c>
    </row>
    <row r="381" spans="1:11" hidden="1">
      <c r="A381" s="10">
        <v>381</v>
      </c>
      <c r="B381" s="10" t="s">
        <v>563</v>
      </c>
      <c r="C381" s="10" t="s">
        <v>564</v>
      </c>
      <c r="D381" s="10" t="s">
        <v>982</v>
      </c>
      <c r="E381" s="2" t="s">
        <v>478</v>
      </c>
      <c r="F381" s="2" t="s">
        <v>498</v>
      </c>
      <c r="G381" s="2">
        <v>1</v>
      </c>
      <c r="H381" s="2" t="s">
        <v>442</v>
      </c>
      <c r="I381" s="2" t="s">
        <v>480</v>
      </c>
      <c r="J381" s="39">
        <v>7452.0000000000009</v>
      </c>
      <c r="K381" s="12">
        <f t="shared" si="5"/>
        <v>7.4520000000000012E-4</v>
      </c>
    </row>
    <row r="382" spans="1:11" hidden="1">
      <c r="A382" s="10">
        <v>382</v>
      </c>
      <c r="B382" s="10" t="s">
        <v>563</v>
      </c>
      <c r="C382" s="10" t="s">
        <v>564</v>
      </c>
      <c r="D382" s="10" t="s">
        <v>982</v>
      </c>
      <c r="E382" s="2" t="s">
        <v>478</v>
      </c>
      <c r="F382" s="2" t="s">
        <v>499</v>
      </c>
      <c r="G382" s="2">
        <v>1</v>
      </c>
      <c r="H382" s="2" t="s">
        <v>442</v>
      </c>
      <c r="I382" s="2" t="s">
        <v>480</v>
      </c>
      <c r="J382" s="39">
        <v>724.5</v>
      </c>
      <c r="K382" s="12">
        <f t="shared" si="5"/>
        <v>7.2449999999999999E-5</v>
      </c>
    </row>
    <row r="383" spans="1:11" hidden="1">
      <c r="A383" s="10">
        <v>383</v>
      </c>
      <c r="B383" s="10" t="s">
        <v>563</v>
      </c>
      <c r="C383" s="10" t="s">
        <v>564</v>
      </c>
      <c r="D383" s="10" t="s">
        <v>982</v>
      </c>
      <c r="E383" s="2" t="s">
        <v>478</v>
      </c>
      <c r="F383" s="2" t="s">
        <v>494</v>
      </c>
      <c r="G383" s="2">
        <v>1</v>
      </c>
      <c r="H383" s="2" t="s">
        <v>442</v>
      </c>
      <c r="I383" s="2" t="s">
        <v>480</v>
      </c>
      <c r="J383" s="39">
        <v>690</v>
      </c>
      <c r="K383" s="12">
        <f t="shared" si="5"/>
        <v>6.8999999999999997E-5</v>
      </c>
    </row>
    <row r="384" spans="1:11" hidden="1">
      <c r="A384" s="10">
        <v>384</v>
      </c>
      <c r="B384" s="10" t="s">
        <v>563</v>
      </c>
      <c r="C384" s="10" t="s">
        <v>564</v>
      </c>
      <c r="D384" s="10" t="s">
        <v>982</v>
      </c>
      <c r="E384" s="2" t="s">
        <v>478</v>
      </c>
      <c r="F384" s="2" t="s">
        <v>500</v>
      </c>
      <c r="G384" s="2">
        <v>1</v>
      </c>
      <c r="H384" s="2" t="s">
        <v>442</v>
      </c>
      <c r="I384" s="2" t="s">
        <v>480</v>
      </c>
      <c r="J384" s="39">
        <v>690</v>
      </c>
      <c r="K384" s="12">
        <f t="shared" si="5"/>
        <v>6.8999999999999997E-5</v>
      </c>
    </row>
    <row r="385" spans="1:11" hidden="1">
      <c r="A385" s="10">
        <v>385</v>
      </c>
      <c r="B385" s="10" t="s">
        <v>563</v>
      </c>
      <c r="C385" s="10" t="s">
        <v>564</v>
      </c>
      <c r="D385" s="10" t="s">
        <v>982</v>
      </c>
      <c r="E385" s="2" t="s">
        <v>478</v>
      </c>
      <c r="F385" s="2" t="s">
        <v>488</v>
      </c>
      <c r="G385" s="2">
        <v>1</v>
      </c>
      <c r="H385" s="2" t="s">
        <v>442</v>
      </c>
      <c r="I385" s="2" t="s">
        <v>480</v>
      </c>
      <c r="J385" s="39">
        <v>690</v>
      </c>
      <c r="K385" s="12">
        <f t="shared" si="5"/>
        <v>6.8999999999999997E-5</v>
      </c>
    </row>
    <row r="386" spans="1:11" ht="14.5" hidden="1" customHeight="1">
      <c r="A386" s="10">
        <v>386</v>
      </c>
      <c r="B386" s="10" t="s">
        <v>563</v>
      </c>
      <c r="C386" s="10" t="s">
        <v>564</v>
      </c>
      <c r="D386" s="10" t="s">
        <v>982</v>
      </c>
      <c r="E386" s="2" t="s">
        <v>501</v>
      </c>
      <c r="F386" s="2" t="s">
        <v>488</v>
      </c>
      <c r="G386" s="2">
        <v>1</v>
      </c>
      <c r="H386" s="2" t="s">
        <v>442</v>
      </c>
      <c r="I386" s="2" t="s">
        <v>480</v>
      </c>
      <c r="J386" s="36">
        <v>580</v>
      </c>
      <c r="K386" s="12">
        <f t="shared" ref="K386:K449" si="6">(J386*G386)/10000000</f>
        <v>5.8E-5</v>
      </c>
    </row>
    <row r="387" spans="1:11" hidden="1">
      <c r="A387" s="10">
        <v>387</v>
      </c>
      <c r="B387" s="10" t="s">
        <v>563</v>
      </c>
      <c r="C387" s="10" t="s">
        <v>564</v>
      </c>
      <c r="D387" s="10" t="s">
        <v>982</v>
      </c>
      <c r="E387" s="2" t="s">
        <v>501</v>
      </c>
      <c r="F387" s="2" t="s">
        <v>492</v>
      </c>
      <c r="G387" s="2">
        <v>1</v>
      </c>
      <c r="H387" s="2" t="s">
        <v>442</v>
      </c>
      <c r="I387" s="2" t="s">
        <v>480</v>
      </c>
      <c r="J387" s="36">
        <v>580</v>
      </c>
      <c r="K387" s="12">
        <f t="shared" si="6"/>
        <v>5.8E-5</v>
      </c>
    </row>
    <row r="388" spans="1:11" hidden="1">
      <c r="A388" s="10">
        <v>388</v>
      </c>
      <c r="B388" s="10" t="s">
        <v>563</v>
      </c>
      <c r="C388" s="10" t="s">
        <v>564</v>
      </c>
      <c r="D388" s="10" t="s">
        <v>982</v>
      </c>
      <c r="E388" s="2" t="s">
        <v>501</v>
      </c>
      <c r="F388" s="2" t="s">
        <v>502</v>
      </c>
      <c r="G388" s="2">
        <v>1</v>
      </c>
      <c r="H388" s="2" t="s">
        <v>442</v>
      </c>
      <c r="I388" s="2" t="s">
        <v>480</v>
      </c>
      <c r="J388" s="36">
        <v>2131.5</v>
      </c>
      <c r="K388" s="12">
        <f t="shared" si="6"/>
        <v>2.1315E-4</v>
      </c>
    </row>
    <row r="389" spans="1:11" hidden="1">
      <c r="A389" s="10">
        <v>389</v>
      </c>
      <c r="B389" s="10" t="s">
        <v>563</v>
      </c>
      <c r="C389" s="10" t="s">
        <v>564</v>
      </c>
      <c r="D389" s="10" t="s">
        <v>982</v>
      </c>
      <c r="E389" s="2" t="s">
        <v>501</v>
      </c>
      <c r="F389" s="2" t="s">
        <v>503</v>
      </c>
      <c r="G389" s="2">
        <v>1</v>
      </c>
      <c r="H389" s="2" t="s">
        <v>442</v>
      </c>
      <c r="I389" s="2" t="s">
        <v>480</v>
      </c>
      <c r="J389" s="36">
        <v>2436.0000000000005</v>
      </c>
      <c r="K389" s="12">
        <f t="shared" si="6"/>
        <v>2.4360000000000004E-4</v>
      </c>
    </row>
    <row r="390" spans="1:11" hidden="1">
      <c r="A390" s="10">
        <v>390</v>
      </c>
      <c r="B390" s="10" t="s">
        <v>563</v>
      </c>
      <c r="C390" s="10" t="s">
        <v>564</v>
      </c>
      <c r="D390" s="10" t="s">
        <v>982</v>
      </c>
      <c r="E390" s="2" t="s">
        <v>501</v>
      </c>
      <c r="F390" s="2" t="s">
        <v>504</v>
      </c>
      <c r="G390" s="2">
        <v>1</v>
      </c>
      <c r="H390" s="2" t="s">
        <v>442</v>
      </c>
      <c r="I390" s="2" t="s">
        <v>480</v>
      </c>
      <c r="J390" s="36">
        <v>580</v>
      </c>
      <c r="K390" s="12">
        <f t="shared" si="6"/>
        <v>5.8E-5</v>
      </c>
    </row>
    <row r="391" spans="1:11" hidden="1">
      <c r="A391" s="10">
        <v>391</v>
      </c>
      <c r="B391" s="10" t="s">
        <v>563</v>
      </c>
      <c r="C391" s="10" t="s">
        <v>564</v>
      </c>
      <c r="D391" s="10" t="s">
        <v>982</v>
      </c>
      <c r="E391" s="2" t="s">
        <v>501</v>
      </c>
      <c r="F391" s="2" t="s">
        <v>505</v>
      </c>
      <c r="G391" s="2">
        <v>1</v>
      </c>
      <c r="H391" s="2" t="s">
        <v>442</v>
      </c>
      <c r="I391" s="2" t="s">
        <v>480</v>
      </c>
      <c r="J391" s="36">
        <v>580</v>
      </c>
      <c r="K391" s="12">
        <f t="shared" si="6"/>
        <v>5.8E-5</v>
      </c>
    </row>
    <row r="392" spans="1:11" hidden="1">
      <c r="A392" s="10">
        <v>392</v>
      </c>
      <c r="B392" s="10" t="s">
        <v>563</v>
      </c>
      <c r="C392" s="10" t="s">
        <v>564</v>
      </c>
      <c r="D392" s="10" t="s">
        <v>982</v>
      </c>
      <c r="E392" s="2" t="s">
        <v>501</v>
      </c>
      <c r="F392" s="2" t="s">
        <v>506</v>
      </c>
      <c r="G392" s="2">
        <v>1</v>
      </c>
      <c r="H392" s="2" t="s">
        <v>442</v>
      </c>
      <c r="I392" s="2" t="s">
        <v>480</v>
      </c>
      <c r="J392" s="36">
        <v>797.50000000000011</v>
      </c>
      <c r="K392" s="12">
        <f t="shared" si="6"/>
        <v>7.9750000000000014E-5</v>
      </c>
    </row>
    <row r="393" spans="1:11" hidden="1">
      <c r="A393" s="10">
        <v>393</v>
      </c>
      <c r="B393" s="10" t="s">
        <v>563</v>
      </c>
      <c r="C393" s="10" t="s">
        <v>564</v>
      </c>
      <c r="D393" s="10" t="s">
        <v>982</v>
      </c>
      <c r="E393" s="2" t="s">
        <v>501</v>
      </c>
      <c r="F393" s="2" t="s">
        <v>507</v>
      </c>
      <c r="G393" s="2">
        <v>1</v>
      </c>
      <c r="H393" s="2" t="s">
        <v>442</v>
      </c>
      <c r="I393" s="2" t="s">
        <v>480</v>
      </c>
      <c r="J393" s="36">
        <v>652.5</v>
      </c>
      <c r="K393" s="12">
        <f t="shared" si="6"/>
        <v>6.525E-5</v>
      </c>
    </row>
    <row r="394" spans="1:11" hidden="1">
      <c r="A394" s="10">
        <v>394</v>
      </c>
      <c r="B394" s="10" t="s">
        <v>563</v>
      </c>
      <c r="C394" s="10" t="s">
        <v>564</v>
      </c>
      <c r="D394" s="10" t="s">
        <v>982</v>
      </c>
      <c r="E394" s="2" t="s">
        <v>501</v>
      </c>
      <c r="F394" s="2" t="s">
        <v>508</v>
      </c>
      <c r="G394" s="2">
        <v>1</v>
      </c>
      <c r="H394" s="2" t="s">
        <v>442</v>
      </c>
      <c r="I394" s="2" t="s">
        <v>480</v>
      </c>
      <c r="J394" s="36">
        <v>580</v>
      </c>
      <c r="K394" s="12">
        <f t="shared" si="6"/>
        <v>5.8E-5</v>
      </c>
    </row>
    <row r="395" spans="1:11" hidden="1">
      <c r="A395" s="10">
        <v>395</v>
      </c>
      <c r="B395" s="10" t="s">
        <v>563</v>
      </c>
      <c r="C395" s="10" t="s">
        <v>564</v>
      </c>
      <c r="D395" s="10" t="s">
        <v>982</v>
      </c>
      <c r="E395" s="2" t="s">
        <v>501</v>
      </c>
      <c r="F395" s="2" t="s">
        <v>509</v>
      </c>
      <c r="G395" s="2">
        <v>1</v>
      </c>
      <c r="H395" s="2" t="s">
        <v>442</v>
      </c>
      <c r="I395" s="2" t="s">
        <v>480</v>
      </c>
      <c r="J395" s="36">
        <v>580</v>
      </c>
      <c r="K395" s="12">
        <f t="shared" si="6"/>
        <v>5.8E-5</v>
      </c>
    </row>
    <row r="396" spans="1:11" hidden="1">
      <c r="A396" s="10">
        <v>396</v>
      </c>
      <c r="B396" s="10" t="s">
        <v>563</v>
      </c>
      <c r="C396" s="10" t="s">
        <v>564</v>
      </c>
      <c r="D396" s="10" t="s">
        <v>982</v>
      </c>
      <c r="E396" s="2" t="s">
        <v>501</v>
      </c>
      <c r="F396" s="2" t="s">
        <v>510</v>
      </c>
      <c r="G396" s="2">
        <v>1</v>
      </c>
      <c r="H396" s="2" t="s">
        <v>442</v>
      </c>
      <c r="I396" s="2" t="s">
        <v>480</v>
      </c>
      <c r="J396" s="36">
        <v>609</v>
      </c>
      <c r="K396" s="12">
        <f t="shared" si="6"/>
        <v>6.0900000000000003E-5</v>
      </c>
    </row>
    <row r="397" spans="1:11" hidden="1">
      <c r="A397" s="10">
        <v>397</v>
      </c>
      <c r="B397" s="10" t="s">
        <v>563</v>
      </c>
      <c r="C397" s="10" t="s">
        <v>564</v>
      </c>
      <c r="D397" s="10" t="s">
        <v>982</v>
      </c>
      <c r="E397" s="2" t="s">
        <v>501</v>
      </c>
      <c r="F397" s="2" t="s">
        <v>511</v>
      </c>
      <c r="G397" s="2">
        <v>1</v>
      </c>
      <c r="H397" s="2" t="s">
        <v>442</v>
      </c>
      <c r="I397" s="2" t="s">
        <v>480</v>
      </c>
      <c r="J397" s="36">
        <v>1972.0000000000002</v>
      </c>
      <c r="K397" s="12">
        <f t="shared" si="6"/>
        <v>1.9720000000000002E-4</v>
      </c>
    </row>
    <row r="398" spans="1:11" hidden="1">
      <c r="A398" s="10">
        <v>398</v>
      </c>
      <c r="B398" s="10" t="s">
        <v>563</v>
      </c>
      <c r="C398" s="10" t="s">
        <v>564</v>
      </c>
      <c r="D398" s="10" t="s">
        <v>982</v>
      </c>
      <c r="E398" s="2" t="s">
        <v>501</v>
      </c>
      <c r="F398" s="2" t="s">
        <v>512</v>
      </c>
      <c r="G398" s="2">
        <v>1</v>
      </c>
      <c r="H398" s="2" t="s">
        <v>442</v>
      </c>
      <c r="I398" s="2" t="s">
        <v>480</v>
      </c>
      <c r="J398" s="36">
        <v>2958</v>
      </c>
      <c r="K398" s="12">
        <f t="shared" si="6"/>
        <v>2.9579999999999998E-4</v>
      </c>
    </row>
    <row r="399" spans="1:11" hidden="1">
      <c r="A399" s="10">
        <v>399</v>
      </c>
      <c r="B399" s="10" t="s">
        <v>563</v>
      </c>
      <c r="C399" s="10" t="s">
        <v>564</v>
      </c>
      <c r="D399" s="10" t="s">
        <v>982</v>
      </c>
      <c r="E399" s="2" t="s">
        <v>501</v>
      </c>
      <c r="F399" s="2" t="s">
        <v>513</v>
      </c>
      <c r="G399" s="2">
        <v>1</v>
      </c>
      <c r="H399" s="2" t="s">
        <v>442</v>
      </c>
      <c r="I399" s="2" t="s">
        <v>480</v>
      </c>
      <c r="J399" s="36">
        <v>3480</v>
      </c>
      <c r="K399" s="12">
        <f t="shared" si="6"/>
        <v>3.48E-4</v>
      </c>
    </row>
    <row r="400" spans="1:11" hidden="1">
      <c r="A400" s="10">
        <v>400</v>
      </c>
      <c r="B400" s="10" t="s">
        <v>563</v>
      </c>
      <c r="C400" s="10" t="s">
        <v>564</v>
      </c>
      <c r="D400" s="10" t="s">
        <v>982</v>
      </c>
      <c r="E400" s="2" t="s">
        <v>501</v>
      </c>
      <c r="F400" s="2" t="s">
        <v>514</v>
      </c>
      <c r="G400" s="2">
        <v>1</v>
      </c>
      <c r="H400" s="2" t="s">
        <v>442</v>
      </c>
      <c r="I400" s="2" t="s">
        <v>480</v>
      </c>
      <c r="J400" s="36">
        <v>2088</v>
      </c>
      <c r="K400" s="12">
        <f t="shared" si="6"/>
        <v>2.0880000000000001E-4</v>
      </c>
    </row>
    <row r="401" spans="1:11" hidden="1">
      <c r="A401" s="10">
        <v>401</v>
      </c>
      <c r="B401" s="10" t="s">
        <v>563</v>
      </c>
      <c r="C401" s="10" t="s">
        <v>564</v>
      </c>
      <c r="D401" s="10" t="s">
        <v>982</v>
      </c>
      <c r="E401" s="2" t="s">
        <v>501</v>
      </c>
      <c r="F401" s="2" t="s">
        <v>515</v>
      </c>
      <c r="G401" s="2">
        <v>1</v>
      </c>
      <c r="H401" s="2" t="s">
        <v>442</v>
      </c>
      <c r="I401" s="2" t="s">
        <v>480</v>
      </c>
      <c r="J401" s="36">
        <v>2900</v>
      </c>
      <c r="K401" s="12">
        <f t="shared" si="6"/>
        <v>2.9E-4</v>
      </c>
    </row>
    <row r="402" spans="1:11" hidden="1">
      <c r="A402" s="10">
        <v>402</v>
      </c>
      <c r="B402" s="10" t="s">
        <v>563</v>
      </c>
      <c r="C402" s="10" t="s">
        <v>564</v>
      </c>
      <c r="D402" s="10" t="s">
        <v>982</v>
      </c>
      <c r="E402" s="2" t="s">
        <v>501</v>
      </c>
      <c r="F402" s="2" t="s">
        <v>516</v>
      </c>
      <c r="G402" s="2">
        <v>1</v>
      </c>
      <c r="H402" s="2" t="s">
        <v>442</v>
      </c>
      <c r="I402" s="2" t="s">
        <v>480</v>
      </c>
      <c r="J402" s="36">
        <v>1392</v>
      </c>
      <c r="K402" s="12">
        <f t="shared" si="6"/>
        <v>1.392E-4</v>
      </c>
    </row>
    <row r="403" spans="1:11" hidden="1">
      <c r="A403" s="10">
        <v>403</v>
      </c>
      <c r="B403" s="10" t="s">
        <v>563</v>
      </c>
      <c r="C403" s="10" t="s">
        <v>564</v>
      </c>
      <c r="D403" s="10" t="s">
        <v>982</v>
      </c>
      <c r="E403" s="2" t="s">
        <v>501</v>
      </c>
      <c r="F403" s="2" t="s">
        <v>482</v>
      </c>
      <c r="G403" s="2">
        <v>1</v>
      </c>
      <c r="H403" s="2" t="s">
        <v>442</v>
      </c>
      <c r="I403" s="2" t="s">
        <v>480</v>
      </c>
      <c r="J403" s="36">
        <v>870</v>
      </c>
      <c r="K403" s="12">
        <f t="shared" si="6"/>
        <v>8.7000000000000001E-5</v>
      </c>
    </row>
    <row r="404" spans="1:11" hidden="1">
      <c r="A404" s="10">
        <v>404</v>
      </c>
      <c r="B404" s="10" t="s">
        <v>563</v>
      </c>
      <c r="C404" s="10" t="s">
        <v>564</v>
      </c>
      <c r="D404" s="10" t="s">
        <v>982</v>
      </c>
      <c r="E404" s="2" t="s">
        <v>501</v>
      </c>
      <c r="F404" s="2" t="s">
        <v>517</v>
      </c>
      <c r="G404" s="2">
        <v>1</v>
      </c>
      <c r="H404" s="2" t="s">
        <v>442</v>
      </c>
      <c r="I404" s="2" t="s">
        <v>480</v>
      </c>
      <c r="J404" s="36">
        <v>435</v>
      </c>
      <c r="K404" s="12">
        <f t="shared" si="6"/>
        <v>4.35E-5</v>
      </c>
    </row>
    <row r="405" spans="1:11" hidden="1">
      <c r="A405" s="10">
        <v>405</v>
      </c>
      <c r="B405" s="10" t="s">
        <v>563</v>
      </c>
      <c r="C405" s="10" t="s">
        <v>564</v>
      </c>
      <c r="D405" s="10" t="s">
        <v>982</v>
      </c>
      <c r="E405" s="2" t="s">
        <v>501</v>
      </c>
      <c r="F405" s="2" t="s">
        <v>518</v>
      </c>
      <c r="G405" s="2">
        <v>1</v>
      </c>
      <c r="H405" s="2" t="s">
        <v>442</v>
      </c>
      <c r="I405" s="2" t="s">
        <v>480</v>
      </c>
      <c r="J405" s="36">
        <v>580</v>
      </c>
      <c r="K405" s="12">
        <f t="shared" si="6"/>
        <v>5.8E-5</v>
      </c>
    </row>
    <row r="406" spans="1:11" hidden="1">
      <c r="A406" s="10">
        <v>406</v>
      </c>
      <c r="B406" s="10" t="s">
        <v>563</v>
      </c>
      <c r="C406" s="10" t="s">
        <v>564</v>
      </c>
      <c r="D406" s="10" t="s">
        <v>982</v>
      </c>
      <c r="E406" s="2" t="s">
        <v>501</v>
      </c>
      <c r="F406" s="2" t="s">
        <v>519</v>
      </c>
      <c r="G406" s="2">
        <v>1</v>
      </c>
      <c r="H406" s="2" t="s">
        <v>442</v>
      </c>
      <c r="I406" s="2" t="s">
        <v>480</v>
      </c>
      <c r="J406" s="36">
        <v>580</v>
      </c>
      <c r="K406" s="12">
        <f t="shared" si="6"/>
        <v>5.8E-5</v>
      </c>
    </row>
    <row r="407" spans="1:11" hidden="1">
      <c r="A407" s="10">
        <v>407</v>
      </c>
      <c r="B407" s="10" t="s">
        <v>563</v>
      </c>
      <c r="C407" s="10" t="s">
        <v>564</v>
      </c>
      <c r="D407" s="10" t="s">
        <v>982</v>
      </c>
      <c r="E407" s="2" t="s">
        <v>501</v>
      </c>
      <c r="F407" s="2" t="s">
        <v>520</v>
      </c>
      <c r="G407" s="2">
        <v>1</v>
      </c>
      <c r="H407" s="2" t="s">
        <v>442</v>
      </c>
      <c r="I407" s="2" t="s">
        <v>480</v>
      </c>
      <c r="J407" s="36">
        <v>580</v>
      </c>
      <c r="K407" s="12">
        <f t="shared" si="6"/>
        <v>5.8E-5</v>
      </c>
    </row>
    <row r="408" spans="1:11" hidden="1">
      <c r="A408" s="10">
        <v>408</v>
      </c>
      <c r="B408" s="10" t="s">
        <v>563</v>
      </c>
      <c r="C408" s="10" t="s">
        <v>564</v>
      </c>
      <c r="D408" s="10" t="s">
        <v>982</v>
      </c>
      <c r="E408" s="2" t="s">
        <v>501</v>
      </c>
      <c r="F408" s="2" t="s">
        <v>521</v>
      </c>
      <c r="G408" s="2">
        <v>1</v>
      </c>
      <c r="H408" s="2" t="s">
        <v>442</v>
      </c>
      <c r="I408" s="2" t="s">
        <v>480</v>
      </c>
      <c r="J408" s="36">
        <v>942.5</v>
      </c>
      <c r="K408" s="12">
        <f t="shared" si="6"/>
        <v>9.4250000000000001E-5</v>
      </c>
    </row>
    <row r="409" spans="1:11" hidden="1">
      <c r="A409" s="10">
        <v>409</v>
      </c>
      <c r="B409" s="10" t="s">
        <v>563</v>
      </c>
      <c r="C409" s="10" t="s">
        <v>564</v>
      </c>
      <c r="D409" s="10" t="s">
        <v>982</v>
      </c>
      <c r="E409" s="2" t="s">
        <v>501</v>
      </c>
      <c r="F409" s="2" t="s">
        <v>522</v>
      </c>
      <c r="G409" s="2">
        <v>1</v>
      </c>
      <c r="H409" s="2" t="s">
        <v>442</v>
      </c>
      <c r="I409" s="2" t="s">
        <v>480</v>
      </c>
      <c r="J409" s="36">
        <v>580</v>
      </c>
      <c r="K409" s="12">
        <f t="shared" si="6"/>
        <v>5.8E-5</v>
      </c>
    </row>
    <row r="410" spans="1:11" hidden="1">
      <c r="A410" s="10">
        <v>410</v>
      </c>
      <c r="B410" s="10" t="s">
        <v>563</v>
      </c>
      <c r="C410" s="10" t="s">
        <v>564</v>
      </c>
      <c r="D410" s="10" t="s">
        <v>982</v>
      </c>
      <c r="E410" s="2" t="s">
        <v>501</v>
      </c>
      <c r="F410" s="2" t="s">
        <v>523</v>
      </c>
      <c r="G410" s="2">
        <v>1</v>
      </c>
      <c r="H410" s="2" t="s">
        <v>442</v>
      </c>
      <c r="I410" s="2" t="s">
        <v>480</v>
      </c>
      <c r="J410" s="36">
        <v>1160</v>
      </c>
      <c r="K410" s="12">
        <f t="shared" si="6"/>
        <v>1.16E-4</v>
      </c>
    </row>
    <row r="411" spans="1:11" hidden="1">
      <c r="A411" s="10">
        <v>411</v>
      </c>
      <c r="B411" s="10" t="s">
        <v>563</v>
      </c>
      <c r="C411" s="10" t="s">
        <v>564</v>
      </c>
      <c r="D411" s="10" t="s">
        <v>982</v>
      </c>
      <c r="E411" s="2" t="s">
        <v>501</v>
      </c>
      <c r="F411" s="2" t="s">
        <v>524</v>
      </c>
      <c r="G411" s="2">
        <v>1</v>
      </c>
      <c r="H411" s="2" t="s">
        <v>442</v>
      </c>
      <c r="I411" s="2" t="s">
        <v>480</v>
      </c>
      <c r="J411" s="36">
        <v>580</v>
      </c>
      <c r="K411" s="12">
        <f t="shared" si="6"/>
        <v>5.8E-5</v>
      </c>
    </row>
    <row r="412" spans="1:11" hidden="1">
      <c r="A412" s="10">
        <v>412</v>
      </c>
      <c r="B412" s="10" t="s">
        <v>563</v>
      </c>
      <c r="C412" s="10" t="s">
        <v>564</v>
      </c>
      <c r="D412" s="10" t="s">
        <v>982</v>
      </c>
      <c r="E412" s="2" t="s">
        <v>501</v>
      </c>
      <c r="F412" s="2" t="s">
        <v>489</v>
      </c>
      <c r="G412" s="2">
        <v>1</v>
      </c>
      <c r="H412" s="2" t="s">
        <v>442</v>
      </c>
      <c r="I412" s="2" t="s">
        <v>480</v>
      </c>
      <c r="J412" s="36">
        <v>580</v>
      </c>
      <c r="K412" s="12">
        <f t="shared" si="6"/>
        <v>5.8E-5</v>
      </c>
    </row>
    <row r="413" spans="1:11" hidden="1">
      <c r="A413" s="10">
        <v>413</v>
      </c>
      <c r="B413" s="10" t="s">
        <v>563</v>
      </c>
      <c r="C413" s="10" t="s">
        <v>564</v>
      </c>
      <c r="D413" s="10" t="s">
        <v>982</v>
      </c>
      <c r="E413" s="2" t="s">
        <v>501</v>
      </c>
      <c r="F413" s="2" t="s">
        <v>492</v>
      </c>
      <c r="G413" s="2">
        <v>1</v>
      </c>
      <c r="H413" s="2" t="s">
        <v>442</v>
      </c>
      <c r="I413" s="2" t="s">
        <v>480</v>
      </c>
      <c r="J413" s="36">
        <v>580</v>
      </c>
      <c r="K413" s="12">
        <f t="shared" si="6"/>
        <v>5.8E-5</v>
      </c>
    </row>
    <row r="414" spans="1:11" hidden="1">
      <c r="A414" s="10">
        <v>414</v>
      </c>
      <c r="B414" s="10" t="s">
        <v>563</v>
      </c>
      <c r="C414" s="10" t="s">
        <v>564</v>
      </c>
      <c r="D414" s="10" t="s">
        <v>982</v>
      </c>
      <c r="E414" s="2" t="s">
        <v>501</v>
      </c>
      <c r="F414" s="2" t="s">
        <v>486</v>
      </c>
      <c r="G414" s="2">
        <v>1</v>
      </c>
      <c r="H414" s="2" t="s">
        <v>442</v>
      </c>
      <c r="I414" s="2" t="s">
        <v>480</v>
      </c>
      <c r="J414" s="36">
        <v>580</v>
      </c>
      <c r="K414" s="12">
        <f t="shared" si="6"/>
        <v>5.8E-5</v>
      </c>
    </row>
    <row r="415" spans="1:11" hidden="1">
      <c r="A415" s="10">
        <v>415</v>
      </c>
      <c r="B415" s="10" t="s">
        <v>563</v>
      </c>
      <c r="C415" s="10" t="s">
        <v>564</v>
      </c>
      <c r="D415" s="10" t="s">
        <v>982</v>
      </c>
      <c r="E415" s="2" t="s">
        <v>501</v>
      </c>
      <c r="F415" s="2" t="s">
        <v>493</v>
      </c>
      <c r="G415" s="2">
        <v>1</v>
      </c>
      <c r="H415" s="2" t="s">
        <v>442</v>
      </c>
      <c r="I415" s="2" t="s">
        <v>480</v>
      </c>
      <c r="J415" s="36">
        <v>696</v>
      </c>
      <c r="K415" s="12">
        <f t="shared" si="6"/>
        <v>6.9599999999999998E-5</v>
      </c>
    </row>
    <row r="416" spans="1:11" hidden="1">
      <c r="A416" s="10">
        <v>416</v>
      </c>
      <c r="B416" s="10" t="s">
        <v>563</v>
      </c>
      <c r="C416" s="10" t="s">
        <v>564</v>
      </c>
      <c r="D416" s="10" t="s">
        <v>982</v>
      </c>
      <c r="E416" s="2" t="s">
        <v>501</v>
      </c>
      <c r="F416" s="2" t="s">
        <v>509</v>
      </c>
      <c r="G416" s="2">
        <v>1</v>
      </c>
      <c r="H416" s="2" t="s">
        <v>442</v>
      </c>
      <c r="I416" s="2" t="s">
        <v>480</v>
      </c>
      <c r="J416" s="36">
        <v>580</v>
      </c>
      <c r="K416" s="12">
        <f t="shared" si="6"/>
        <v>5.8E-5</v>
      </c>
    </row>
    <row r="417" spans="1:11" hidden="1">
      <c r="A417" s="10">
        <v>417</v>
      </c>
      <c r="B417" s="10" t="s">
        <v>563</v>
      </c>
      <c r="C417" s="10" t="s">
        <v>564</v>
      </c>
      <c r="D417" s="10" t="s">
        <v>982</v>
      </c>
      <c r="E417" s="2" t="s">
        <v>501</v>
      </c>
      <c r="F417" s="2" t="s">
        <v>523</v>
      </c>
      <c r="G417" s="2">
        <v>1</v>
      </c>
      <c r="H417" s="2" t="s">
        <v>442</v>
      </c>
      <c r="I417" s="2" t="s">
        <v>480</v>
      </c>
      <c r="J417" s="36">
        <v>1160</v>
      </c>
      <c r="K417" s="12">
        <f t="shared" si="6"/>
        <v>1.16E-4</v>
      </c>
    </row>
    <row r="418" spans="1:11" hidden="1">
      <c r="A418" s="10">
        <v>418</v>
      </c>
      <c r="B418" s="10" t="s">
        <v>563</v>
      </c>
      <c r="C418" s="10" t="s">
        <v>564</v>
      </c>
      <c r="D418" s="10" t="s">
        <v>982</v>
      </c>
      <c r="E418" s="2" t="s">
        <v>501</v>
      </c>
      <c r="F418" s="2" t="s">
        <v>525</v>
      </c>
      <c r="G418" s="2">
        <v>1</v>
      </c>
      <c r="H418" s="2" t="s">
        <v>442</v>
      </c>
      <c r="I418" s="2" t="s">
        <v>480</v>
      </c>
      <c r="J418" s="36">
        <v>1740</v>
      </c>
      <c r="K418" s="12">
        <f t="shared" si="6"/>
        <v>1.74E-4</v>
      </c>
    </row>
    <row r="419" spans="1:11" hidden="1">
      <c r="A419" s="10">
        <v>419</v>
      </c>
      <c r="B419" s="10" t="s">
        <v>563</v>
      </c>
      <c r="C419" s="10" t="s">
        <v>564</v>
      </c>
      <c r="D419" s="10" t="s">
        <v>982</v>
      </c>
      <c r="E419" s="2" t="s">
        <v>501</v>
      </c>
      <c r="F419" s="2" t="s">
        <v>526</v>
      </c>
      <c r="G419" s="2">
        <v>1</v>
      </c>
      <c r="H419" s="2" t="s">
        <v>442</v>
      </c>
      <c r="I419" s="2" t="s">
        <v>480</v>
      </c>
      <c r="J419" s="36">
        <v>1450</v>
      </c>
      <c r="K419" s="12">
        <f t="shared" si="6"/>
        <v>1.45E-4</v>
      </c>
    </row>
    <row r="420" spans="1:11" hidden="1">
      <c r="A420" s="10">
        <v>420</v>
      </c>
      <c r="B420" s="10" t="s">
        <v>563</v>
      </c>
      <c r="C420" s="10" t="s">
        <v>564</v>
      </c>
      <c r="D420" s="10" t="s">
        <v>982</v>
      </c>
      <c r="E420" s="2" t="s">
        <v>501</v>
      </c>
      <c r="F420" s="2" t="s">
        <v>482</v>
      </c>
      <c r="G420" s="2">
        <v>1</v>
      </c>
      <c r="H420" s="2" t="s">
        <v>442</v>
      </c>
      <c r="I420" s="2" t="s">
        <v>480</v>
      </c>
      <c r="J420" s="36">
        <v>870</v>
      </c>
      <c r="K420" s="12">
        <f t="shared" si="6"/>
        <v>8.7000000000000001E-5</v>
      </c>
    </row>
    <row r="421" spans="1:11" ht="14.5" hidden="1" customHeight="1">
      <c r="A421" s="10">
        <v>421</v>
      </c>
      <c r="B421" s="10" t="s">
        <v>563</v>
      </c>
      <c r="C421" s="10" t="s">
        <v>564</v>
      </c>
      <c r="D421" s="10" t="s">
        <v>983</v>
      </c>
      <c r="E421" s="2" t="s">
        <v>527</v>
      </c>
      <c r="F421" s="2" t="s">
        <v>528</v>
      </c>
      <c r="G421" s="2">
        <v>8</v>
      </c>
      <c r="H421" s="2" t="s">
        <v>442</v>
      </c>
      <c r="I421" s="2" t="s">
        <v>480</v>
      </c>
      <c r="J421" s="36">
        <v>829.6</v>
      </c>
      <c r="K421" s="12">
        <f t="shared" si="6"/>
        <v>6.6368000000000004E-4</v>
      </c>
    </row>
    <row r="422" spans="1:11" hidden="1">
      <c r="A422" s="10">
        <v>422</v>
      </c>
      <c r="B422" s="10" t="s">
        <v>563</v>
      </c>
      <c r="C422" s="10" t="s">
        <v>564</v>
      </c>
      <c r="D422" s="10" t="s">
        <v>983</v>
      </c>
      <c r="E422" s="2" t="s">
        <v>527</v>
      </c>
      <c r="F422" s="2" t="s">
        <v>529</v>
      </c>
      <c r="G422" s="2">
        <v>4</v>
      </c>
      <c r="H422" s="2" t="s">
        <v>442</v>
      </c>
      <c r="I422" s="2" t="s">
        <v>480</v>
      </c>
      <c r="J422" s="36">
        <v>340</v>
      </c>
      <c r="K422" s="12">
        <f t="shared" si="6"/>
        <v>1.36E-4</v>
      </c>
    </row>
    <row r="423" spans="1:11" hidden="1">
      <c r="A423" s="10">
        <v>423</v>
      </c>
      <c r="B423" s="10" t="s">
        <v>563</v>
      </c>
      <c r="C423" s="10" t="s">
        <v>564</v>
      </c>
      <c r="D423" s="10" t="s">
        <v>983</v>
      </c>
      <c r="E423" s="2" t="s">
        <v>527</v>
      </c>
      <c r="F423" s="2" t="s">
        <v>530</v>
      </c>
      <c r="G423" s="2">
        <v>3</v>
      </c>
      <c r="H423" s="2" t="s">
        <v>442</v>
      </c>
      <c r="I423" s="2" t="s">
        <v>480</v>
      </c>
      <c r="J423" s="36">
        <v>527.00000000000011</v>
      </c>
      <c r="K423" s="12">
        <f t="shared" si="6"/>
        <v>1.5810000000000005E-4</v>
      </c>
    </row>
    <row r="424" spans="1:11" hidden="1">
      <c r="A424" s="10">
        <v>424</v>
      </c>
      <c r="B424" s="10" t="s">
        <v>563</v>
      </c>
      <c r="C424" s="10" t="s">
        <v>564</v>
      </c>
      <c r="D424" s="10" t="s">
        <v>983</v>
      </c>
      <c r="E424" s="2" t="s">
        <v>527</v>
      </c>
      <c r="F424" s="2" t="s">
        <v>531</v>
      </c>
      <c r="G424" s="2">
        <v>1</v>
      </c>
      <c r="H424" s="2" t="s">
        <v>442</v>
      </c>
      <c r="I424" s="2" t="s">
        <v>480</v>
      </c>
      <c r="J424" s="36">
        <v>340</v>
      </c>
      <c r="K424" s="12">
        <f t="shared" si="6"/>
        <v>3.4E-5</v>
      </c>
    </row>
    <row r="425" spans="1:11" hidden="1">
      <c r="A425" s="10">
        <v>425</v>
      </c>
      <c r="B425" s="10" t="s">
        <v>563</v>
      </c>
      <c r="C425" s="10" t="s">
        <v>564</v>
      </c>
      <c r="D425" s="10" t="s">
        <v>983</v>
      </c>
      <c r="E425" s="2" t="s">
        <v>527</v>
      </c>
      <c r="F425" s="2" t="s">
        <v>532</v>
      </c>
      <c r="G425" s="2">
        <v>1</v>
      </c>
      <c r="H425" s="2" t="s">
        <v>442</v>
      </c>
      <c r="I425" s="2" t="s">
        <v>480</v>
      </c>
      <c r="J425" s="36">
        <v>340</v>
      </c>
      <c r="K425" s="12">
        <f t="shared" si="6"/>
        <v>3.4E-5</v>
      </c>
    </row>
    <row r="426" spans="1:11" hidden="1">
      <c r="A426" s="10">
        <v>426</v>
      </c>
      <c r="B426" s="10" t="s">
        <v>563</v>
      </c>
      <c r="C426" s="10" t="s">
        <v>564</v>
      </c>
      <c r="D426" s="10" t="s">
        <v>983</v>
      </c>
      <c r="E426" s="2" t="s">
        <v>527</v>
      </c>
      <c r="F426" s="2" t="s">
        <v>533</v>
      </c>
      <c r="G426" s="2">
        <v>1</v>
      </c>
      <c r="H426" s="2" t="s">
        <v>442</v>
      </c>
      <c r="I426" s="2" t="s">
        <v>480</v>
      </c>
      <c r="J426" s="36">
        <v>340</v>
      </c>
      <c r="K426" s="12">
        <f t="shared" si="6"/>
        <v>3.4E-5</v>
      </c>
    </row>
    <row r="427" spans="1:11" hidden="1">
      <c r="A427" s="10">
        <v>427</v>
      </c>
      <c r="B427" s="10" t="s">
        <v>563</v>
      </c>
      <c r="C427" s="10" t="s">
        <v>564</v>
      </c>
      <c r="D427" s="10" t="s">
        <v>983</v>
      </c>
      <c r="E427" s="2" t="s">
        <v>527</v>
      </c>
      <c r="F427" s="2" t="s">
        <v>534</v>
      </c>
      <c r="G427" s="2">
        <v>1</v>
      </c>
      <c r="H427" s="2" t="s">
        <v>442</v>
      </c>
      <c r="I427" s="2" t="s">
        <v>480</v>
      </c>
      <c r="J427" s="36">
        <v>433.5</v>
      </c>
      <c r="K427" s="12">
        <f t="shared" si="6"/>
        <v>4.3350000000000003E-5</v>
      </c>
    </row>
    <row r="428" spans="1:11" hidden="1">
      <c r="A428" s="10">
        <v>428</v>
      </c>
      <c r="B428" s="10" t="s">
        <v>563</v>
      </c>
      <c r="C428" s="10" t="s">
        <v>564</v>
      </c>
      <c r="D428" s="10" t="s">
        <v>983</v>
      </c>
      <c r="E428" s="2" t="s">
        <v>527</v>
      </c>
      <c r="F428" s="2" t="s">
        <v>535</v>
      </c>
      <c r="G428" s="2">
        <v>1</v>
      </c>
      <c r="H428" s="2" t="s">
        <v>442</v>
      </c>
      <c r="I428" s="2" t="s">
        <v>480</v>
      </c>
      <c r="J428" s="36">
        <v>637.5</v>
      </c>
      <c r="K428" s="12">
        <f t="shared" si="6"/>
        <v>6.3750000000000005E-5</v>
      </c>
    </row>
    <row r="429" spans="1:11" hidden="1">
      <c r="A429" s="10">
        <v>429</v>
      </c>
      <c r="B429" s="10" t="s">
        <v>563</v>
      </c>
      <c r="C429" s="10" t="s">
        <v>564</v>
      </c>
      <c r="D429" s="10" t="s">
        <v>983</v>
      </c>
      <c r="E429" s="2" t="s">
        <v>527</v>
      </c>
      <c r="F429" s="2" t="s">
        <v>536</v>
      </c>
      <c r="G429" s="2">
        <v>4</v>
      </c>
      <c r="H429" s="2" t="s">
        <v>442</v>
      </c>
      <c r="I429" s="2" t="s">
        <v>480</v>
      </c>
      <c r="J429" s="36">
        <v>1244.3999999999999</v>
      </c>
      <c r="K429" s="12">
        <f t="shared" si="6"/>
        <v>4.9775999999999998E-4</v>
      </c>
    </row>
    <row r="430" spans="1:11" hidden="1">
      <c r="A430" s="10">
        <v>430</v>
      </c>
      <c r="B430" s="10" t="s">
        <v>563</v>
      </c>
      <c r="C430" s="10" t="s">
        <v>564</v>
      </c>
      <c r="D430" s="10" t="s">
        <v>983</v>
      </c>
      <c r="E430" s="2" t="s">
        <v>527</v>
      </c>
      <c r="F430" s="2" t="s">
        <v>537</v>
      </c>
      <c r="G430" s="2">
        <v>2</v>
      </c>
      <c r="H430" s="2" t="s">
        <v>442</v>
      </c>
      <c r="I430" s="2" t="s">
        <v>480</v>
      </c>
      <c r="J430" s="36">
        <v>1232.5</v>
      </c>
      <c r="K430" s="12">
        <f t="shared" si="6"/>
        <v>2.4649999999999997E-4</v>
      </c>
    </row>
    <row r="431" spans="1:11" hidden="1">
      <c r="A431" s="10">
        <v>431</v>
      </c>
      <c r="B431" s="10" t="s">
        <v>563</v>
      </c>
      <c r="C431" s="10" t="s">
        <v>564</v>
      </c>
      <c r="D431" s="10" t="s">
        <v>983</v>
      </c>
      <c r="E431" s="2" t="s">
        <v>538</v>
      </c>
      <c r="F431" s="2" t="s">
        <v>539</v>
      </c>
      <c r="G431" s="2">
        <v>3</v>
      </c>
      <c r="H431" s="2" t="s">
        <v>442</v>
      </c>
      <c r="I431" s="2" t="s">
        <v>480</v>
      </c>
      <c r="J431" s="36">
        <v>918.00000000000011</v>
      </c>
      <c r="K431" s="12">
        <f t="shared" si="6"/>
        <v>2.7540000000000003E-4</v>
      </c>
    </row>
    <row r="432" spans="1:11" hidden="1">
      <c r="A432" s="10">
        <v>432</v>
      </c>
      <c r="B432" s="10" t="s">
        <v>563</v>
      </c>
      <c r="C432" s="10" t="s">
        <v>564</v>
      </c>
      <c r="D432" s="10" t="s">
        <v>983</v>
      </c>
      <c r="E432" s="2" t="s">
        <v>538</v>
      </c>
      <c r="F432" s="2" t="s">
        <v>540</v>
      </c>
      <c r="G432" s="2">
        <v>12</v>
      </c>
      <c r="H432" s="2" t="s">
        <v>442</v>
      </c>
      <c r="I432" s="2" t="s">
        <v>480</v>
      </c>
      <c r="J432" s="36">
        <v>867</v>
      </c>
      <c r="K432" s="12">
        <f t="shared" si="6"/>
        <v>1.0403999999999999E-3</v>
      </c>
    </row>
    <row r="433" spans="1:11" hidden="1">
      <c r="A433" s="10">
        <v>433</v>
      </c>
      <c r="B433" s="10" t="s">
        <v>563</v>
      </c>
      <c r="C433" s="10" t="s">
        <v>564</v>
      </c>
      <c r="D433" s="10" t="s">
        <v>983</v>
      </c>
      <c r="E433" s="2" t="s">
        <v>538</v>
      </c>
      <c r="F433" s="2" t="s">
        <v>541</v>
      </c>
      <c r="G433" s="2">
        <v>1</v>
      </c>
      <c r="H433" s="2" t="s">
        <v>442</v>
      </c>
      <c r="I433" s="2" t="s">
        <v>480</v>
      </c>
      <c r="J433" s="36">
        <v>1912.5</v>
      </c>
      <c r="K433" s="12">
        <f t="shared" si="6"/>
        <v>1.9124999999999999E-4</v>
      </c>
    </row>
    <row r="434" spans="1:11" hidden="1">
      <c r="A434" s="10">
        <v>434</v>
      </c>
      <c r="B434" s="10" t="s">
        <v>563</v>
      </c>
      <c r="C434" s="10" t="s">
        <v>564</v>
      </c>
      <c r="D434" s="10" t="s">
        <v>983</v>
      </c>
      <c r="E434" s="2" t="s">
        <v>538</v>
      </c>
      <c r="F434" s="2" t="s">
        <v>542</v>
      </c>
      <c r="G434" s="2">
        <v>3</v>
      </c>
      <c r="H434" s="2" t="s">
        <v>442</v>
      </c>
      <c r="I434" s="2" t="s">
        <v>480</v>
      </c>
      <c r="J434" s="36">
        <v>714</v>
      </c>
      <c r="K434" s="12">
        <f t="shared" si="6"/>
        <v>2.142E-4</v>
      </c>
    </row>
    <row r="435" spans="1:11" hidden="1">
      <c r="A435" s="10">
        <v>435</v>
      </c>
      <c r="B435" s="10" t="s">
        <v>563</v>
      </c>
      <c r="C435" s="10" t="s">
        <v>564</v>
      </c>
      <c r="D435" s="10" t="s">
        <v>983</v>
      </c>
      <c r="E435" s="2" t="s">
        <v>538</v>
      </c>
      <c r="F435" s="2" t="s">
        <v>543</v>
      </c>
      <c r="G435" s="2">
        <v>1</v>
      </c>
      <c r="H435" s="2" t="s">
        <v>442</v>
      </c>
      <c r="I435" s="2" t="s">
        <v>480</v>
      </c>
      <c r="J435" s="36">
        <v>739.5</v>
      </c>
      <c r="K435" s="12">
        <f t="shared" si="6"/>
        <v>7.3949999999999995E-5</v>
      </c>
    </row>
    <row r="436" spans="1:11" hidden="1">
      <c r="A436" s="10">
        <v>436</v>
      </c>
      <c r="B436" s="10" t="s">
        <v>563</v>
      </c>
      <c r="C436" s="10" t="s">
        <v>564</v>
      </c>
      <c r="D436" s="10" t="s">
        <v>983</v>
      </c>
      <c r="E436" s="2" t="s">
        <v>538</v>
      </c>
      <c r="F436" s="2" t="s">
        <v>544</v>
      </c>
      <c r="G436" s="2">
        <v>10</v>
      </c>
      <c r="H436" s="2" t="s">
        <v>442</v>
      </c>
      <c r="I436" s="2" t="s">
        <v>480</v>
      </c>
      <c r="J436" s="36">
        <v>510</v>
      </c>
      <c r="K436" s="12">
        <f t="shared" si="6"/>
        <v>5.1000000000000004E-4</v>
      </c>
    </row>
    <row r="437" spans="1:11" hidden="1">
      <c r="A437" s="10">
        <v>437</v>
      </c>
      <c r="B437" s="10" t="s">
        <v>563</v>
      </c>
      <c r="C437" s="10" t="s">
        <v>564</v>
      </c>
      <c r="D437" s="10" t="s">
        <v>983</v>
      </c>
      <c r="E437" s="2" t="s">
        <v>538</v>
      </c>
      <c r="F437" s="2" t="s">
        <v>545</v>
      </c>
      <c r="G437" s="2">
        <v>4</v>
      </c>
      <c r="H437" s="2" t="s">
        <v>442</v>
      </c>
      <c r="I437" s="2" t="s">
        <v>480</v>
      </c>
      <c r="J437" s="36">
        <v>459.00000000000006</v>
      </c>
      <c r="K437" s="12">
        <f t="shared" si="6"/>
        <v>1.8360000000000002E-4</v>
      </c>
    </row>
    <row r="438" spans="1:11" hidden="1">
      <c r="A438" s="10">
        <v>438</v>
      </c>
      <c r="B438" s="10" t="s">
        <v>563</v>
      </c>
      <c r="C438" s="10" t="s">
        <v>564</v>
      </c>
      <c r="D438" s="10" t="s">
        <v>983</v>
      </c>
      <c r="E438" s="2" t="s">
        <v>538</v>
      </c>
      <c r="F438" s="2" t="s">
        <v>546</v>
      </c>
      <c r="G438" s="2">
        <v>19</v>
      </c>
      <c r="H438" s="2" t="s">
        <v>442</v>
      </c>
      <c r="I438" s="2" t="s">
        <v>480</v>
      </c>
      <c r="J438" s="36">
        <v>918.00000000000011</v>
      </c>
      <c r="K438" s="12">
        <f t="shared" si="6"/>
        <v>1.7442000000000004E-3</v>
      </c>
    </row>
    <row r="439" spans="1:11" hidden="1">
      <c r="A439" s="10">
        <v>439</v>
      </c>
      <c r="B439" s="10" t="s">
        <v>563</v>
      </c>
      <c r="C439" s="10" t="s">
        <v>564</v>
      </c>
      <c r="D439" s="10" t="s">
        <v>983</v>
      </c>
      <c r="E439" s="2" t="s">
        <v>538</v>
      </c>
      <c r="F439" s="2" t="s">
        <v>547</v>
      </c>
      <c r="G439" s="2">
        <v>29</v>
      </c>
      <c r="H439" s="2" t="s">
        <v>442</v>
      </c>
      <c r="I439" s="2" t="s">
        <v>480</v>
      </c>
      <c r="J439" s="36">
        <v>612</v>
      </c>
      <c r="K439" s="12">
        <f t="shared" si="6"/>
        <v>1.7748E-3</v>
      </c>
    </row>
    <row r="440" spans="1:11" hidden="1">
      <c r="A440" s="10">
        <v>440</v>
      </c>
      <c r="B440" s="10" t="s">
        <v>563</v>
      </c>
      <c r="C440" s="10" t="s">
        <v>564</v>
      </c>
      <c r="D440" s="10" t="s">
        <v>983</v>
      </c>
      <c r="E440" s="2" t="s">
        <v>538</v>
      </c>
      <c r="F440" s="2" t="s">
        <v>548</v>
      </c>
      <c r="G440" s="2">
        <v>4</v>
      </c>
      <c r="H440" s="2" t="s">
        <v>442</v>
      </c>
      <c r="I440" s="2" t="s">
        <v>480</v>
      </c>
      <c r="J440" s="36">
        <v>2142</v>
      </c>
      <c r="K440" s="12">
        <f t="shared" si="6"/>
        <v>8.5680000000000001E-4</v>
      </c>
    </row>
    <row r="441" spans="1:11" hidden="1">
      <c r="A441" s="10">
        <v>441</v>
      </c>
      <c r="B441" s="10" t="s">
        <v>563</v>
      </c>
      <c r="C441" s="10" t="s">
        <v>564</v>
      </c>
      <c r="D441" s="10" t="s">
        <v>983</v>
      </c>
      <c r="E441" s="2" t="s">
        <v>538</v>
      </c>
      <c r="F441" s="2" t="s">
        <v>549</v>
      </c>
      <c r="G441" s="2">
        <v>1</v>
      </c>
      <c r="H441" s="2" t="s">
        <v>442</v>
      </c>
      <c r="I441" s="2" t="s">
        <v>480</v>
      </c>
      <c r="J441" s="36">
        <v>1665.9999999999998</v>
      </c>
      <c r="K441" s="12">
        <f t="shared" si="6"/>
        <v>1.6659999999999998E-4</v>
      </c>
    </row>
    <row r="442" spans="1:11" hidden="1">
      <c r="A442" s="10">
        <v>442</v>
      </c>
      <c r="B442" s="10" t="s">
        <v>563</v>
      </c>
      <c r="C442" s="10" t="s">
        <v>564</v>
      </c>
      <c r="D442" s="10" t="s">
        <v>983</v>
      </c>
      <c r="E442" s="2" t="s">
        <v>538</v>
      </c>
      <c r="F442" s="2" t="s">
        <v>550</v>
      </c>
      <c r="G442" s="2">
        <v>2</v>
      </c>
      <c r="H442" s="2" t="s">
        <v>442</v>
      </c>
      <c r="I442" s="2" t="s">
        <v>480</v>
      </c>
      <c r="J442" s="36">
        <v>1428</v>
      </c>
      <c r="K442" s="12">
        <f t="shared" si="6"/>
        <v>2.856E-4</v>
      </c>
    </row>
    <row r="443" spans="1:11" ht="14.5" hidden="1" customHeight="1">
      <c r="A443" s="10">
        <v>443</v>
      </c>
      <c r="B443" s="10" t="s">
        <v>563</v>
      </c>
      <c r="C443" s="10" t="s">
        <v>564</v>
      </c>
      <c r="D443" s="10" t="s">
        <v>982</v>
      </c>
      <c r="E443" s="2" t="s">
        <v>551</v>
      </c>
      <c r="F443" s="2" t="s">
        <v>552</v>
      </c>
      <c r="G443" s="2">
        <v>30</v>
      </c>
      <c r="H443" s="2" t="s">
        <v>442</v>
      </c>
      <c r="I443" s="2" t="s">
        <v>480</v>
      </c>
      <c r="J443" s="36">
        <v>340</v>
      </c>
      <c r="K443" s="12">
        <f t="shared" si="6"/>
        <v>1.0200000000000001E-3</v>
      </c>
    </row>
    <row r="444" spans="1:11" hidden="1">
      <c r="A444" s="10">
        <v>444</v>
      </c>
      <c r="B444" s="10" t="s">
        <v>563</v>
      </c>
      <c r="C444" s="10" t="s">
        <v>564</v>
      </c>
      <c r="D444" s="10" t="s">
        <v>982</v>
      </c>
      <c r="E444" s="2" t="s">
        <v>551</v>
      </c>
      <c r="F444" s="2" t="s">
        <v>540</v>
      </c>
      <c r="G444" s="2">
        <v>12</v>
      </c>
      <c r="H444" s="2" t="s">
        <v>442</v>
      </c>
      <c r="I444" s="2" t="s">
        <v>480</v>
      </c>
      <c r="J444" s="36">
        <v>867</v>
      </c>
      <c r="K444" s="12">
        <f t="shared" si="6"/>
        <v>1.0403999999999999E-3</v>
      </c>
    </row>
    <row r="445" spans="1:11" hidden="1">
      <c r="A445" s="10">
        <v>445</v>
      </c>
      <c r="B445" s="10" t="s">
        <v>563</v>
      </c>
      <c r="C445" s="10" t="s">
        <v>564</v>
      </c>
      <c r="D445" s="10" t="s">
        <v>982</v>
      </c>
      <c r="E445" s="2" t="s">
        <v>551</v>
      </c>
      <c r="F445" s="2" t="s">
        <v>553</v>
      </c>
      <c r="G445" s="2">
        <v>35</v>
      </c>
      <c r="H445" s="2" t="s">
        <v>442</v>
      </c>
      <c r="I445" s="2" t="s">
        <v>480</v>
      </c>
      <c r="J445" s="36">
        <v>340</v>
      </c>
      <c r="K445" s="12">
        <f t="shared" si="6"/>
        <v>1.1900000000000001E-3</v>
      </c>
    </row>
    <row r="446" spans="1:11" hidden="1">
      <c r="A446" s="10">
        <v>446</v>
      </c>
      <c r="B446" s="10" t="s">
        <v>563</v>
      </c>
      <c r="C446" s="10" t="s">
        <v>564</v>
      </c>
      <c r="D446" s="10" t="s">
        <v>982</v>
      </c>
      <c r="E446" s="2" t="s">
        <v>551</v>
      </c>
      <c r="F446" s="2" t="s">
        <v>552</v>
      </c>
      <c r="G446" s="2">
        <v>15</v>
      </c>
      <c r="H446" s="2" t="s">
        <v>442</v>
      </c>
      <c r="I446" s="2" t="s">
        <v>480</v>
      </c>
      <c r="J446" s="36">
        <v>340</v>
      </c>
      <c r="K446" s="12">
        <f t="shared" si="6"/>
        <v>5.1000000000000004E-4</v>
      </c>
    </row>
    <row r="447" spans="1:11" hidden="1">
      <c r="A447" s="10">
        <v>447</v>
      </c>
      <c r="B447" s="10" t="s">
        <v>563</v>
      </c>
      <c r="C447" s="10" t="s">
        <v>564</v>
      </c>
      <c r="D447" s="10" t="s">
        <v>982</v>
      </c>
      <c r="E447" s="2" t="s">
        <v>551</v>
      </c>
      <c r="F447" s="2" t="s">
        <v>554</v>
      </c>
      <c r="G447" s="2">
        <v>4</v>
      </c>
      <c r="H447" s="2" t="s">
        <v>442</v>
      </c>
      <c r="I447" s="2" t="s">
        <v>480</v>
      </c>
      <c r="J447" s="36">
        <v>1377</v>
      </c>
      <c r="K447" s="12">
        <f t="shared" si="6"/>
        <v>5.5080000000000005E-4</v>
      </c>
    </row>
    <row r="448" spans="1:11" hidden="1">
      <c r="A448" s="10">
        <v>448</v>
      </c>
      <c r="B448" s="10" t="s">
        <v>563</v>
      </c>
      <c r="C448" s="10" t="s">
        <v>564</v>
      </c>
      <c r="D448" s="10" t="s">
        <v>982</v>
      </c>
      <c r="E448" s="2" t="s">
        <v>551</v>
      </c>
      <c r="F448" s="2" t="s">
        <v>486</v>
      </c>
      <c r="G448" s="2">
        <v>1</v>
      </c>
      <c r="H448" s="2" t="s">
        <v>442</v>
      </c>
      <c r="I448" s="2" t="s">
        <v>480</v>
      </c>
      <c r="J448" s="36">
        <v>340</v>
      </c>
      <c r="K448" s="12">
        <f t="shared" si="6"/>
        <v>3.4E-5</v>
      </c>
    </row>
    <row r="449" spans="1:11">
      <c r="A449" s="10">
        <v>449</v>
      </c>
      <c r="B449" s="10" t="s">
        <v>563</v>
      </c>
      <c r="C449" s="10" t="s">
        <v>564</v>
      </c>
      <c r="D449" s="10" t="s">
        <v>899</v>
      </c>
      <c r="E449" s="2" t="s">
        <v>555</v>
      </c>
      <c r="F449" s="2" t="s">
        <v>556</v>
      </c>
      <c r="G449" s="2">
        <v>836</v>
      </c>
      <c r="H449" s="2" t="s">
        <v>14</v>
      </c>
      <c r="I449" s="2" t="s">
        <v>437</v>
      </c>
      <c r="J449" s="36">
        <v>138</v>
      </c>
      <c r="K449" s="12">
        <f t="shared" si="6"/>
        <v>1.15368E-2</v>
      </c>
    </row>
    <row r="450" spans="1:11">
      <c r="A450" s="10">
        <v>450</v>
      </c>
      <c r="B450" s="10" t="s">
        <v>563</v>
      </c>
      <c r="C450" s="10" t="s">
        <v>564</v>
      </c>
      <c r="D450" s="10" t="s">
        <v>899</v>
      </c>
      <c r="E450" s="2" t="s">
        <v>557</v>
      </c>
      <c r="F450" s="2" t="s">
        <v>558</v>
      </c>
      <c r="G450" s="2">
        <v>79</v>
      </c>
      <c r="H450" s="2" t="s">
        <v>14</v>
      </c>
      <c r="I450" s="2" t="s">
        <v>437</v>
      </c>
      <c r="J450" s="36">
        <v>1101</v>
      </c>
      <c r="K450" s="12">
        <f t="shared" ref="K450:K513" si="7">(J450*G450)/10000000</f>
        <v>8.6978999999999997E-3</v>
      </c>
    </row>
    <row r="451" spans="1:11">
      <c r="A451" s="10">
        <v>451</v>
      </c>
      <c r="B451" s="10" t="s">
        <v>563</v>
      </c>
      <c r="C451" s="10" t="s">
        <v>564</v>
      </c>
      <c r="D451" s="10" t="s">
        <v>899</v>
      </c>
      <c r="E451" s="2" t="s">
        <v>557</v>
      </c>
      <c r="F451" s="2" t="s">
        <v>558</v>
      </c>
      <c r="G451" s="2">
        <v>90</v>
      </c>
      <c r="H451" s="2" t="s">
        <v>14</v>
      </c>
      <c r="I451" s="2" t="s">
        <v>437</v>
      </c>
      <c r="J451" s="36">
        <v>1101</v>
      </c>
      <c r="K451" s="12">
        <f t="shared" si="7"/>
        <v>9.9089999999999994E-3</v>
      </c>
    </row>
    <row r="452" spans="1:11">
      <c r="A452" s="10">
        <v>452</v>
      </c>
      <c r="B452" s="10" t="s">
        <v>563</v>
      </c>
      <c r="C452" s="10" t="s">
        <v>564</v>
      </c>
      <c r="D452" s="10" t="s">
        <v>899</v>
      </c>
      <c r="E452" s="2" t="s">
        <v>557</v>
      </c>
      <c r="F452" s="2" t="s">
        <v>559</v>
      </c>
      <c r="G452" s="2">
        <v>214</v>
      </c>
      <c r="H452" s="2" t="s">
        <v>14</v>
      </c>
      <c r="I452" s="2" t="s">
        <v>437</v>
      </c>
      <c r="J452" s="36">
        <v>870</v>
      </c>
      <c r="K452" s="12">
        <f t="shared" si="7"/>
        <v>1.8617999999999999E-2</v>
      </c>
    </row>
    <row r="453" spans="1:11">
      <c r="A453" s="10">
        <v>453</v>
      </c>
      <c r="B453" s="10" t="s">
        <v>563</v>
      </c>
      <c r="C453" s="10" t="s">
        <v>564</v>
      </c>
      <c r="D453" s="10" t="s">
        <v>899</v>
      </c>
      <c r="E453" s="2" t="s">
        <v>557</v>
      </c>
      <c r="F453" s="2" t="s">
        <v>560</v>
      </c>
      <c r="G453" s="2">
        <v>40</v>
      </c>
      <c r="H453" s="2" t="s">
        <v>14</v>
      </c>
      <c r="I453" s="2" t="s">
        <v>437</v>
      </c>
      <c r="J453" s="36">
        <v>575</v>
      </c>
      <c r="K453" s="12">
        <f t="shared" si="7"/>
        <v>2.3E-3</v>
      </c>
    </row>
    <row r="454" spans="1:11">
      <c r="A454" s="10">
        <v>454</v>
      </c>
      <c r="B454" s="10" t="s">
        <v>563</v>
      </c>
      <c r="C454" s="10" t="s">
        <v>564</v>
      </c>
      <c r="D454" s="10" t="s">
        <v>899</v>
      </c>
      <c r="E454" s="2" t="s">
        <v>557</v>
      </c>
      <c r="F454" s="2" t="s">
        <v>561</v>
      </c>
      <c r="G454" s="2">
        <v>54</v>
      </c>
      <c r="H454" s="2" t="s">
        <v>14</v>
      </c>
      <c r="I454" s="2" t="s">
        <v>437</v>
      </c>
      <c r="J454" s="36">
        <v>310</v>
      </c>
      <c r="K454" s="12">
        <f t="shared" si="7"/>
        <v>1.6739999999999999E-3</v>
      </c>
    </row>
    <row r="455" spans="1:11">
      <c r="A455" s="10">
        <v>455</v>
      </c>
      <c r="B455" s="10" t="s">
        <v>563</v>
      </c>
      <c r="C455" s="10" t="s">
        <v>564</v>
      </c>
      <c r="D455" s="10" t="s">
        <v>899</v>
      </c>
      <c r="E455" s="2" t="s">
        <v>557</v>
      </c>
      <c r="F455" s="2" t="s">
        <v>562</v>
      </c>
      <c r="G455" s="2">
        <v>34</v>
      </c>
      <c r="H455" s="2" t="s">
        <v>14</v>
      </c>
      <c r="I455" s="2" t="s">
        <v>437</v>
      </c>
      <c r="J455" s="36">
        <v>231</v>
      </c>
      <c r="K455" s="12">
        <f t="shared" si="7"/>
        <v>7.8540000000000001E-4</v>
      </c>
    </row>
    <row r="456" spans="1:11" hidden="1">
      <c r="A456" s="10">
        <v>456</v>
      </c>
      <c r="B456" s="10" t="s">
        <v>589</v>
      </c>
      <c r="C456" s="10" t="s">
        <v>590</v>
      </c>
      <c r="D456" s="10" t="s">
        <v>895</v>
      </c>
      <c r="E456" s="10" t="s">
        <v>565</v>
      </c>
      <c r="F456" s="10" t="s">
        <v>566</v>
      </c>
      <c r="G456" s="10">
        <v>600</v>
      </c>
      <c r="H456" s="10" t="s">
        <v>567</v>
      </c>
      <c r="I456" s="10" t="s">
        <v>193</v>
      </c>
      <c r="J456" s="24">
        <v>1064</v>
      </c>
      <c r="K456" s="12">
        <f t="shared" si="7"/>
        <v>6.3839999999999994E-2</v>
      </c>
    </row>
    <row r="457" spans="1:11" hidden="1">
      <c r="A457" s="10">
        <v>457</v>
      </c>
      <c r="B457" s="10" t="s">
        <v>589</v>
      </c>
      <c r="C457" s="10" t="s">
        <v>590</v>
      </c>
      <c r="D457" s="10" t="s">
        <v>895</v>
      </c>
      <c r="E457" s="10" t="s">
        <v>568</v>
      </c>
      <c r="F457" s="10" t="s">
        <v>232</v>
      </c>
      <c r="G457" s="10">
        <v>800</v>
      </c>
      <c r="H457" s="10" t="s">
        <v>567</v>
      </c>
      <c r="I457" s="10" t="s">
        <v>193</v>
      </c>
      <c r="J457" s="25">
        <v>222.48</v>
      </c>
      <c r="K457" s="12">
        <f t="shared" si="7"/>
        <v>1.7798399999999999E-2</v>
      </c>
    </row>
    <row r="458" spans="1:11" hidden="1">
      <c r="A458" s="10">
        <v>458</v>
      </c>
      <c r="B458" s="10" t="s">
        <v>589</v>
      </c>
      <c r="C458" s="10" t="s">
        <v>590</v>
      </c>
      <c r="D458" s="10" t="s">
        <v>895</v>
      </c>
      <c r="E458" s="10" t="s">
        <v>569</v>
      </c>
      <c r="F458" s="10" t="s">
        <v>241</v>
      </c>
      <c r="G458" s="10">
        <v>200</v>
      </c>
      <c r="H458" s="10" t="s">
        <v>567</v>
      </c>
      <c r="I458" s="10" t="s">
        <v>193</v>
      </c>
      <c r="J458" s="25">
        <v>254.34</v>
      </c>
      <c r="K458" s="12">
        <f t="shared" si="7"/>
        <v>5.0867999999999998E-3</v>
      </c>
    </row>
    <row r="459" spans="1:11" hidden="1">
      <c r="A459" s="10">
        <v>459</v>
      </c>
      <c r="B459" s="10" t="s">
        <v>589</v>
      </c>
      <c r="C459" s="10" t="s">
        <v>590</v>
      </c>
      <c r="D459" s="10" t="s">
        <v>895</v>
      </c>
      <c r="E459" s="10" t="s">
        <v>570</v>
      </c>
      <c r="F459" s="10" t="s">
        <v>233</v>
      </c>
      <c r="G459" s="10">
        <v>900</v>
      </c>
      <c r="H459" s="10" t="s">
        <v>567</v>
      </c>
      <c r="I459" s="10" t="s">
        <v>571</v>
      </c>
      <c r="J459" s="25">
        <v>80.98</v>
      </c>
      <c r="K459" s="12">
        <f t="shared" si="7"/>
        <v>7.2881999999999999E-3</v>
      </c>
    </row>
    <row r="460" spans="1:11" hidden="1">
      <c r="A460" s="10">
        <v>460</v>
      </c>
      <c r="B460" s="10" t="s">
        <v>589</v>
      </c>
      <c r="C460" s="10" t="s">
        <v>590</v>
      </c>
      <c r="D460" s="10" t="s">
        <v>897</v>
      </c>
      <c r="E460" s="10" t="s">
        <v>572</v>
      </c>
      <c r="F460" s="10" t="s">
        <v>573</v>
      </c>
      <c r="G460" s="10">
        <v>2000</v>
      </c>
      <c r="H460" s="10" t="s">
        <v>431</v>
      </c>
      <c r="I460" s="10" t="s">
        <v>574</v>
      </c>
      <c r="J460" s="10">
        <v>345</v>
      </c>
      <c r="K460" s="12">
        <f t="shared" si="7"/>
        <v>6.9000000000000006E-2</v>
      </c>
    </row>
    <row r="461" spans="1:11">
      <c r="A461" s="10">
        <v>461</v>
      </c>
      <c r="B461" s="10" t="s">
        <v>589</v>
      </c>
      <c r="C461" s="10" t="s">
        <v>590</v>
      </c>
      <c r="D461" s="10" t="s">
        <v>899</v>
      </c>
      <c r="E461" s="10" t="s">
        <v>575</v>
      </c>
      <c r="F461" s="10" t="s">
        <v>576</v>
      </c>
      <c r="G461" s="10">
        <v>120</v>
      </c>
      <c r="H461" s="10" t="s">
        <v>567</v>
      </c>
      <c r="I461" s="10" t="s">
        <v>577</v>
      </c>
      <c r="J461" s="10">
        <v>455.09</v>
      </c>
      <c r="K461" s="12">
        <f t="shared" si="7"/>
        <v>5.4610799999999992E-3</v>
      </c>
    </row>
    <row r="462" spans="1:11">
      <c r="A462" s="10">
        <v>462</v>
      </c>
      <c r="B462" s="10" t="s">
        <v>589</v>
      </c>
      <c r="C462" s="10" t="s">
        <v>590</v>
      </c>
      <c r="D462" s="10" t="s">
        <v>899</v>
      </c>
      <c r="E462" s="10" t="s">
        <v>578</v>
      </c>
      <c r="F462" s="10" t="s">
        <v>579</v>
      </c>
      <c r="G462" s="10">
        <v>95</v>
      </c>
      <c r="H462" s="10" t="s">
        <v>567</v>
      </c>
      <c r="I462" s="10" t="s">
        <v>577</v>
      </c>
      <c r="J462" s="10">
        <v>546.25</v>
      </c>
      <c r="K462" s="12">
        <f t="shared" si="7"/>
        <v>5.1893750000000004E-3</v>
      </c>
    </row>
    <row r="463" spans="1:11">
      <c r="A463" s="10">
        <v>463</v>
      </c>
      <c r="B463" s="10" t="s">
        <v>589</v>
      </c>
      <c r="C463" s="10" t="s">
        <v>590</v>
      </c>
      <c r="D463" s="10" t="s">
        <v>899</v>
      </c>
      <c r="E463" s="10" t="s">
        <v>580</v>
      </c>
      <c r="F463" s="10" t="s">
        <v>581</v>
      </c>
      <c r="G463" s="10">
        <v>445</v>
      </c>
      <c r="H463" s="10" t="s">
        <v>567</v>
      </c>
      <c r="I463" s="10" t="s">
        <v>577</v>
      </c>
      <c r="J463" s="10">
        <v>411.01</v>
      </c>
      <c r="K463" s="12">
        <f t="shared" si="7"/>
        <v>1.8289944999999998E-2</v>
      </c>
    </row>
    <row r="464" spans="1:11">
      <c r="A464" s="10">
        <v>464</v>
      </c>
      <c r="B464" s="10" t="s">
        <v>589</v>
      </c>
      <c r="C464" s="10" t="s">
        <v>590</v>
      </c>
      <c r="D464" s="10" t="s">
        <v>899</v>
      </c>
      <c r="E464" s="10" t="s">
        <v>582</v>
      </c>
      <c r="F464" s="10" t="s">
        <v>583</v>
      </c>
      <c r="G464" s="10">
        <v>105</v>
      </c>
      <c r="H464" s="10" t="s">
        <v>567</v>
      </c>
      <c r="I464" s="10" t="s">
        <v>577</v>
      </c>
      <c r="J464" s="10">
        <v>985.32</v>
      </c>
      <c r="K464" s="12">
        <f t="shared" si="7"/>
        <v>1.034586E-2</v>
      </c>
    </row>
    <row r="465" spans="1:11">
      <c r="A465" s="10">
        <v>465</v>
      </c>
      <c r="B465" s="10" t="s">
        <v>589</v>
      </c>
      <c r="C465" s="10" t="s">
        <v>590</v>
      </c>
      <c r="D465" s="10" t="s">
        <v>899</v>
      </c>
      <c r="E465" s="10" t="s">
        <v>584</v>
      </c>
      <c r="F465" s="10" t="s">
        <v>583</v>
      </c>
      <c r="G465" s="10">
        <v>74</v>
      </c>
      <c r="H465" s="10" t="s">
        <v>567</v>
      </c>
      <c r="I465" s="10" t="s">
        <v>577</v>
      </c>
      <c r="J465" s="10">
        <v>1367.48</v>
      </c>
      <c r="K465" s="12">
        <f t="shared" si="7"/>
        <v>1.0119352E-2</v>
      </c>
    </row>
    <row r="466" spans="1:11" hidden="1">
      <c r="A466" s="10">
        <v>466</v>
      </c>
      <c r="B466" s="10" t="s">
        <v>589</v>
      </c>
      <c r="C466" s="10" t="s">
        <v>590</v>
      </c>
      <c r="D466" s="10" t="s">
        <v>898</v>
      </c>
      <c r="E466" s="10" t="s">
        <v>585</v>
      </c>
      <c r="F466" s="10" t="s">
        <v>235</v>
      </c>
      <c r="G466" s="10">
        <v>3</v>
      </c>
      <c r="H466" s="10" t="s">
        <v>586</v>
      </c>
      <c r="I466" s="10" t="s">
        <v>587</v>
      </c>
      <c r="J466" s="25">
        <v>6794.55</v>
      </c>
      <c r="K466" s="12">
        <f t="shared" si="7"/>
        <v>2.0383650000000003E-3</v>
      </c>
    </row>
    <row r="467" spans="1:11" hidden="1">
      <c r="A467" s="10">
        <v>467</v>
      </c>
      <c r="B467" s="10" t="s">
        <v>589</v>
      </c>
      <c r="C467" s="10" t="s">
        <v>590</v>
      </c>
      <c r="D467" s="10" t="s">
        <v>898</v>
      </c>
      <c r="E467" s="10" t="s">
        <v>588</v>
      </c>
      <c r="F467" s="10" t="s">
        <v>238</v>
      </c>
      <c r="G467" s="10">
        <v>1</v>
      </c>
      <c r="H467" s="10" t="s">
        <v>586</v>
      </c>
      <c r="I467" s="10" t="s">
        <v>587</v>
      </c>
      <c r="J467" s="25">
        <v>24606.75</v>
      </c>
      <c r="K467" s="12">
        <f t="shared" si="7"/>
        <v>2.4606749999999998E-3</v>
      </c>
    </row>
    <row r="468" spans="1:11">
      <c r="A468" s="10">
        <v>468</v>
      </c>
      <c r="B468" s="10" t="s">
        <v>620</v>
      </c>
      <c r="C468" s="10" t="s">
        <v>621</v>
      </c>
      <c r="D468" s="10" t="s">
        <v>899</v>
      </c>
      <c r="E468" s="10" t="s">
        <v>591</v>
      </c>
      <c r="F468" s="10" t="s">
        <v>592</v>
      </c>
      <c r="G468" s="10">
        <v>842</v>
      </c>
      <c r="H468" s="10" t="s">
        <v>567</v>
      </c>
      <c r="I468" s="10" t="s">
        <v>437</v>
      </c>
      <c r="J468" s="11">
        <v>2580</v>
      </c>
      <c r="K468" s="12">
        <f t="shared" si="7"/>
        <v>0.21723600000000001</v>
      </c>
    </row>
    <row r="469" spans="1:11">
      <c r="A469" s="10">
        <v>469</v>
      </c>
      <c r="B469" s="10" t="s">
        <v>620</v>
      </c>
      <c r="C469" s="10" t="s">
        <v>621</v>
      </c>
      <c r="D469" s="10" t="s">
        <v>899</v>
      </c>
      <c r="E469" s="10" t="s">
        <v>593</v>
      </c>
      <c r="F469" s="10" t="s">
        <v>592</v>
      </c>
      <c r="G469" s="10">
        <v>425</v>
      </c>
      <c r="H469" s="10" t="s">
        <v>567</v>
      </c>
      <c r="I469" s="10" t="s">
        <v>437</v>
      </c>
      <c r="J469" s="11">
        <v>1979.66</v>
      </c>
      <c r="K469" s="12">
        <f t="shared" si="7"/>
        <v>8.4135550000000003E-2</v>
      </c>
    </row>
    <row r="470" spans="1:11">
      <c r="A470" s="10">
        <v>470</v>
      </c>
      <c r="B470" s="10" t="s">
        <v>620</v>
      </c>
      <c r="C470" s="10" t="s">
        <v>621</v>
      </c>
      <c r="D470" s="10" t="s">
        <v>899</v>
      </c>
      <c r="E470" s="10" t="s">
        <v>594</v>
      </c>
      <c r="F470" s="10" t="s">
        <v>595</v>
      </c>
      <c r="G470" s="10">
        <v>90</v>
      </c>
      <c r="H470" s="10" t="s">
        <v>567</v>
      </c>
      <c r="I470" s="10" t="s">
        <v>437</v>
      </c>
      <c r="J470" s="11">
        <v>151</v>
      </c>
      <c r="K470" s="12">
        <f t="shared" si="7"/>
        <v>1.359E-3</v>
      </c>
    </row>
    <row r="471" spans="1:11">
      <c r="A471" s="10">
        <v>471</v>
      </c>
      <c r="B471" s="10" t="s">
        <v>620</v>
      </c>
      <c r="C471" s="10" t="s">
        <v>621</v>
      </c>
      <c r="D471" s="10" t="s">
        <v>899</v>
      </c>
      <c r="E471" s="10" t="s">
        <v>596</v>
      </c>
      <c r="F471" s="10" t="s">
        <v>592</v>
      </c>
      <c r="G471" s="10">
        <v>360</v>
      </c>
      <c r="H471" s="10" t="s">
        <v>567</v>
      </c>
      <c r="I471" s="10" t="s">
        <v>437</v>
      </c>
      <c r="J471" s="11">
        <v>267.45</v>
      </c>
      <c r="K471" s="12">
        <f t="shared" si="7"/>
        <v>9.6282E-3</v>
      </c>
    </row>
    <row r="472" spans="1:11">
      <c r="A472" s="10">
        <v>472</v>
      </c>
      <c r="B472" s="10" t="s">
        <v>620</v>
      </c>
      <c r="C472" s="10" t="s">
        <v>621</v>
      </c>
      <c r="D472" s="10" t="s">
        <v>899</v>
      </c>
      <c r="E472" s="10" t="s">
        <v>597</v>
      </c>
      <c r="F472" s="10" t="s">
        <v>592</v>
      </c>
      <c r="G472" s="10">
        <v>1823</v>
      </c>
      <c r="H472" s="10" t="s">
        <v>567</v>
      </c>
      <c r="I472" s="10" t="s">
        <v>437</v>
      </c>
      <c r="J472" s="11">
        <v>162.09</v>
      </c>
      <c r="K472" s="12">
        <f t="shared" si="7"/>
        <v>2.9549007000000002E-2</v>
      </c>
    </row>
    <row r="473" spans="1:11">
      <c r="A473" s="10">
        <v>473</v>
      </c>
      <c r="B473" s="10" t="s">
        <v>620</v>
      </c>
      <c r="C473" s="10" t="s">
        <v>621</v>
      </c>
      <c r="D473" s="10" t="s">
        <v>899</v>
      </c>
      <c r="E473" s="10" t="s">
        <v>598</v>
      </c>
      <c r="F473" s="10" t="s">
        <v>599</v>
      </c>
      <c r="G473" s="10">
        <v>364</v>
      </c>
      <c r="H473" s="10" t="s">
        <v>567</v>
      </c>
      <c r="I473" s="10" t="s">
        <v>437</v>
      </c>
      <c r="J473" s="11">
        <v>235</v>
      </c>
      <c r="K473" s="12">
        <f t="shared" si="7"/>
        <v>8.5540000000000008E-3</v>
      </c>
    </row>
    <row r="474" spans="1:11">
      <c r="A474" s="10">
        <v>474</v>
      </c>
      <c r="B474" s="10" t="s">
        <v>620</v>
      </c>
      <c r="C474" s="10" t="s">
        <v>621</v>
      </c>
      <c r="D474" s="10" t="s">
        <v>899</v>
      </c>
      <c r="E474" s="10" t="s">
        <v>600</v>
      </c>
      <c r="F474" s="10" t="s">
        <v>601</v>
      </c>
      <c r="G474" s="10">
        <v>183</v>
      </c>
      <c r="H474" s="10" t="s">
        <v>567</v>
      </c>
      <c r="I474" s="10" t="s">
        <v>437</v>
      </c>
      <c r="J474" s="11">
        <v>351</v>
      </c>
      <c r="K474" s="12">
        <f t="shared" si="7"/>
        <v>6.4232999999999998E-3</v>
      </c>
    </row>
    <row r="475" spans="1:11">
      <c r="A475" s="10">
        <v>475</v>
      </c>
      <c r="B475" s="10" t="s">
        <v>620</v>
      </c>
      <c r="C475" s="10" t="s">
        <v>621</v>
      </c>
      <c r="D475" s="10" t="s">
        <v>899</v>
      </c>
      <c r="E475" s="10" t="s">
        <v>602</v>
      </c>
      <c r="F475" s="10" t="s">
        <v>601</v>
      </c>
      <c r="G475" s="10">
        <v>132</v>
      </c>
      <c r="H475" s="10" t="s">
        <v>567</v>
      </c>
      <c r="I475" s="10" t="s">
        <v>437</v>
      </c>
      <c r="J475" s="11">
        <v>435</v>
      </c>
      <c r="K475" s="12">
        <f t="shared" si="7"/>
        <v>5.7419999999999997E-3</v>
      </c>
    </row>
    <row r="476" spans="1:11">
      <c r="A476" s="10">
        <v>476</v>
      </c>
      <c r="B476" s="10" t="s">
        <v>620</v>
      </c>
      <c r="C476" s="10" t="s">
        <v>621</v>
      </c>
      <c r="D476" s="10" t="s">
        <v>899</v>
      </c>
      <c r="E476" s="10" t="s">
        <v>603</v>
      </c>
      <c r="F476" s="10" t="s">
        <v>601</v>
      </c>
      <c r="G476" s="10">
        <v>59</v>
      </c>
      <c r="H476" s="10" t="s">
        <v>567</v>
      </c>
      <c r="I476" s="10" t="s">
        <v>437</v>
      </c>
      <c r="J476" s="11">
        <v>150</v>
      </c>
      <c r="K476" s="12">
        <f t="shared" si="7"/>
        <v>8.8500000000000004E-4</v>
      </c>
    </row>
    <row r="477" spans="1:11">
      <c r="A477" s="10">
        <v>477</v>
      </c>
      <c r="B477" s="10" t="s">
        <v>620</v>
      </c>
      <c r="C477" s="10" t="s">
        <v>621</v>
      </c>
      <c r="D477" s="10" t="s">
        <v>899</v>
      </c>
      <c r="E477" s="10" t="s">
        <v>604</v>
      </c>
      <c r="F477" s="10" t="s">
        <v>601</v>
      </c>
      <c r="G477" s="10">
        <v>150</v>
      </c>
      <c r="H477" s="10" t="s">
        <v>567</v>
      </c>
      <c r="I477" s="10" t="s">
        <v>437</v>
      </c>
      <c r="J477" s="11">
        <v>831</v>
      </c>
      <c r="K477" s="12">
        <f t="shared" si="7"/>
        <v>1.2465E-2</v>
      </c>
    </row>
    <row r="478" spans="1:11">
      <c r="A478" s="10">
        <v>478</v>
      </c>
      <c r="B478" s="10" t="s">
        <v>620</v>
      </c>
      <c r="C478" s="10" t="s">
        <v>621</v>
      </c>
      <c r="D478" s="10" t="s">
        <v>899</v>
      </c>
      <c r="E478" s="10" t="s">
        <v>605</v>
      </c>
      <c r="F478" s="10" t="s">
        <v>606</v>
      </c>
      <c r="G478" s="10">
        <v>27</v>
      </c>
      <c r="H478" s="10" t="s">
        <v>567</v>
      </c>
      <c r="I478" s="10" t="s">
        <v>435</v>
      </c>
      <c r="J478" s="11">
        <v>1692</v>
      </c>
      <c r="K478" s="12">
        <f t="shared" si="7"/>
        <v>4.5684000000000002E-3</v>
      </c>
    </row>
    <row r="479" spans="1:11">
      <c r="A479" s="10">
        <v>479</v>
      </c>
      <c r="B479" s="10" t="s">
        <v>620</v>
      </c>
      <c r="C479" s="10" t="s">
        <v>621</v>
      </c>
      <c r="D479" s="10" t="s">
        <v>899</v>
      </c>
      <c r="E479" s="10" t="s">
        <v>607</v>
      </c>
      <c r="F479" s="10" t="s">
        <v>592</v>
      </c>
      <c r="G479" s="10">
        <v>164</v>
      </c>
      <c r="H479" s="10" t="s">
        <v>567</v>
      </c>
      <c r="I479" s="10" t="s">
        <v>437</v>
      </c>
      <c r="J479" s="11">
        <v>31.27</v>
      </c>
      <c r="K479" s="12">
        <f t="shared" si="7"/>
        <v>5.12828E-4</v>
      </c>
    </row>
    <row r="480" spans="1:11">
      <c r="A480" s="10">
        <v>480</v>
      </c>
      <c r="B480" s="10" t="s">
        <v>620</v>
      </c>
      <c r="C480" s="10" t="s">
        <v>621</v>
      </c>
      <c r="D480" s="10" t="s">
        <v>899</v>
      </c>
      <c r="E480" s="10" t="s">
        <v>608</v>
      </c>
      <c r="F480" s="10" t="s">
        <v>609</v>
      </c>
      <c r="G480" s="10">
        <v>428</v>
      </c>
      <c r="H480" s="10" t="s">
        <v>567</v>
      </c>
      <c r="I480" s="10" t="s">
        <v>437</v>
      </c>
      <c r="J480" s="11">
        <v>1495.13</v>
      </c>
      <c r="K480" s="12">
        <f t="shared" si="7"/>
        <v>6.3991564000000001E-2</v>
      </c>
    </row>
    <row r="481" spans="1:11">
      <c r="A481" s="10">
        <v>481</v>
      </c>
      <c r="B481" s="10" t="s">
        <v>620</v>
      </c>
      <c r="C481" s="10" t="s">
        <v>621</v>
      </c>
      <c r="D481" s="10" t="s">
        <v>899</v>
      </c>
      <c r="E481" s="10" t="s">
        <v>610</v>
      </c>
      <c r="F481" s="10" t="s">
        <v>611</v>
      </c>
      <c r="G481" s="10">
        <v>23</v>
      </c>
      <c r="H481" s="10" t="s">
        <v>567</v>
      </c>
      <c r="I481" s="10" t="s">
        <v>437</v>
      </c>
      <c r="J481" s="11">
        <v>818</v>
      </c>
      <c r="K481" s="12">
        <f t="shared" si="7"/>
        <v>1.8814000000000001E-3</v>
      </c>
    </row>
    <row r="482" spans="1:11">
      <c r="A482" s="10">
        <v>482</v>
      </c>
      <c r="B482" s="10" t="s">
        <v>620</v>
      </c>
      <c r="C482" s="10" t="s">
        <v>621</v>
      </c>
      <c r="D482" s="10" t="s">
        <v>899</v>
      </c>
      <c r="E482" s="10" t="s">
        <v>612</v>
      </c>
      <c r="F482" s="10" t="s">
        <v>595</v>
      </c>
      <c r="G482" s="10">
        <v>178</v>
      </c>
      <c r="H482" s="10" t="s">
        <v>567</v>
      </c>
      <c r="I482" s="10" t="s">
        <v>437</v>
      </c>
      <c r="J482" s="11">
        <v>1058</v>
      </c>
      <c r="K482" s="12">
        <f t="shared" si="7"/>
        <v>1.8832399999999999E-2</v>
      </c>
    </row>
    <row r="483" spans="1:11">
      <c r="A483" s="10">
        <v>483</v>
      </c>
      <c r="B483" s="10" t="s">
        <v>620</v>
      </c>
      <c r="C483" s="10" t="s">
        <v>621</v>
      </c>
      <c r="D483" s="10" t="s">
        <v>900</v>
      </c>
      <c r="E483" s="10" t="s">
        <v>613</v>
      </c>
      <c r="F483" s="10" t="s">
        <v>614</v>
      </c>
      <c r="G483" s="10">
        <v>240</v>
      </c>
      <c r="H483" s="10" t="s">
        <v>567</v>
      </c>
      <c r="I483" s="10" t="s">
        <v>615</v>
      </c>
      <c r="J483" s="11">
        <v>641</v>
      </c>
      <c r="K483" s="12">
        <f t="shared" si="7"/>
        <v>1.5384E-2</v>
      </c>
    </row>
    <row r="484" spans="1:11">
      <c r="A484" s="10">
        <v>484</v>
      </c>
      <c r="B484" s="10" t="s">
        <v>620</v>
      </c>
      <c r="C484" s="10" t="s">
        <v>621</v>
      </c>
      <c r="D484" s="10" t="s">
        <v>900</v>
      </c>
      <c r="E484" s="10" t="s">
        <v>616</v>
      </c>
      <c r="F484" s="10" t="s">
        <v>617</v>
      </c>
      <c r="G484" s="10">
        <v>450</v>
      </c>
      <c r="H484" s="10" t="s">
        <v>567</v>
      </c>
      <c r="I484" s="10" t="s">
        <v>618</v>
      </c>
      <c r="J484" s="11">
        <v>1625</v>
      </c>
      <c r="K484" s="12">
        <f t="shared" si="7"/>
        <v>7.3124999999999996E-2</v>
      </c>
    </row>
    <row r="485" spans="1:11">
      <c r="A485" s="10">
        <v>485</v>
      </c>
      <c r="B485" s="10" t="s">
        <v>620</v>
      </c>
      <c r="C485" s="10" t="s">
        <v>621</v>
      </c>
      <c r="D485" s="10" t="s">
        <v>900</v>
      </c>
      <c r="E485" s="10" t="s">
        <v>619</v>
      </c>
      <c r="F485" s="10" t="s">
        <v>617</v>
      </c>
      <c r="G485" s="10">
        <v>400</v>
      </c>
      <c r="H485" s="10" t="s">
        <v>567</v>
      </c>
      <c r="I485" s="10" t="s">
        <v>615</v>
      </c>
      <c r="J485" s="11">
        <v>1103</v>
      </c>
      <c r="K485" s="12">
        <f t="shared" si="7"/>
        <v>4.4119999999999999E-2</v>
      </c>
    </row>
    <row r="486" spans="1:11" hidden="1">
      <c r="A486" s="10">
        <v>486</v>
      </c>
      <c r="B486" s="2" t="s">
        <v>757</v>
      </c>
      <c r="C486" s="10" t="s">
        <v>758</v>
      </c>
      <c r="D486" s="10" t="s">
        <v>895</v>
      </c>
      <c r="E486" s="2" t="s">
        <v>622</v>
      </c>
      <c r="F486" s="2" t="s">
        <v>723</v>
      </c>
      <c r="G486" s="2">
        <v>360</v>
      </c>
      <c r="H486" s="2" t="s">
        <v>355</v>
      </c>
      <c r="I486" s="2" t="s">
        <v>746</v>
      </c>
      <c r="J486" s="2">
        <v>169</v>
      </c>
      <c r="K486" s="12">
        <f t="shared" si="7"/>
        <v>6.084E-3</v>
      </c>
    </row>
    <row r="487" spans="1:11" hidden="1">
      <c r="A487" s="10">
        <v>487</v>
      </c>
      <c r="B487" s="2" t="s">
        <v>757</v>
      </c>
      <c r="C487" s="10" t="s">
        <v>758</v>
      </c>
      <c r="D487" s="10" t="s">
        <v>895</v>
      </c>
      <c r="E487" s="2" t="s">
        <v>623</v>
      </c>
      <c r="F487" s="2" t="s">
        <v>723</v>
      </c>
      <c r="G487" s="2">
        <v>72</v>
      </c>
      <c r="H487" s="2" t="s">
        <v>355</v>
      </c>
      <c r="I487" s="2" t="s">
        <v>746</v>
      </c>
      <c r="J487" s="2">
        <v>202.6</v>
      </c>
      <c r="K487" s="12">
        <f t="shared" si="7"/>
        <v>1.4587199999999999E-3</v>
      </c>
    </row>
    <row r="488" spans="1:11" hidden="1">
      <c r="A488" s="10">
        <v>488</v>
      </c>
      <c r="B488" s="2" t="s">
        <v>757</v>
      </c>
      <c r="C488" s="10" t="s">
        <v>758</v>
      </c>
      <c r="D488" s="10" t="s">
        <v>895</v>
      </c>
      <c r="E488" s="2" t="s">
        <v>624</v>
      </c>
      <c r="F488" s="2" t="s">
        <v>723</v>
      </c>
      <c r="G488" s="2">
        <v>72</v>
      </c>
      <c r="H488" s="2" t="s">
        <v>355</v>
      </c>
      <c r="I488" s="2" t="s">
        <v>746</v>
      </c>
      <c r="J488" s="2">
        <v>253</v>
      </c>
      <c r="K488" s="12">
        <f t="shared" si="7"/>
        <v>1.8216E-3</v>
      </c>
    </row>
    <row r="489" spans="1:11" hidden="1">
      <c r="A489" s="10">
        <v>489</v>
      </c>
      <c r="B489" s="2" t="s">
        <v>757</v>
      </c>
      <c r="C489" s="10" t="s">
        <v>758</v>
      </c>
      <c r="D489" s="10" t="s">
        <v>895</v>
      </c>
      <c r="E489" s="2" t="s">
        <v>625</v>
      </c>
      <c r="F489" s="2" t="s">
        <v>723</v>
      </c>
      <c r="G489" s="2">
        <v>180.5</v>
      </c>
      <c r="H489" s="2" t="s">
        <v>355</v>
      </c>
      <c r="I489" s="2" t="s">
        <v>746</v>
      </c>
      <c r="J489" s="2">
        <v>3152</v>
      </c>
      <c r="K489" s="12">
        <f t="shared" si="7"/>
        <v>5.6893600000000003E-2</v>
      </c>
    </row>
    <row r="490" spans="1:11" hidden="1">
      <c r="A490" s="10">
        <v>490</v>
      </c>
      <c r="B490" s="2" t="s">
        <v>757</v>
      </c>
      <c r="C490" s="10" t="s">
        <v>758</v>
      </c>
      <c r="D490" s="10" t="s">
        <v>895</v>
      </c>
      <c r="E490" s="2" t="s">
        <v>626</v>
      </c>
      <c r="F490" s="2" t="s">
        <v>723</v>
      </c>
      <c r="G490" s="2">
        <v>6</v>
      </c>
      <c r="H490" s="2" t="s">
        <v>355</v>
      </c>
      <c r="I490" s="2" t="s">
        <v>746</v>
      </c>
      <c r="J490" s="2">
        <v>3560</v>
      </c>
      <c r="K490" s="12">
        <f t="shared" si="7"/>
        <v>2.1359999999999999E-3</v>
      </c>
    </row>
    <row r="491" spans="1:11" hidden="1">
      <c r="A491" s="10">
        <v>491</v>
      </c>
      <c r="B491" s="2" t="s">
        <v>757</v>
      </c>
      <c r="C491" s="10" t="s">
        <v>758</v>
      </c>
      <c r="D491" s="10" t="s">
        <v>895</v>
      </c>
      <c r="E491" s="2" t="s">
        <v>627</v>
      </c>
      <c r="F491" s="2" t="s">
        <v>723</v>
      </c>
      <c r="G491" s="2">
        <v>2</v>
      </c>
      <c r="H491" s="2" t="s">
        <v>355</v>
      </c>
      <c r="I491" s="2" t="s">
        <v>746</v>
      </c>
      <c r="J491" s="2">
        <v>3929</v>
      </c>
      <c r="K491" s="12">
        <f t="shared" si="7"/>
        <v>7.8580000000000002E-4</v>
      </c>
    </row>
    <row r="492" spans="1:11" hidden="1">
      <c r="A492" s="10">
        <v>492</v>
      </c>
      <c r="B492" s="2" t="s">
        <v>757</v>
      </c>
      <c r="C492" s="10" t="s">
        <v>758</v>
      </c>
      <c r="D492" s="10" t="s">
        <v>895</v>
      </c>
      <c r="E492" s="2" t="s">
        <v>628</v>
      </c>
      <c r="F492" s="2" t="s">
        <v>723</v>
      </c>
      <c r="G492" s="2">
        <v>17.600000000000001</v>
      </c>
      <c r="H492" s="2" t="s">
        <v>355</v>
      </c>
      <c r="I492" s="2" t="s">
        <v>746</v>
      </c>
      <c r="J492" s="2">
        <v>4400</v>
      </c>
      <c r="K492" s="12">
        <f t="shared" si="7"/>
        <v>7.744E-3</v>
      </c>
    </row>
    <row r="493" spans="1:11" hidden="1">
      <c r="A493" s="10">
        <v>493</v>
      </c>
      <c r="B493" s="2" t="s">
        <v>757</v>
      </c>
      <c r="C493" s="10" t="s">
        <v>758</v>
      </c>
      <c r="D493" s="10" t="s">
        <v>897</v>
      </c>
      <c r="E493" s="28" t="s">
        <v>629</v>
      </c>
      <c r="F493" s="10"/>
      <c r="G493" s="10">
        <v>140</v>
      </c>
      <c r="H493" s="10" t="s">
        <v>251</v>
      </c>
      <c r="I493" s="91" t="s">
        <v>747</v>
      </c>
      <c r="J493" s="10">
        <v>583.53</v>
      </c>
      <c r="K493" s="12">
        <f t="shared" si="7"/>
        <v>8.1694200000000002E-3</v>
      </c>
    </row>
    <row r="494" spans="1:11" hidden="1">
      <c r="A494" s="10">
        <v>494</v>
      </c>
      <c r="B494" s="2" t="s">
        <v>757</v>
      </c>
      <c r="C494" s="10" t="s">
        <v>758</v>
      </c>
      <c r="D494" s="10" t="s">
        <v>897</v>
      </c>
      <c r="E494" s="10" t="s">
        <v>630</v>
      </c>
      <c r="F494" s="10"/>
      <c r="G494" s="10">
        <v>125</v>
      </c>
      <c r="H494" s="10" t="s">
        <v>251</v>
      </c>
      <c r="I494" s="91"/>
      <c r="J494" s="10">
        <v>628.04999999999995</v>
      </c>
      <c r="K494" s="12">
        <f t="shared" si="7"/>
        <v>7.850625E-3</v>
      </c>
    </row>
    <row r="495" spans="1:11" hidden="1">
      <c r="A495" s="10">
        <v>495</v>
      </c>
      <c r="B495" s="2" t="s">
        <v>757</v>
      </c>
      <c r="C495" s="10" t="s">
        <v>758</v>
      </c>
      <c r="D495" s="10" t="s">
        <v>897</v>
      </c>
      <c r="E495" s="10" t="s">
        <v>631</v>
      </c>
      <c r="F495" s="10"/>
      <c r="G495" s="10">
        <v>288</v>
      </c>
      <c r="H495" s="10" t="s">
        <v>744</v>
      </c>
      <c r="I495" s="91" t="s">
        <v>748</v>
      </c>
      <c r="J495" s="10">
        <v>1111</v>
      </c>
      <c r="K495" s="12">
        <f t="shared" si="7"/>
        <v>3.1996799999999999E-2</v>
      </c>
    </row>
    <row r="496" spans="1:11" hidden="1">
      <c r="A496" s="10">
        <v>496</v>
      </c>
      <c r="B496" s="2" t="s">
        <v>757</v>
      </c>
      <c r="C496" s="10" t="s">
        <v>758</v>
      </c>
      <c r="D496" s="10" t="s">
        <v>897</v>
      </c>
      <c r="E496" s="10" t="s">
        <v>632</v>
      </c>
      <c r="F496" s="10"/>
      <c r="G496" s="10">
        <v>48</v>
      </c>
      <c r="H496" s="10" t="s">
        <v>744</v>
      </c>
      <c r="I496" s="91"/>
      <c r="J496" s="10">
        <v>940</v>
      </c>
      <c r="K496" s="12">
        <f t="shared" si="7"/>
        <v>4.5120000000000004E-3</v>
      </c>
    </row>
    <row r="497" spans="1:11" hidden="1">
      <c r="A497" s="10">
        <v>497</v>
      </c>
      <c r="B497" s="2" t="s">
        <v>757</v>
      </c>
      <c r="C497" s="10" t="s">
        <v>758</v>
      </c>
      <c r="D497" s="10" t="s">
        <v>897</v>
      </c>
      <c r="E497" s="10" t="s">
        <v>633</v>
      </c>
      <c r="F497" s="10" t="s">
        <v>724</v>
      </c>
      <c r="G497" s="10">
        <v>10</v>
      </c>
      <c r="H497" s="10" t="s">
        <v>745</v>
      </c>
      <c r="I497" s="10" t="s">
        <v>749</v>
      </c>
      <c r="J497" s="10">
        <v>480</v>
      </c>
      <c r="K497" s="12">
        <f t="shared" si="7"/>
        <v>4.8000000000000001E-4</v>
      </c>
    </row>
    <row r="498" spans="1:11" hidden="1">
      <c r="A498" s="10">
        <v>498</v>
      </c>
      <c r="B498" s="2" t="s">
        <v>757</v>
      </c>
      <c r="C498" s="10" t="s">
        <v>758</v>
      </c>
      <c r="D498" s="10" t="s">
        <v>897</v>
      </c>
      <c r="E498" s="10" t="s">
        <v>634</v>
      </c>
      <c r="F498" s="10"/>
      <c r="G498" s="10">
        <v>105</v>
      </c>
      <c r="H498" s="10" t="s">
        <v>744</v>
      </c>
      <c r="I498" s="92" t="s">
        <v>750</v>
      </c>
      <c r="J498" s="10">
        <v>151</v>
      </c>
      <c r="K498" s="12">
        <f t="shared" si="7"/>
        <v>1.5855000000000001E-3</v>
      </c>
    </row>
    <row r="499" spans="1:11" hidden="1">
      <c r="A499" s="10">
        <v>499</v>
      </c>
      <c r="B499" s="2" t="s">
        <v>757</v>
      </c>
      <c r="C499" s="10" t="s">
        <v>758</v>
      </c>
      <c r="D499" s="10" t="s">
        <v>897</v>
      </c>
      <c r="E499" s="8" t="s">
        <v>635</v>
      </c>
      <c r="F499" s="10"/>
      <c r="G499" s="28">
        <v>12</v>
      </c>
      <c r="H499" s="10" t="s">
        <v>250</v>
      </c>
      <c r="I499" s="92"/>
      <c r="J499" s="11">
        <v>17706</v>
      </c>
      <c r="K499" s="12">
        <f t="shared" si="7"/>
        <v>2.1247200000000001E-2</v>
      </c>
    </row>
    <row r="500" spans="1:11" hidden="1">
      <c r="A500" s="10">
        <v>500</v>
      </c>
      <c r="B500" s="2" t="s">
        <v>757</v>
      </c>
      <c r="C500" s="10" t="s">
        <v>758</v>
      </c>
      <c r="D500" s="10" t="s">
        <v>897</v>
      </c>
      <c r="E500" s="8" t="s">
        <v>636</v>
      </c>
      <c r="F500" s="10"/>
      <c r="G500" s="28">
        <v>4</v>
      </c>
      <c r="H500" s="10" t="s">
        <v>250</v>
      </c>
      <c r="I500" s="92"/>
      <c r="J500" s="11">
        <v>23010</v>
      </c>
      <c r="K500" s="12">
        <f t="shared" si="7"/>
        <v>9.2040000000000004E-3</v>
      </c>
    </row>
    <row r="501" spans="1:11" hidden="1">
      <c r="A501" s="10">
        <v>501</v>
      </c>
      <c r="B501" s="2" t="s">
        <v>757</v>
      </c>
      <c r="C501" s="10" t="s">
        <v>758</v>
      </c>
      <c r="D501" s="10" t="s">
        <v>897</v>
      </c>
      <c r="E501" s="8" t="s">
        <v>637</v>
      </c>
      <c r="F501" s="10"/>
      <c r="G501" s="28">
        <v>20</v>
      </c>
      <c r="H501" s="10" t="s">
        <v>250</v>
      </c>
      <c r="I501" s="92"/>
      <c r="J501" s="11">
        <v>23010</v>
      </c>
      <c r="K501" s="12">
        <f t="shared" si="7"/>
        <v>4.6019999999999998E-2</v>
      </c>
    </row>
    <row r="502" spans="1:11" hidden="1">
      <c r="A502" s="10">
        <v>502</v>
      </c>
      <c r="B502" s="2" t="s">
        <v>757</v>
      </c>
      <c r="C502" s="10" t="s">
        <v>758</v>
      </c>
      <c r="D502" s="10" t="s">
        <v>897</v>
      </c>
      <c r="E502" s="8" t="s">
        <v>638</v>
      </c>
      <c r="F502" s="10"/>
      <c r="G502" s="28">
        <v>7</v>
      </c>
      <c r="H502" s="10" t="s">
        <v>250</v>
      </c>
      <c r="I502" s="92"/>
      <c r="J502" s="11">
        <v>15366</v>
      </c>
      <c r="K502" s="12">
        <f t="shared" si="7"/>
        <v>1.07562E-2</v>
      </c>
    </row>
    <row r="503" spans="1:11" hidden="1">
      <c r="A503" s="10">
        <v>503</v>
      </c>
      <c r="B503" s="2" t="s">
        <v>757</v>
      </c>
      <c r="C503" s="10" t="s">
        <v>758</v>
      </c>
      <c r="D503" s="10" t="s">
        <v>983</v>
      </c>
      <c r="E503" s="10" t="s">
        <v>639</v>
      </c>
      <c r="F503" s="92" t="s">
        <v>725</v>
      </c>
      <c r="G503" s="10">
        <v>8</v>
      </c>
      <c r="H503" s="10" t="s">
        <v>250</v>
      </c>
      <c r="I503" s="92" t="s">
        <v>432</v>
      </c>
      <c r="J503" s="10">
        <v>2800</v>
      </c>
      <c r="K503" s="12">
        <f t="shared" si="7"/>
        <v>2.2399999999999998E-3</v>
      </c>
    </row>
    <row r="504" spans="1:11" hidden="1">
      <c r="A504" s="10">
        <v>504</v>
      </c>
      <c r="B504" s="2" t="s">
        <v>757</v>
      </c>
      <c r="C504" s="10" t="s">
        <v>758</v>
      </c>
      <c r="D504" s="10" t="s">
        <v>983</v>
      </c>
      <c r="E504" s="10" t="s">
        <v>640</v>
      </c>
      <c r="F504" s="92"/>
      <c r="G504" s="10">
        <v>4</v>
      </c>
      <c r="H504" s="10" t="s">
        <v>250</v>
      </c>
      <c r="I504" s="92"/>
      <c r="J504" s="10">
        <v>580</v>
      </c>
      <c r="K504" s="12">
        <f t="shared" si="7"/>
        <v>2.32E-4</v>
      </c>
    </row>
    <row r="505" spans="1:11" hidden="1">
      <c r="A505" s="10">
        <v>505</v>
      </c>
      <c r="B505" s="2" t="s">
        <v>757</v>
      </c>
      <c r="C505" s="10" t="s">
        <v>758</v>
      </c>
      <c r="D505" s="10" t="s">
        <v>983</v>
      </c>
      <c r="E505" s="10" t="s">
        <v>641</v>
      </c>
      <c r="F505" s="92"/>
      <c r="G505" s="10">
        <v>4</v>
      </c>
      <c r="H505" s="10" t="s">
        <v>250</v>
      </c>
      <c r="I505" s="92"/>
      <c r="J505" s="10">
        <v>580</v>
      </c>
      <c r="K505" s="12">
        <f t="shared" si="7"/>
        <v>2.32E-4</v>
      </c>
    </row>
    <row r="506" spans="1:11" hidden="1">
      <c r="A506" s="10">
        <v>506</v>
      </c>
      <c r="B506" s="2" t="s">
        <v>757</v>
      </c>
      <c r="C506" s="10" t="s">
        <v>758</v>
      </c>
      <c r="D506" s="10" t="s">
        <v>983</v>
      </c>
      <c r="E506" s="10" t="s">
        <v>640</v>
      </c>
      <c r="F506" s="92"/>
      <c r="G506" s="10">
        <v>12</v>
      </c>
      <c r="H506" s="10" t="s">
        <v>250</v>
      </c>
      <c r="I506" s="92"/>
      <c r="J506" s="10">
        <v>580</v>
      </c>
      <c r="K506" s="12">
        <f t="shared" si="7"/>
        <v>6.96E-4</v>
      </c>
    </row>
    <row r="507" spans="1:11" hidden="1">
      <c r="A507" s="10">
        <v>507</v>
      </c>
      <c r="B507" s="2" t="s">
        <v>757</v>
      </c>
      <c r="C507" s="10" t="s">
        <v>758</v>
      </c>
      <c r="D507" s="10" t="s">
        <v>984</v>
      </c>
      <c r="E507" s="10" t="s">
        <v>642</v>
      </c>
      <c r="F507" s="92" t="s">
        <v>726</v>
      </c>
      <c r="G507" s="10">
        <v>5</v>
      </c>
      <c r="H507" s="10" t="s">
        <v>250</v>
      </c>
      <c r="I507" s="92"/>
      <c r="J507" s="10">
        <v>823.5</v>
      </c>
      <c r="K507" s="12">
        <f t="shared" si="7"/>
        <v>4.1175000000000001E-4</v>
      </c>
    </row>
    <row r="508" spans="1:11" hidden="1">
      <c r="A508" s="10">
        <v>508</v>
      </c>
      <c r="B508" s="2" t="s">
        <v>757</v>
      </c>
      <c r="C508" s="10" t="s">
        <v>758</v>
      </c>
      <c r="D508" s="10" t="s">
        <v>984</v>
      </c>
      <c r="E508" s="10" t="s">
        <v>643</v>
      </c>
      <c r="F508" s="92"/>
      <c r="G508" s="10">
        <v>1</v>
      </c>
      <c r="H508" s="10" t="s">
        <v>250</v>
      </c>
      <c r="I508" s="92"/>
      <c r="J508" s="10">
        <v>823.5</v>
      </c>
      <c r="K508" s="12">
        <f t="shared" si="7"/>
        <v>8.2349999999999996E-5</v>
      </c>
    </row>
    <row r="509" spans="1:11" hidden="1">
      <c r="A509" s="10">
        <v>509</v>
      </c>
      <c r="B509" s="2" t="s">
        <v>757</v>
      </c>
      <c r="C509" s="10" t="s">
        <v>758</v>
      </c>
      <c r="D509" s="10" t="s">
        <v>984</v>
      </c>
      <c r="E509" s="10" t="s">
        <v>644</v>
      </c>
      <c r="F509" s="92"/>
      <c r="G509" s="10">
        <v>1</v>
      </c>
      <c r="H509" s="10" t="s">
        <v>250</v>
      </c>
      <c r="I509" s="92"/>
      <c r="J509" s="10">
        <v>823.5</v>
      </c>
      <c r="K509" s="12">
        <f t="shared" si="7"/>
        <v>8.2349999999999996E-5</v>
      </c>
    </row>
    <row r="510" spans="1:11" hidden="1">
      <c r="A510" s="10">
        <v>510</v>
      </c>
      <c r="B510" s="2" t="s">
        <v>757</v>
      </c>
      <c r="C510" s="10" t="s">
        <v>758</v>
      </c>
      <c r="D510" s="10" t="s">
        <v>984</v>
      </c>
      <c r="E510" s="10" t="s">
        <v>645</v>
      </c>
      <c r="F510" s="92"/>
      <c r="G510" s="10">
        <v>1</v>
      </c>
      <c r="H510" s="10" t="s">
        <v>250</v>
      </c>
      <c r="I510" s="92"/>
      <c r="J510" s="10">
        <v>823.5</v>
      </c>
      <c r="K510" s="12">
        <f t="shared" si="7"/>
        <v>8.2349999999999996E-5</v>
      </c>
    </row>
    <row r="511" spans="1:11" hidden="1">
      <c r="A511" s="10">
        <v>511</v>
      </c>
      <c r="B511" s="2" t="s">
        <v>757</v>
      </c>
      <c r="C511" s="10" t="s">
        <v>758</v>
      </c>
      <c r="D511" s="10" t="s">
        <v>984</v>
      </c>
      <c r="E511" s="10" t="s">
        <v>646</v>
      </c>
      <c r="F511" s="92"/>
      <c r="G511" s="10">
        <v>1</v>
      </c>
      <c r="H511" s="10" t="s">
        <v>250</v>
      </c>
      <c r="I511" s="92"/>
      <c r="J511" s="10">
        <v>823.5</v>
      </c>
      <c r="K511" s="12">
        <f t="shared" si="7"/>
        <v>8.2349999999999996E-5</v>
      </c>
    </row>
    <row r="512" spans="1:11" hidden="1">
      <c r="A512" s="10">
        <v>512</v>
      </c>
      <c r="B512" s="2" t="s">
        <v>757</v>
      </c>
      <c r="C512" s="10" t="s">
        <v>758</v>
      </c>
      <c r="D512" s="10" t="s">
        <v>984</v>
      </c>
      <c r="E512" s="10" t="s">
        <v>647</v>
      </c>
      <c r="F512" s="92"/>
      <c r="G512" s="10">
        <v>1</v>
      </c>
      <c r="H512" s="10" t="s">
        <v>250</v>
      </c>
      <c r="I512" s="92"/>
      <c r="J512" s="10">
        <v>823.5</v>
      </c>
      <c r="K512" s="12">
        <f t="shared" si="7"/>
        <v>8.2349999999999996E-5</v>
      </c>
    </row>
    <row r="513" spans="1:11" hidden="1">
      <c r="A513" s="10">
        <v>513</v>
      </c>
      <c r="B513" s="2" t="s">
        <v>757</v>
      </c>
      <c r="C513" s="10" t="s">
        <v>758</v>
      </c>
      <c r="D513" s="10" t="s">
        <v>984</v>
      </c>
      <c r="E513" s="10" t="s">
        <v>648</v>
      </c>
      <c r="F513" s="92"/>
      <c r="G513" s="10">
        <v>1</v>
      </c>
      <c r="H513" s="10" t="s">
        <v>250</v>
      </c>
      <c r="I513" s="92"/>
      <c r="J513" s="10">
        <v>3705.75</v>
      </c>
      <c r="K513" s="12">
        <f t="shared" si="7"/>
        <v>3.70575E-4</v>
      </c>
    </row>
    <row r="514" spans="1:11" hidden="1">
      <c r="A514" s="10">
        <v>514</v>
      </c>
      <c r="B514" s="2" t="s">
        <v>757</v>
      </c>
      <c r="C514" s="10" t="s">
        <v>758</v>
      </c>
      <c r="D514" s="10" t="s">
        <v>984</v>
      </c>
      <c r="E514" s="10" t="s">
        <v>649</v>
      </c>
      <c r="F514" s="92"/>
      <c r="G514" s="10">
        <v>1</v>
      </c>
      <c r="H514" s="10" t="s">
        <v>250</v>
      </c>
      <c r="I514" s="92"/>
      <c r="J514" s="10">
        <v>2882.25</v>
      </c>
      <c r="K514" s="12">
        <f t="shared" ref="K514:K577" si="8">(J514*G514)/10000000</f>
        <v>2.8822500000000003E-4</v>
      </c>
    </row>
    <row r="515" spans="1:11" hidden="1">
      <c r="A515" s="10">
        <v>515</v>
      </c>
      <c r="B515" s="2" t="s">
        <v>757</v>
      </c>
      <c r="C515" s="10" t="s">
        <v>758</v>
      </c>
      <c r="D515" s="10" t="s">
        <v>984</v>
      </c>
      <c r="E515" s="10" t="s">
        <v>650</v>
      </c>
      <c r="F515" s="92"/>
      <c r="G515" s="10">
        <v>1</v>
      </c>
      <c r="H515" s="10" t="s">
        <v>250</v>
      </c>
      <c r="I515" s="92"/>
      <c r="J515" s="10">
        <v>1317.6</v>
      </c>
      <c r="K515" s="12">
        <f t="shared" si="8"/>
        <v>1.3176E-4</v>
      </c>
    </row>
    <row r="516" spans="1:11" hidden="1">
      <c r="A516" s="10">
        <v>516</v>
      </c>
      <c r="B516" s="2" t="s">
        <v>757</v>
      </c>
      <c r="C516" s="10" t="s">
        <v>758</v>
      </c>
      <c r="D516" s="10" t="s">
        <v>984</v>
      </c>
      <c r="E516" s="10" t="s">
        <v>651</v>
      </c>
      <c r="F516" s="92"/>
      <c r="G516" s="10">
        <v>1</v>
      </c>
      <c r="H516" s="10" t="s">
        <v>250</v>
      </c>
      <c r="I516" s="92"/>
      <c r="J516" s="10">
        <v>1029.375</v>
      </c>
      <c r="K516" s="12">
        <f t="shared" si="8"/>
        <v>1.029375E-4</v>
      </c>
    </row>
    <row r="517" spans="1:11" hidden="1">
      <c r="A517" s="10">
        <v>517</v>
      </c>
      <c r="B517" s="2" t="s">
        <v>757</v>
      </c>
      <c r="C517" s="10" t="s">
        <v>758</v>
      </c>
      <c r="D517" s="10" t="s">
        <v>984</v>
      </c>
      <c r="E517" s="10" t="s">
        <v>652</v>
      </c>
      <c r="F517" s="92"/>
      <c r="G517" s="10">
        <v>2</v>
      </c>
      <c r="H517" s="10" t="s">
        <v>250</v>
      </c>
      <c r="I517" s="92"/>
      <c r="J517" s="10">
        <v>823.5</v>
      </c>
      <c r="K517" s="12">
        <f t="shared" si="8"/>
        <v>1.6469999999999999E-4</v>
      </c>
    </row>
    <row r="518" spans="1:11" hidden="1">
      <c r="A518" s="10">
        <v>518</v>
      </c>
      <c r="B518" s="2" t="s">
        <v>757</v>
      </c>
      <c r="C518" s="10" t="s">
        <v>758</v>
      </c>
      <c r="D518" s="10" t="s">
        <v>982</v>
      </c>
      <c r="E518" s="10" t="s">
        <v>653</v>
      </c>
      <c r="F518" s="92" t="s">
        <v>727</v>
      </c>
      <c r="G518" s="10">
        <v>7</v>
      </c>
      <c r="H518" s="10" t="s">
        <v>250</v>
      </c>
      <c r="I518" s="92"/>
      <c r="J518" s="10">
        <v>823.5</v>
      </c>
      <c r="K518" s="12">
        <f t="shared" si="8"/>
        <v>5.7645000000000005E-4</v>
      </c>
    </row>
    <row r="519" spans="1:11" hidden="1">
      <c r="A519" s="10">
        <v>519</v>
      </c>
      <c r="B519" s="2" t="s">
        <v>757</v>
      </c>
      <c r="C519" s="10" t="s">
        <v>758</v>
      </c>
      <c r="D519" s="10" t="s">
        <v>982</v>
      </c>
      <c r="E519" s="10" t="s">
        <v>654</v>
      </c>
      <c r="F519" s="92"/>
      <c r="G519" s="10">
        <v>2</v>
      </c>
      <c r="H519" s="10" t="s">
        <v>250</v>
      </c>
      <c r="I519" s="92"/>
      <c r="J519" s="10">
        <v>1008.788</v>
      </c>
      <c r="K519" s="12">
        <f t="shared" si="8"/>
        <v>2.0175760000000001E-4</v>
      </c>
    </row>
    <row r="520" spans="1:11" hidden="1">
      <c r="A520" s="10">
        <v>520</v>
      </c>
      <c r="B520" s="2" t="s">
        <v>757</v>
      </c>
      <c r="C520" s="10" t="s">
        <v>758</v>
      </c>
      <c r="D520" s="10" t="s">
        <v>982</v>
      </c>
      <c r="E520" s="10" t="s">
        <v>655</v>
      </c>
      <c r="F520" s="92"/>
      <c r="G520" s="10">
        <v>2</v>
      </c>
      <c r="H520" s="10" t="s">
        <v>250</v>
      </c>
      <c r="I520" s="92"/>
      <c r="J520" s="10">
        <v>823.5</v>
      </c>
      <c r="K520" s="12">
        <f t="shared" si="8"/>
        <v>1.6469999999999999E-4</v>
      </c>
    </row>
    <row r="521" spans="1:11" hidden="1">
      <c r="A521" s="10">
        <v>521</v>
      </c>
      <c r="B521" s="2" t="s">
        <v>757</v>
      </c>
      <c r="C521" s="10" t="s">
        <v>758</v>
      </c>
      <c r="D521" s="10" t="s">
        <v>982</v>
      </c>
      <c r="E521" s="10" t="s">
        <v>656</v>
      </c>
      <c r="F521" s="92"/>
      <c r="G521" s="10">
        <v>9</v>
      </c>
      <c r="H521" s="10" t="s">
        <v>250</v>
      </c>
      <c r="I521" s="92"/>
      <c r="J521" s="10">
        <v>4117.5</v>
      </c>
      <c r="K521" s="12">
        <f t="shared" si="8"/>
        <v>3.7057499999999998E-3</v>
      </c>
    </row>
    <row r="522" spans="1:11" hidden="1">
      <c r="A522" s="10">
        <v>522</v>
      </c>
      <c r="B522" s="2" t="s">
        <v>757</v>
      </c>
      <c r="C522" s="10" t="s">
        <v>758</v>
      </c>
      <c r="D522" s="10" t="s">
        <v>982</v>
      </c>
      <c r="E522" s="10" t="s">
        <v>657</v>
      </c>
      <c r="F522" s="92"/>
      <c r="G522" s="10">
        <v>1</v>
      </c>
      <c r="H522" s="10" t="s">
        <v>250</v>
      </c>
      <c r="I522" s="92"/>
      <c r="J522" s="10">
        <v>4282.2</v>
      </c>
      <c r="K522" s="12">
        <f t="shared" si="8"/>
        <v>4.2821999999999999E-4</v>
      </c>
    </row>
    <row r="523" spans="1:11" hidden="1">
      <c r="A523" s="10">
        <v>523</v>
      </c>
      <c r="B523" s="2" t="s">
        <v>757</v>
      </c>
      <c r="C523" s="10" t="s">
        <v>758</v>
      </c>
      <c r="D523" s="10" t="s">
        <v>982</v>
      </c>
      <c r="E523" s="10" t="s">
        <v>658</v>
      </c>
      <c r="F523" s="92"/>
      <c r="G523" s="10">
        <v>1</v>
      </c>
      <c r="H523" s="10" t="s">
        <v>250</v>
      </c>
      <c r="I523" s="92"/>
      <c r="J523" s="10">
        <v>2305.8000000000002</v>
      </c>
      <c r="K523" s="12">
        <f t="shared" si="8"/>
        <v>2.3058E-4</v>
      </c>
    </row>
    <row r="524" spans="1:11" hidden="1">
      <c r="A524" s="10">
        <v>524</v>
      </c>
      <c r="B524" s="2" t="s">
        <v>757</v>
      </c>
      <c r="C524" s="10" t="s">
        <v>758</v>
      </c>
      <c r="D524" s="10" t="s">
        <v>982</v>
      </c>
      <c r="E524" s="10" t="s">
        <v>659</v>
      </c>
      <c r="F524" s="92"/>
      <c r="G524" s="10">
        <v>4</v>
      </c>
      <c r="H524" s="10" t="s">
        <v>250</v>
      </c>
      <c r="I524" s="92"/>
      <c r="J524" s="10">
        <v>4611.6000000000004</v>
      </c>
      <c r="K524" s="12">
        <f t="shared" si="8"/>
        <v>1.84464E-3</v>
      </c>
    </row>
    <row r="525" spans="1:11" hidden="1">
      <c r="A525" s="10">
        <v>525</v>
      </c>
      <c r="B525" s="2" t="s">
        <v>757</v>
      </c>
      <c r="C525" s="10" t="s">
        <v>758</v>
      </c>
      <c r="D525" s="10" t="s">
        <v>897</v>
      </c>
      <c r="E525" s="10" t="s">
        <v>660</v>
      </c>
      <c r="F525" s="92" t="s">
        <v>728</v>
      </c>
      <c r="G525" s="10">
        <v>5</v>
      </c>
      <c r="H525" s="10" t="s">
        <v>250</v>
      </c>
      <c r="I525" s="92"/>
      <c r="J525" s="10">
        <v>1350</v>
      </c>
      <c r="K525" s="12">
        <f t="shared" si="8"/>
        <v>6.7500000000000004E-4</v>
      </c>
    </row>
    <row r="526" spans="1:11" hidden="1">
      <c r="A526" s="10">
        <v>526</v>
      </c>
      <c r="B526" s="2" t="s">
        <v>757</v>
      </c>
      <c r="C526" s="10" t="s">
        <v>758</v>
      </c>
      <c r="D526" s="10" t="s">
        <v>897</v>
      </c>
      <c r="E526" s="10" t="s">
        <v>661</v>
      </c>
      <c r="F526" s="92"/>
      <c r="G526" s="10">
        <v>1</v>
      </c>
      <c r="H526" s="10" t="s">
        <v>250</v>
      </c>
      <c r="I526" s="92"/>
      <c r="J526" s="10">
        <v>1687.5</v>
      </c>
      <c r="K526" s="12">
        <f t="shared" si="8"/>
        <v>1.6875000000000001E-4</v>
      </c>
    </row>
    <row r="527" spans="1:11" hidden="1">
      <c r="A527" s="10">
        <v>527</v>
      </c>
      <c r="B527" s="2" t="s">
        <v>757</v>
      </c>
      <c r="C527" s="10" t="s">
        <v>758</v>
      </c>
      <c r="D527" s="10" t="s">
        <v>897</v>
      </c>
      <c r="E527" s="8" t="s">
        <v>662</v>
      </c>
      <c r="F527" s="10"/>
      <c r="G527" s="10">
        <v>1</v>
      </c>
      <c r="H527" s="10" t="s">
        <v>250</v>
      </c>
      <c r="I527" s="92" t="s">
        <v>751</v>
      </c>
      <c r="J527" s="11">
        <v>46831</v>
      </c>
      <c r="K527" s="12">
        <f t="shared" si="8"/>
        <v>4.6830999999999999E-3</v>
      </c>
    </row>
    <row r="528" spans="1:11" hidden="1">
      <c r="A528" s="10">
        <v>528</v>
      </c>
      <c r="B528" s="2" t="s">
        <v>757</v>
      </c>
      <c r="C528" s="10" t="s">
        <v>758</v>
      </c>
      <c r="D528" s="10" t="s">
        <v>897</v>
      </c>
      <c r="E528" s="8" t="s">
        <v>663</v>
      </c>
      <c r="F528" s="10"/>
      <c r="G528" s="10">
        <v>4</v>
      </c>
      <c r="H528" s="10" t="s">
        <v>250</v>
      </c>
      <c r="I528" s="92"/>
      <c r="J528" s="11">
        <v>42873</v>
      </c>
      <c r="K528" s="12">
        <f t="shared" si="8"/>
        <v>1.71492E-2</v>
      </c>
    </row>
    <row r="529" spans="1:11" hidden="1">
      <c r="A529" s="10">
        <v>529</v>
      </c>
      <c r="B529" s="2" t="s">
        <v>757</v>
      </c>
      <c r="C529" s="10" t="s">
        <v>758</v>
      </c>
      <c r="D529" s="10" t="s">
        <v>897</v>
      </c>
      <c r="E529" s="8" t="s">
        <v>664</v>
      </c>
      <c r="F529" s="10"/>
      <c r="G529" s="10">
        <v>8</v>
      </c>
      <c r="H529" s="10" t="s">
        <v>250</v>
      </c>
      <c r="I529" s="92"/>
      <c r="J529" s="10">
        <v>746</v>
      </c>
      <c r="K529" s="12">
        <f t="shared" si="8"/>
        <v>5.9679999999999998E-4</v>
      </c>
    </row>
    <row r="530" spans="1:11" hidden="1">
      <c r="A530" s="10">
        <v>530</v>
      </c>
      <c r="B530" s="2" t="s">
        <v>757</v>
      </c>
      <c r="C530" s="10" t="s">
        <v>758</v>
      </c>
      <c r="D530" s="10" t="s">
        <v>897</v>
      </c>
      <c r="E530" s="8" t="s">
        <v>665</v>
      </c>
      <c r="F530" s="10"/>
      <c r="G530" s="10">
        <v>12</v>
      </c>
      <c r="H530" s="10" t="s">
        <v>250</v>
      </c>
      <c r="I530" s="92"/>
      <c r="J530" s="10">
        <v>332</v>
      </c>
      <c r="K530" s="12">
        <f t="shared" si="8"/>
        <v>3.9839999999999998E-4</v>
      </c>
    </row>
    <row r="531" spans="1:11">
      <c r="A531" s="10">
        <v>531</v>
      </c>
      <c r="B531" s="2" t="s">
        <v>757</v>
      </c>
      <c r="C531" s="10" t="s">
        <v>758</v>
      </c>
      <c r="D531" s="10" t="s">
        <v>900</v>
      </c>
      <c r="E531" s="10" t="s">
        <v>666</v>
      </c>
      <c r="F531" s="10"/>
      <c r="G531" s="10">
        <v>85</v>
      </c>
      <c r="H531" s="10" t="s">
        <v>250</v>
      </c>
      <c r="I531" s="91" t="s">
        <v>752</v>
      </c>
      <c r="J531" s="11">
        <v>780</v>
      </c>
      <c r="K531" s="12">
        <f t="shared" si="8"/>
        <v>6.6299999999999996E-3</v>
      </c>
    </row>
    <row r="532" spans="1:11">
      <c r="A532" s="10">
        <v>532</v>
      </c>
      <c r="B532" s="2" t="s">
        <v>757</v>
      </c>
      <c r="C532" s="10" t="s">
        <v>758</v>
      </c>
      <c r="D532" s="10" t="s">
        <v>900</v>
      </c>
      <c r="E532" s="10" t="s">
        <v>667</v>
      </c>
      <c r="F532" s="10"/>
      <c r="G532" s="10">
        <v>145</v>
      </c>
      <c r="H532" s="10" t="s">
        <v>250</v>
      </c>
      <c r="I532" s="91"/>
      <c r="J532" s="11">
        <v>561</v>
      </c>
      <c r="K532" s="12">
        <f t="shared" si="8"/>
        <v>8.1344999999999994E-3</v>
      </c>
    </row>
    <row r="533" spans="1:11">
      <c r="A533" s="10">
        <v>533</v>
      </c>
      <c r="B533" s="2" t="s">
        <v>757</v>
      </c>
      <c r="C533" s="10" t="s">
        <v>758</v>
      </c>
      <c r="D533" s="10" t="s">
        <v>900</v>
      </c>
      <c r="E533" s="10" t="s">
        <v>668</v>
      </c>
      <c r="F533" s="10"/>
      <c r="G533" s="10">
        <v>34</v>
      </c>
      <c r="H533" s="10" t="s">
        <v>250</v>
      </c>
      <c r="I533" s="91"/>
      <c r="J533" s="11">
        <v>233</v>
      </c>
      <c r="K533" s="12">
        <f t="shared" si="8"/>
        <v>7.9219999999999996E-4</v>
      </c>
    </row>
    <row r="534" spans="1:11">
      <c r="A534" s="10">
        <v>534</v>
      </c>
      <c r="B534" s="2" t="s">
        <v>757</v>
      </c>
      <c r="C534" s="10" t="s">
        <v>758</v>
      </c>
      <c r="D534" s="10" t="s">
        <v>900</v>
      </c>
      <c r="E534" s="10" t="s">
        <v>669</v>
      </c>
      <c r="F534" s="10"/>
      <c r="G534" s="10">
        <v>110</v>
      </c>
      <c r="H534" s="10" t="s">
        <v>250</v>
      </c>
      <c r="I534" s="91"/>
      <c r="J534" s="11">
        <v>233</v>
      </c>
      <c r="K534" s="12">
        <f t="shared" si="8"/>
        <v>2.5630000000000002E-3</v>
      </c>
    </row>
    <row r="535" spans="1:11">
      <c r="A535" s="10">
        <v>535</v>
      </c>
      <c r="B535" s="2" t="s">
        <v>757</v>
      </c>
      <c r="C535" s="10" t="s">
        <v>758</v>
      </c>
      <c r="D535" s="10" t="s">
        <v>900</v>
      </c>
      <c r="E535" s="10" t="s">
        <v>670</v>
      </c>
      <c r="F535" s="10"/>
      <c r="G535" s="10">
        <v>200</v>
      </c>
      <c r="H535" s="10" t="s">
        <v>250</v>
      </c>
      <c r="I535" s="91"/>
      <c r="J535" s="11">
        <v>233</v>
      </c>
      <c r="K535" s="12">
        <f t="shared" si="8"/>
        <v>4.6600000000000001E-3</v>
      </c>
    </row>
    <row r="536" spans="1:11">
      <c r="A536" s="10">
        <v>536</v>
      </c>
      <c r="B536" s="2" t="s">
        <v>757</v>
      </c>
      <c r="C536" s="10" t="s">
        <v>758</v>
      </c>
      <c r="D536" s="10" t="s">
        <v>900</v>
      </c>
      <c r="E536" s="10" t="s">
        <v>671</v>
      </c>
      <c r="F536" s="10"/>
      <c r="G536" s="10">
        <v>100</v>
      </c>
      <c r="H536" s="10" t="s">
        <v>250</v>
      </c>
      <c r="I536" s="91"/>
      <c r="J536" s="10">
        <v>260</v>
      </c>
      <c r="K536" s="12">
        <f t="shared" si="8"/>
        <v>2.5999999999999999E-3</v>
      </c>
    </row>
    <row r="537" spans="1:11">
      <c r="A537" s="10">
        <v>537</v>
      </c>
      <c r="B537" s="2" t="s">
        <v>757</v>
      </c>
      <c r="C537" s="10" t="s">
        <v>758</v>
      </c>
      <c r="D537" s="10" t="s">
        <v>900</v>
      </c>
      <c r="E537" s="10" t="s">
        <v>672</v>
      </c>
      <c r="F537" s="10"/>
      <c r="G537" s="10">
        <v>17</v>
      </c>
      <c r="H537" s="10" t="s">
        <v>250</v>
      </c>
      <c r="I537" s="91"/>
      <c r="J537" s="10">
        <v>342</v>
      </c>
      <c r="K537" s="12">
        <f t="shared" si="8"/>
        <v>5.8140000000000004E-4</v>
      </c>
    </row>
    <row r="538" spans="1:11">
      <c r="A538" s="10">
        <v>538</v>
      </c>
      <c r="B538" s="2" t="s">
        <v>757</v>
      </c>
      <c r="C538" s="10" t="s">
        <v>758</v>
      </c>
      <c r="D538" s="10" t="s">
        <v>900</v>
      </c>
      <c r="E538" s="10" t="s">
        <v>673</v>
      </c>
      <c r="F538" s="10"/>
      <c r="G538" s="10">
        <v>10</v>
      </c>
      <c r="H538" s="10" t="s">
        <v>250</v>
      </c>
      <c r="I538" s="91"/>
      <c r="J538" s="10">
        <v>427</v>
      </c>
      <c r="K538" s="12">
        <f t="shared" si="8"/>
        <v>4.2700000000000002E-4</v>
      </c>
    </row>
    <row r="539" spans="1:11">
      <c r="A539" s="10">
        <v>539</v>
      </c>
      <c r="B539" s="2" t="s">
        <v>757</v>
      </c>
      <c r="C539" s="10" t="s">
        <v>758</v>
      </c>
      <c r="D539" s="10" t="s">
        <v>900</v>
      </c>
      <c r="E539" s="10" t="s">
        <v>674</v>
      </c>
      <c r="F539" s="10"/>
      <c r="G539" s="10">
        <v>29</v>
      </c>
      <c r="H539" s="10" t="s">
        <v>250</v>
      </c>
      <c r="I539" s="91"/>
      <c r="J539" s="10">
        <v>944</v>
      </c>
      <c r="K539" s="12">
        <f t="shared" si="8"/>
        <v>2.7376000000000002E-3</v>
      </c>
    </row>
    <row r="540" spans="1:11">
      <c r="A540" s="10">
        <v>540</v>
      </c>
      <c r="B540" s="2" t="s">
        <v>757</v>
      </c>
      <c r="C540" s="10" t="s">
        <v>758</v>
      </c>
      <c r="D540" s="10" t="s">
        <v>900</v>
      </c>
      <c r="E540" s="10" t="s">
        <v>675</v>
      </c>
      <c r="F540" s="10"/>
      <c r="G540" s="10">
        <v>12</v>
      </c>
      <c r="H540" s="10" t="s">
        <v>250</v>
      </c>
      <c r="I540" s="91"/>
      <c r="J540" s="10">
        <v>911</v>
      </c>
      <c r="K540" s="12">
        <f t="shared" si="8"/>
        <v>1.0931999999999999E-3</v>
      </c>
    </row>
    <row r="541" spans="1:11">
      <c r="A541" s="10">
        <v>541</v>
      </c>
      <c r="B541" s="2" t="s">
        <v>757</v>
      </c>
      <c r="C541" s="10" t="s">
        <v>758</v>
      </c>
      <c r="D541" s="10" t="s">
        <v>900</v>
      </c>
      <c r="E541" s="10" t="s">
        <v>676</v>
      </c>
      <c r="F541" s="10"/>
      <c r="G541" s="10">
        <v>7</v>
      </c>
      <c r="H541" s="10" t="s">
        <v>250</v>
      </c>
      <c r="I541" s="91"/>
      <c r="J541" s="10">
        <v>428</v>
      </c>
      <c r="K541" s="12">
        <f t="shared" si="8"/>
        <v>2.9960000000000002E-4</v>
      </c>
    </row>
    <row r="542" spans="1:11" hidden="1">
      <c r="A542" s="10">
        <v>542</v>
      </c>
      <c r="B542" s="2" t="s">
        <v>757</v>
      </c>
      <c r="C542" s="10" t="s">
        <v>758</v>
      </c>
      <c r="D542" s="10" t="s">
        <v>716</v>
      </c>
      <c r="E542" s="10" t="s">
        <v>677</v>
      </c>
      <c r="F542" s="10" t="s">
        <v>729</v>
      </c>
      <c r="G542" s="10">
        <v>2</v>
      </c>
      <c r="H542" s="10" t="s">
        <v>250</v>
      </c>
      <c r="I542" s="91"/>
      <c r="J542" s="11">
        <v>1597</v>
      </c>
      <c r="K542" s="12">
        <f t="shared" si="8"/>
        <v>3.1940000000000001E-4</v>
      </c>
    </row>
    <row r="543" spans="1:11" hidden="1">
      <c r="A543" s="10">
        <v>543</v>
      </c>
      <c r="B543" s="2" t="s">
        <v>757</v>
      </c>
      <c r="C543" s="10" t="s">
        <v>758</v>
      </c>
      <c r="D543" s="10" t="s">
        <v>716</v>
      </c>
      <c r="E543" s="10" t="s">
        <v>678</v>
      </c>
      <c r="F543" s="10" t="s">
        <v>729</v>
      </c>
      <c r="G543" s="10">
        <v>7</v>
      </c>
      <c r="H543" s="10" t="s">
        <v>250</v>
      </c>
      <c r="I543" s="91"/>
      <c r="J543" s="11">
        <v>1810</v>
      </c>
      <c r="K543" s="12">
        <f t="shared" si="8"/>
        <v>1.2669999999999999E-3</v>
      </c>
    </row>
    <row r="544" spans="1:11" hidden="1">
      <c r="A544" s="10">
        <v>544</v>
      </c>
      <c r="B544" s="2" t="s">
        <v>757</v>
      </c>
      <c r="C544" s="10" t="s">
        <v>758</v>
      </c>
      <c r="D544" s="10" t="s">
        <v>716</v>
      </c>
      <c r="E544" s="10" t="s">
        <v>679</v>
      </c>
      <c r="F544" s="10" t="s">
        <v>729</v>
      </c>
      <c r="G544" s="10">
        <v>18</v>
      </c>
      <c r="H544" s="10" t="s">
        <v>250</v>
      </c>
      <c r="I544" s="91"/>
      <c r="J544" s="11">
        <v>1025.5</v>
      </c>
      <c r="K544" s="12">
        <f t="shared" si="8"/>
        <v>1.8458999999999999E-3</v>
      </c>
    </row>
    <row r="545" spans="1:11" hidden="1">
      <c r="A545" s="10">
        <v>545</v>
      </c>
      <c r="B545" s="2" t="s">
        <v>757</v>
      </c>
      <c r="C545" s="10" t="s">
        <v>758</v>
      </c>
      <c r="D545" s="10" t="s">
        <v>716</v>
      </c>
      <c r="E545" s="10" t="s">
        <v>680</v>
      </c>
      <c r="F545" s="10" t="s">
        <v>729</v>
      </c>
      <c r="G545" s="10">
        <v>16</v>
      </c>
      <c r="H545" s="10" t="s">
        <v>250</v>
      </c>
      <c r="I545" s="91"/>
      <c r="J545" s="11">
        <v>1597.2</v>
      </c>
      <c r="K545" s="12">
        <f t="shared" si="8"/>
        <v>2.5555199999999999E-3</v>
      </c>
    </row>
    <row r="546" spans="1:11" hidden="1">
      <c r="A546" s="10">
        <v>546</v>
      </c>
      <c r="B546" s="2" t="s">
        <v>757</v>
      </c>
      <c r="C546" s="10" t="s">
        <v>758</v>
      </c>
      <c r="D546" s="10" t="s">
        <v>716</v>
      </c>
      <c r="E546" s="10" t="s">
        <v>681</v>
      </c>
      <c r="F546" s="10" t="s">
        <v>729</v>
      </c>
      <c r="G546" s="10">
        <v>5</v>
      </c>
      <c r="H546" s="10" t="s">
        <v>250</v>
      </c>
      <c r="I546" s="91"/>
      <c r="J546" s="11">
        <v>1234.5</v>
      </c>
      <c r="K546" s="12">
        <f t="shared" si="8"/>
        <v>6.1724999999999996E-4</v>
      </c>
    </row>
    <row r="547" spans="1:11" hidden="1">
      <c r="A547" s="10">
        <v>547</v>
      </c>
      <c r="B547" s="2" t="s">
        <v>757</v>
      </c>
      <c r="C547" s="10" t="s">
        <v>758</v>
      </c>
      <c r="D547" s="10" t="s">
        <v>716</v>
      </c>
      <c r="E547" s="10" t="s">
        <v>682</v>
      </c>
      <c r="F547" s="10" t="s">
        <v>729</v>
      </c>
      <c r="G547" s="10">
        <v>2</v>
      </c>
      <c r="H547" s="10" t="s">
        <v>250</v>
      </c>
      <c r="I547" s="91"/>
      <c r="J547" s="11">
        <v>1234.5</v>
      </c>
      <c r="K547" s="12">
        <f t="shared" si="8"/>
        <v>2.4689999999999998E-4</v>
      </c>
    </row>
    <row r="548" spans="1:11" hidden="1">
      <c r="A548" s="10">
        <v>548</v>
      </c>
      <c r="B548" s="2" t="s">
        <v>757</v>
      </c>
      <c r="C548" s="10" t="s">
        <v>758</v>
      </c>
      <c r="D548" s="10" t="s">
        <v>716</v>
      </c>
      <c r="E548" s="10" t="s">
        <v>683</v>
      </c>
      <c r="F548" s="10" t="s">
        <v>729</v>
      </c>
      <c r="G548" s="10">
        <v>12</v>
      </c>
      <c r="H548" s="10" t="s">
        <v>250</v>
      </c>
      <c r="I548" s="91"/>
      <c r="J548" s="11">
        <v>1597.2</v>
      </c>
      <c r="K548" s="12">
        <f t="shared" si="8"/>
        <v>1.9166400000000001E-3</v>
      </c>
    </row>
    <row r="549" spans="1:11" hidden="1">
      <c r="A549" s="10">
        <v>549</v>
      </c>
      <c r="B549" s="2" t="s">
        <v>757</v>
      </c>
      <c r="C549" s="10" t="s">
        <v>758</v>
      </c>
      <c r="D549" s="10" t="s">
        <v>716</v>
      </c>
      <c r="E549" s="10" t="s">
        <v>684</v>
      </c>
      <c r="F549" s="10"/>
      <c r="G549" s="10">
        <f>63+4+36</f>
        <v>103</v>
      </c>
      <c r="H549" s="10" t="s">
        <v>250</v>
      </c>
      <c r="I549" s="91"/>
      <c r="J549" s="11">
        <v>2868.6</v>
      </c>
      <c r="K549" s="12">
        <f t="shared" si="8"/>
        <v>2.9546579999999999E-2</v>
      </c>
    </row>
    <row r="550" spans="1:11" hidden="1">
      <c r="A550" s="10">
        <v>550</v>
      </c>
      <c r="B550" s="2" t="s">
        <v>757</v>
      </c>
      <c r="C550" s="10" t="s">
        <v>758</v>
      </c>
      <c r="D550" s="10" t="s">
        <v>716</v>
      </c>
      <c r="E550" s="10" t="s">
        <v>685</v>
      </c>
      <c r="F550" s="10"/>
      <c r="G550" s="10">
        <v>25</v>
      </c>
      <c r="H550" s="10" t="s">
        <v>250</v>
      </c>
      <c r="I550" s="91"/>
      <c r="J550" s="11">
        <v>1425.6</v>
      </c>
      <c r="K550" s="12">
        <f t="shared" si="8"/>
        <v>3.5639999999999999E-3</v>
      </c>
    </row>
    <row r="551" spans="1:11" hidden="1">
      <c r="A551" s="10">
        <v>551</v>
      </c>
      <c r="B551" s="2" t="s">
        <v>757</v>
      </c>
      <c r="C551" s="10" t="s">
        <v>758</v>
      </c>
      <c r="D551" s="10" t="s">
        <v>716</v>
      </c>
      <c r="E551" s="10" t="s">
        <v>686</v>
      </c>
      <c r="F551" s="10"/>
      <c r="G551" s="10">
        <v>9</v>
      </c>
      <c r="H551" s="10" t="s">
        <v>250</v>
      </c>
      <c r="I551" s="91"/>
      <c r="J551" s="11">
        <v>1600</v>
      </c>
      <c r="K551" s="12">
        <f t="shared" si="8"/>
        <v>1.4400000000000001E-3</v>
      </c>
    </row>
    <row r="552" spans="1:11" hidden="1">
      <c r="A552" s="10">
        <v>552</v>
      </c>
      <c r="B552" s="2" t="s">
        <v>757</v>
      </c>
      <c r="C552" s="10" t="s">
        <v>758</v>
      </c>
      <c r="D552" s="10" t="s">
        <v>716</v>
      </c>
      <c r="E552" s="10" t="s">
        <v>687</v>
      </c>
      <c r="F552" s="10"/>
      <c r="G552" s="10">
        <f>85+15+8+5+12+12</f>
        <v>137</v>
      </c>
      <c r="H552" s="10" t="s">
        <v>250</v>
      </c>
      <c r="I552" s="91"/>
      <c r="J552" s="11">
        <v>1160</v>
      </c>
      <c r="K552" s="12">
        <f t="shared" si="8"/>
        <v>1.5892E-2</v>
      </c>
    </row>
    <row r="553" spans="1:11" hidden="1">
      <c r="A553" s="10">
        <v>553</v>
      </c>
      <c r="B553" s="2" t="s">
        <v>757</v>
      </c>
      <c r="C553" s="10" t="s">
        <v>758</v>
      </c>
      <c r="D553" s="10" t="s">
        <v>716</v>
      </c>
      <c r="E553" s="10" t="s">
        <v>688</v>
      </c>
      <c r="F553" s="10"/>
      <c r="G553" s="10">
        <v>26</v>
      </c>
      <c r="H553" s="10" t="s">
        <v>250</v>
      </c>
      <c r="I553" s="91"/>
      <c r="J553" s="11">
        <v>823</v>
      </c>
      <c r="K553" s="12">
        <f t="shared" si="8"/>
        <v>2.1397999999999999E-3</v>
      </c>
    </row>
    <row r="554" spans="1:11" hidden="1">
      <c r="A554" s="10">
        <v>554</v>
      </c>
      <c r="B554" s="2" t="s">
        <v>757</v>
      </c>
      <c r="C554" s="10" t="s">
        <v>758</v>
      </c>
      <c r="D554" s="10" t="s">
        <v>716</v>
      </c>
      <c r="E554" s="10" t="s">
        <v>689</v>
      </c>
      <c r="F554" s="10"/>
      <c r="G554" s="10">
        <v>10</v>
      </c>
      <c r="H554" s="10" t="s">
        <v>250</v>
      </c>
      <c r="I554" s="91"/>
      <c r="J554" s="11">
        <v>2868.6</v>
      </c>
      <c r="K554" s="12">
        <f t="shared" si="8"/>
        <v>2.8685999999999998E-3</v>
      </c>
    </row>
    <row r="555" spans="1:11" hidden="1">
      <c r="A555" s="10">
        <v>555</v>
      </c>
      <c r="B555" s="2" t="s">
        <v>757</v>
      </c>
      <c r="C555" s="10" t="s">
        <v>758</v>
      </c>
      <c r="D555" s="10" t="s">
        <v>716</v>
      </c>
      <c r="E555" s="10" t="s">
        <v>690</v>
      </c>
      <c r="F555" s="10"/>
      <c r="G555" s="10">
        <v>12</v>
      </c>
      <c r="H555" s="10" t="s">
        <v>250</v>
      </c>
      <c r="I555" s="91"/>
      <c r="J555" s="11">
        <v>1540</v>
      </c>
      <c r="K555" s="12">
        <f t="shared" si="8"/>
        <v>1.848E-3</v>
      </c>
    </row>
    <row r="556" spans="1:11" hidden="1">
      <c r="A556" s="10">
        <v>556</v>
      </c>
      <c r="B556" s="2" t="s">
        <v>757</v>
      </c>
      <c r="C556" s="10" t="s">
        <v>758</v>
      </c>
      <c r="D556" s="10" t="s">
        <v>716</v>
      </c>
      <c r="E556" s="10" t="s">
        <v>691</v>
      </c>
      <c r="F556" s="10"/>
      <c r="G556" s="10">
        <v>16</v>
      </c>
      <c r="H556" s="10" t="s">
        <v>250</v>
      </c>
      <c r="I556" s="91"/>
      <c r="J556" s="11">
        <v>1160</v>
      </c>
      <c r="K556" s="12">
        <f t="shared" si="8"/>
        <v>1.856E-3</v>
      </c>
    </row>
    <row r="557" spans="1:11" hidden="1">
      <c r="A557" s="10">
        <v>557</v>
      </c>
      <c r="B557" s="2" t="s">
        <v>757</v>
      </c>
      <c r="C557" s="10" t="s">
        <v>758</v>
      </c>
      <c r="D557" s="10" t="s">
        <v>716</v>
      </c>
      <c r="E557" s="10" t="s">
        <v>692</v>
      </c>
      <c r="F557" s="10"/>
      <c r="G557" s="10">
        <v>6</v>
      </c>
      <c r="H557" s="10" t="s">
        <v>250</v>
      </c>
      <c r="I557" s="91"/>
      <c r="J557" s="11">
        <v>1425.6</v>
      </c>
      <c r="K557" s="12">
        <f t="shared" si="8"/>
        <v>8.5535999999999989E-4</v>
      </c>
    </row>
    <row r="558" spans="1:11" hidden="1">
      <c r="A558" s="10">
        <v>558</v>
      </c>
      <c r="B558" s="2" t="s">
        <v>757</v>
      </c>
      <c r="C558" s="10" t="s">
        <v>758</v>
      </c>
      <c r="D558" s="10" t="s">
        <v>716</v>
      </c>
      <c r="E558" s="10" t="s">
        <v>693</v>
      </c>
      <c r="F558" s="10"/>
      <c r="G558" s="10">
        <v>30</v>
      </c>
      <c r="H558" s="10" t="s">
        <v>250</v>
      </c>
      <c r="I558" s="91"/>
      <c r="J558" s="11">
        <v>1860</v>
      </c>
      <c r="K558" s="12">
        <f t="shared" si="8"/>
        <v>5.5799999999999999E-3</v>
      </c>
    </row>
    <row r="559" spans="1:11" hidden="1">
      <c r="A559" s="10">
        <v>559</v>
      </c>
      <c r="B559" s="2" t="s">
        <v>757</v>
      </c>
      <c r="C559" s="10" t="s">
        <v>758</v>
      </c>
      <c r="D559" s="10" t="s">
        <v>716</v>
      </c>
      <c r="E559" s="10" t="s">
        <v>694</v>
      </c>
      <c r="F559" s="10"/>
      <c r="G559" s="10">
        <v>10</v>
      </c>
      <c r="H559" s="10" t="s">
        <v>250</v>
      </c>
      <c r="I559" s="91"/>
      <c r="J559" s="11">
        <v>1860</v>
      </c>
      <c r="K559" s="12">
        <f t="shared" si="8"/>
        <v>1.8600000000000001E-3</v>
      </c>
    </row>
    <row r="560" spans="1:11" hidden="1">
      <c r="A560" s="10">
        <v>560</v>
      </c>
      <c r="B560" s="2" t="s">
        <v>757</v>
      </c>
      <c r="C560" s="10" t="s">
        <v>758</v>
      </c>
      <c r="D560" s="10" t="s">
        <v>897</v>
      </c>
      <c r="E560" s="10" t="s">
        <v>695</v>
      </c>
      <c r="F560" s="10"/>
      <c r="G560" s="10">
        <v>5</v>
      </c>
      <c r="H560" s="10" t="s">
        <v>250</v>
      </c>
      <c r="I560" s="91"/>
      <c r="J560" s="11">
        <v>1500</v>
      </c>
      <c r="K560" s="12">
        <f t="shared" si="8"/>
        <v>7.5000000000000002E-4</v>
      </c>
    </row>
    <row r="561" spans="1:11" hidden="1">
      <c r="A561" s="10">
        <v>561</v>
      </c>
      <c r="B561" s="2" t="s">
        <v>757</v>
      </c>
      <c r="C561" s="10" t="s">
        <v>758</v>
      </c>
      <c r="D561" s="10" t="s">
        <v>897</v>
      </c>
      <c r="E561" s="10" t="s">
        <v>696</v>
      </c>
      <c r="F561" s="10"/>
      <c r="G561" s="10">
        <v>100</v>
      </c>
      <c r="H561" s="10" t="s">
        <v>250</v>
      </c>
      <c r="I561" s="91"/>
      <c r="J561" s="11">
        <v>480</v>
      </c>
      <c r="K561" s="12">
        <f t="shared" si="8"/>
        <v>4.7999999999999996E-3</v>
      </c>
    </row>
    <row r="562" spans="1:11" hidden="1">
      <c r="A562" s="10">
        <v>562</v>
      </c>
      <c r="B562" s="2" t="s">
        <v>757</v>
      </c>
      <c r="C562" s="10" t="s">
        <v>758</v>
      </c>
      <c r="D562" s="10" t="s">
        <v>897</v>
      </c>
      <c r="E562" s="10" t="s">
        <v>697</v>
      </c>
      <c r="F562" s="10"/>
      <c r="G562" s="10">
        <v>15</v>
      </c>
      <c r="H562" s="10" t="s">
        <v>250</v>
      </c>
      <c r="I562" s="91"/>
      <c r="J562" s="11">
        <v>972</v>
      </c>
      <c r="K562" s="12">
        <f t="shared" si="8"/>
        <v>1.4580000000000001E-3</v>
      </c>
    </row>
    <row r="563" spans="1:11" hidden="1">
      <c r="A563" s="10">
        <v>563</v>
      </c>
      <c r="B563" s="2" t="s">
        <v>757</v>
      </c>
      <c r="C563" s="10" t="s">
        <v>758</v>
      </c>
      <c r="D563" s="10" t="s">
        <v>897</v>
      </c>
      <c r="E563" s="10" t="s">
        <v>698</v>
      </c>
      <c r="F563" s="10"/>
      <c r="G563" s="10">
        <v>80</v>
      </c>
      <c r="H563" s="10" t="s">
        <v>250</v>
      </c>
      <c r="I563" s="91"/>
      <c r="J563" s="11">
        <v>426</v>
      </c>
      <c r="K563" s="12">
        <f t="shared" si="8"/>
        <v>3.408E-3</v>
      </c>
    </row>
    <row r="564" spans="1:11">
      <c r="A564" s="10">
        <v>564</v>
      </c>
      <c r="B564" s="2" t="s">
        <v>757</v>
      </c>
      <c r="C564" s="10" t="s">
        <v>758</v>
      </c>
      <c r="D564" s="10" t="s">
        <v>899</v>
      </c>
      <c r="E564" s="10" t="s">
        <v>699</v>
      </c>
      <c r="F564" s="10" t="s">
        <v>730</v>
      </c>
      <c r="G564" s="10">
        <v>1500</v>
      </c>
      <c r="H564" s="10" t="s">
        <v>182</v>
      </c>
      <c r="I564" s="10" t="s">
        <v>753</v>
      </c>
      <c r="J564" s="11">
        <v>129</v>
      </c>
      <c r="K564" s="12">
        <f t="shared" si="8"/>
        <v>1.9349999999999999E-2</v>
      </c>
    </row>
    <row r="565" spans="1:11">
      <c r="A565" s="10">
        <v>565</v>
      </c>
      <c r="B565" s="2" t="s">
        <v>757</v>
      </c>
      <c r="C565" s="10" t="s">
        <v>758</v>
      </c>
      <c r="D565" s="10" t="s">
        <v>899</v>
      </c>
      <c r="E565" s="10" t="s">
        <v>700</v>
      </c>
      <c r="F565" s="10" t="s">
        <v>730</v>
      </c>
      <c r="G565" s="10">
        <v>3000</v>
      </c>
      <c r="H565" s="10" t="s">
        <v>182</v>
      </c>
      <c r="I565" s="10" t="s">
        <v>753</v>
      </c>
      <c r="J565" s="11">
        <v>182</v>
      </c>
      <c r="K565" s="12">
        <f t="shared" si="8"/>
        <v>5.4600000000000003E-2</v>
      </c>
    </row>
    <row r="566" spans="1:11">
      <c r="A566" s="10">
        <v>566</v>
      </c>
      <c r="B566" s="2" t="s">
        <v>757</v>
      </c>
      <c r="C566" s="10" t="s">
        <v>758</v>
      </c>
      <c r="D566" s="10" t="s">
        <v>899</v>
      </c>
      <c r="E566" s="10" t="s">
        <v>701</v>
      </c>
      <c r="F566" s="10" t="s">
        <v>730</v>
      </c>
      <c r="G566" s="10">
        <v>400</v>
      </c>
      <c r="H566" s="10" t="s">
        <v>182</v>
      </c>
      <c r="I566" s="10" t="s">
        <v>753</v>
      </c>
      <c r="J566" s="11">
        <v>115</v>
      </c>
      <c r="K566" s="12">
        <f t="shared" si="8"/>
        <v>4.5999999999999999E-3</v>
      </c>
    </row>
    <row r="567" spans="1:11">
      <c r="A567" s="10">
        <v>567</v>
      </c>
      <c r="B567" s="2" t="s">
        <v>757</v>
      </c>
      <c r="C567" s="10" t="s">
        <v>758</v>
      </c>
      <c r="D567" s="10" t="s">
        <v>899</v>
      </c>
      <c r="E567" s="10" t="s">
        <v>702</v>
      </c>
      <c r="F567" s="10" t="s">
        <v>730</v>
      </c>
      <c r="G567" s="10">
        <v>149</v>
      </c>
      <c r="H567" s="10" t="s">
        <v>182</v>
      </c>
      <c r="I567" s="10" t="s">
        <v>753</v>
      </c>
      <c r="J567" s="11">
        <v>166</v>
      </c>
      <c r="K567" s="12">
        <f t="shared" si="8"/>
        <v>2.4734000000000002E-3</v>
      </c>
    </row>
    <row r="568" spans="1:11">
      <c r="A568" s="10">
        <v>568</v>
      </c>
      <c r="B568" s="2" t="s">
        <v>757</v>
      </c>
      <c r="C568" s="10" t="s">
        <v>758</v>
      </c>
      <c r="D568" s="10" t="s">
        <v>899</v>
      </c>
      <c r="E568" s="10" t="s">
        <v>703</v>
      </c>
      <c r="F568" s="10" t="s">
        <v>730</v>
      </c>
      <c r="G568" s="10">
        <v>79</v>
      </c>
      <c r="H568" s="10" t="s">
        <v>182</v>
      </c>
      <c r="I568" s="10" t="s">
        <v>753</v>
      </c>
      <c r="J568" s="11">
        <v>288</v>
      </c>
      <c r="K568" s="12">
        <f t="shared" si="8"/>
        <v>2.2751999999999998E-3</v>
      </c>
    </row>
    <row r="569" spans="1:11">
      <c r="A569" s="10">
        <v>569</v>
      </c>
      <c r="B569" s="2" t="s">
        <v>757</v>
      </c>
      <c r="C569" s="10" t="s">
        <v>758</v>
      </c>
      <c r="D569" s="10" t="s">
        <v>899</v>
      </c>
      <c r="E569" s="10" t="s">
        <v>704</v>
      </c>
      <c r="F569" s="10" t="s">
        <v>730</v>
      </c>
      <c r="G569" s="10">
        <v>107</v>
      </c>
      <c r="H569" s="10" t="s">
        <v>182</v>
      </c>
      <c r="I569" s="10" t="s">
        <v>753</v>
      </c>
      <c r="J569" s="11">
        <v>359</v>
      </c>
      <c r="K569" s="12">
        <f t="shared" si="8"/>
        <v>3.8413000000000002E-3</v>
      </c>
    </row>
    <row r="570" spans="1:11">
      <c r="A570" s="10">
        <v>570</v>
      </c>
      <c r="B570" s="2" t="s">
        <v>757</v>
      </c>
      <c r="C570" s="10" t="s">
        <v>758</v>
      </c>
      <c r="D570" s="10" t="s">
        <v>899</v>
      </c>
      <c r="E570" s="10" t="s">
        <v>705</v>
      </c>
      <c r="F570" s="10" t="s">
        <v>730</v>
      </c>
      <c r="G570" s="10">
        <v>348</v>
      </c>
      <c r="H570" s="10" t="s">
        <v>182</v>
      </c>
      <c r="I570" s="10" t="s">
        <v>753</v>
      </c>
      <c r="J570" s="11">
        <v>534</v>
      </c>
      <c r="K570" s="12">
        <f t="shared" si="8"/>
        <v>1.8583200000000001E-2</v>
      </c>
    </row>
    <row r="571" spans="1:11">
      <c r="A571" s="10">
        <v>571</v>
      </c>
      <c r="B571" s="2" t="s">
        <v>757</v>
      </c>
      <c r="C571" s="10" t="s">
        <v>758</v>
      </c>
      <c r="D571" s="10" t="s">
        <v>899</v>
      </c>
      <c r="E571" s="10" t="s">
        <v>706</v>
      </c>
      <c r="F571" s="10" t="s">
        <v>730</v>
      </c>
      <c r="G571" s="10">
        <v>129</v>
      </c>
      <c r="H571" s="10" t="s">
        <v>182</v>
      </c>
      <c r="I571" s="10" t="s">
        <v>753</v>
      </c>
      <c r="J571" s="11">
        <v>849</v>
      </c>
      <c r="K571" s="12">
        <f t="shared" si="8"/>
        <v>1.0952099999999999E-2</v>
      </c>
    </row>
    <row r="572" spans="1:11">
      <c r="A572" s="10">
        <v>572</v>
      </c>
      <c r="B572" s="2" t="s">
        <v>757</v>
      </c>
      <c r="C572" s="10" t="s">
        <v>758</v>
      </c>
      <c r="D572" s="10" t="s">
        <v>899</v>
      </c>
      <c r="E572" s="10" t="s">
        <v>699</v>
      </c>
      <c r="F572" s="10" t="s">
        <v>731</v>
      </c>
      <c r="G572" s="10">
        <v>49</v>
      </c>
      <c r="H572" s="10" t="s">
        <v>182</v>
      </c>
      <c r="I572" s="10" t="s">
        <v>754</v>
      </c>
      <c r="J572" s="11">
        <v>187</v>
      </c>
      <c r="K572" s="12">
        <f t="shared" si="8"/>
        <v>9.1629999999999999E-4</v>
      </c>
    </row>
    <row r="573" spans="1:11">
      <c r="A573" s="10">
        <v>573</v>
      </c>
      <c r="B573" s="2" t="s">
        <v>757</v>
      </c>
      <c r="C573" s="10" t="s">
        <v>758</v>
      </c>
      <c r="D573" s="10" t="s">
        <v>899</v>
      </c>
      <c r="E573" s="10" t="s">
        <v>700</v>
      </c>
      <c r="F573" s="10" t="s">
        <v>731</v>
      </c>
      <c r="G573" s="10">
        <v>100</v>
      </c>
      <c r="H573" s="10" t="s">
        <v>182</v>
      </c>
      <c r="I573" s="10" t="s">
        <v>754</v>
      </c>
      <c r="J573" s="11">
        <v>255</v>
      </c>
      <c r="K573" s="12">
        <f t="shared" si="8"/>
        <v>2.5500000000000002E-3</v>
      </c>
    </row>
    <row r="574" spans="1:11">
      <c r="A574" s="10">
        <v>574</v>
      </c>
      <c r="B574" s="2" t="s">
        <v>757</v>
      </c>
      <c r="C574" s="10" t="s">
        <v>758</v>
      </c>
      <c r="D574" s="10" t="s">
        <v>899</v>
      </c>
      <c r="E574" s="10" t="s">
        <v>702</v>
      </c>
      <c r="F574" s="10" t="s">
        <v>731</v>
      </c>
      <c r="G574" s="10">
        <v>50</v>
      </c>
      <c r="H574" s="10" t="s">
        <v>182</v>
      </c>
      <c r="I574" s="10" t="s">
        <v>754</v>
      </c>
      <c r="J574" s="11">
        <v>239</v>
      </c>
      <c r="K574" s="12">
        <f t="shared" si="8"/>
        <v>1.1950000000000001E-3</v>
      </c>
    </row>
    <row r="575" spans="1:11">
      <c r="A575" s="10">
        <v>575</v>
      </c>
      <c r="B575" s="2" t="s">
        <v>757</v>
      </c>
      <c r="C575" s="10" t="s">
        <v>758</v>
      </c>
      <c r="D575" s="10" t="s">
        <v>899</v>
      </c>
      <c r="E575" s="10" t="s">
        <v>707</v>
      </c>
      <c r="F575" s="10" t="s">
        <v>731</v>
      </c>
      <c r="G575" s="10">
        <v>201</v>
      </c>
      <c r="H575" s="10" t="s">
        <v>182</v>
      </c>
      <c r="I575" s="10" t="s">
        <v>754</v>
      </c>
      <c r="J575" s="11">
        <v>332</v>
      </c>
      <c r="K575" s="12">
        <f t="shared" si="8"/>
        <v>6.6731999999999998E-3</v>
      </c>
    </row>
    <row r="576" spans="1:11">
      <c r="A576" s="10">
        <v>576</v>
      </c>
      <c r="B576" s="2" t="s">
        <v>757</v>
      </c>
      <c r="C576" s="10" t="s">
        <v>758</v>
      </c>
      <c r="D576" s="10" t="s">
        <v>899</v>
      </c>
      <c r="E576" s="10" t="s">
        <v>288</v>
      </c>
      <c r="F576" s="10" t="s">
        <v>732</v>
      </c>
      <c r="G576" s="10">
        <v>31</v>
      </c>
      <c r="H576" s="10" t="s">
        <v>250</v>
      </c>
      <c r="I576" s="10"/>
      <c r="J576" s="10"/>
      <c r="K576" s="12">
        <f t="shared" si="8"/>
        <v>0</v>
      </c>
    </row>
    <row r="577" spans="1:11">
      <c r="A577" s="10">
        <v>577</v>
      </c>
      <c r="B577" s="2" t="s">
        <v>757</v>
      </c>
      <c r="C577" s="10" t="s">
        <v>758</v>
      </c>
      <c r="D577" s="10" t="s">
        <v>899</v>
      </c>
      <c r="E577" s="10" t="s">
        <v>288</v>
      </c>
      <c r="F577" s="10" t="s">
        <v>733</v>
      </c>
      <c r="G577" s="10">
        <v>24</v>
      </c>
      <c r="H577" s="10" t="s">
        <v>250</v>
      </c>
      <c r="I577" s="10"/>
      <c r="J577" s="10"/>
      <c r="K577" s="12">
        <f t="shared" si="8"/>
        <v>0</v>
      </c>
    </row>
    <row r="578" spans="1:11">
      <c r="A578" s="10">
        <v>578</v>
      </c>
      <c r="B578" s="2" t="s">
        <v>757</v>
      </c>
      <c r="C578" s="10" t="s">
        <v>758</v>
      </c>
      <c r="D578" s="10" t="s">
        <v>899</v>
      </c>
      <c r="E578" s="10" t="s">
        <v>288</v>
      </c>
      <c r="F578" s="10" t="s">
        <v>734</v>
      </c>
      <c r="G578" s="10">
        <v>21</v>
      </c>
      <c r="H578" s="10" t="s">
        <v>250</v>
      </c>
      <c r="I578" s="10"/>
      <c r="J578" s="10"/>
      <c r="K578" s="12">
        <f t="shared" ref="K578:K641" si="9">(J578*G578)/10000000</f>
        <v>0</v>
      </c>
    </row>
    <row r="579" spans="1:11">
      <c r="A579" s="10">
        <v>579</v>
      </c>
      <c r="B579" s="2" t="s">
        <v>757</v>
      </c>
      <c r="C579" s="10" t="s">
        <v>758</v>
      </c>
      <c r="D579" s="10" t="s">
        <v>899</v>
      </c>
      <c r="E579" s="10" t="s">
        <v>288</v>
      </c>
      <c r="F579" s="10" t="s">
        <v>735</v>
      </c>
      <c r="G579" s="10">
        <v>12</v>
      </c>
      <c r="H579" s="10" t="s">
        <v>250</v>
      </c>
      <c r="I579" s="10"/>
      <c r="J579" s="10"/>
      <c r="K579" s="12">
        <f t="shared" si="9"/>
        <v>0</v>
      </c>
    </row>
    <row r="580" spans="1:11">
      <c r="A580" s="10">
        <v>580</v>
      </c>
      <c r="B580" s="2" t="s">
        <v>757</v>
      </c>
      <c r="C580" s="10" t="s">
        <v>758</v>
      </c>
      <c r="D580" s="10" t="s">
        <v>899</v>
      </c>
      <c r="E580" s="10" t="s">
        <v>303</v>
      </c>
      <c r="F580" s="10" t="s">
        <v>736</v>
      </c>
      <c r="G580" s="10">
        <v>12</v>
      </c>
      <c r="H580" s="10" t="s">
        <v>250</v>
      </c>
      <c r="I580" s="10"/>
      <c r="J580" s="10"/>
      <c r="K580" s="12">
        <f t="shared" si="9"/>
        <v>0</v>
      </c>
    </row>
    <row r="581" spans="1:11">
      <c r="A581" s="10">
        <v>581</v>
      </c>
      <c r="B581" s="2" t="s">
        <v>757</v>
      </c>
      <c r="C581" s="10" t="s">
        <v>758</v>
      </c>
      <c r="D581" s="10" t="s">
        <v>899</v>
      </c>
      <c r="E581" s="10" t="s">
        <v>303</v>
      </c>
      <c r="F581" s="10" t="s">
        <v>737</v>
      </c>
      <c r="G581" s="10">
        <v>84</v>
      </c>
      <c r="H581" s="10" t="s">
        <v>250</v>
      </c>
      <c r="I581" s="10"/>
      <c r="J581" s="10"/>
      <c r="K581" s="12">
        <f t="shared" si="9"/>
        <v>0</v>
      </c>
    </row>
    <row r="582" spans="1:11">
      <c r="A582" s="10">
        <v>582</v>
      </c>
      <c r="B582" s="2" t="s">
        <v>757</v>
      </c>
      <c r="C582" s="10" t="s">
        <v>758</v>
      </c>
      <c r="D582" s="10" t="s">
        <v>899</v>
      </c>
      <c r="E582" s="10" t="s">
        <v>288</v>
      </c>
      <c r="F582" s="10" t="s">
        <v>738</v>
      </c>
      <c r="G582" s="10">
        <v>1</v>
      </c>
      <c r="H582" s="10" t="s">
        <v>250</v>
      </c>
      <c r="I582" s="10"/>
      <c r="J582" s="10"/>
      <c r="K582" s="12">
        <f t="shared" si="9"/>
        <v>0</v>
      </c>
    </row>
    <row r="583" spans="1:11" hidden="1">
      <c r="A583" s="10">
        <v>583</v>
      </c>
      <c r="B583" s="2" t="s">
        <v>757</v>
      </c>
      <c r="C583" s="10" t="s">
        <v>758</v>
      </c>
      <c r="D583" s="10" t="s">
        <v>897</v>
      </c>
      <c r="E583" s="10" t="s">
        <v>708</v>
      </c>
      <c r="F583" s="10" t="s">
        <v>739</v>
      </c>
      <c r="G583" s="10">
        <v>66</v>
      </c>
      <c r="H583" s="10" t="s">
        <v>250</v>
      </c>
      <c r="I583" s="10"/>
      <c r="J583" s="10"/>
      <c r="K583" s="12">
        <f t="shared" si="9"/>
        <v>0</v>
      </c>
    </row>
    <row r="584" spans="1:11" hidden="1">
      <c r="A584" s="10">
        <v>584</v>
      </c>
      <c r="B584" s="2" t="s">
        <v>757</v>
      </c>
      <c r="C584" s="10" t="s">
        <v>758</v>
      </c>
      <c r="D584" s="10" t="s">
        <v>288</v>
      </c>
      <c r="E584" s="10" t="s">
        <v>288</v>
      </c>
      <c r="F584" s="10" t="s">
        <v>740</v>
      </c>
      <c r="G584" s="10">
        <v>329</v>
      </c>
      <c r="H584" s="10" t="s">
        <v>250</v>
      </c>
      <c r="I584" s="10"/>
      <c r="J584" s="10"/>
      <c r="K584" s="12">
        <f t="shared" si="9"/>
        <v>0</v>
      </c>
    </row>
    <row r="585" spans="1:11" hidden="1">
      <c r="A585" s="10">
        <v>585</v>
      </c>
      <c r="B585" s="2" t="s">
        <v>757</v>
      </c>
      <c r="C585" s="10" t="s">
        <v>758</v>
      </c>
      <c r="D585" s="10" t="s">
        <v>288</v>
      </c>
      <c r="E585" s="10" t="s">
        <v>288</v>
      </c>
      <c r="F585" s="10" t="s">
        <v>741</v>
      </c>
      <c r="G585" s="10">
        <v>853</v>
      </c>
      <c r="H585" s="10" t="s">
        <v>250</v>
      </c>
      <c r="I585" s="10"/>
      <c r="J585" s="10"/>
      <c r="K585" s="12">
        <f t="shared" si="9"/>
        <v>0</v>
      </c>
    </row>
    <row r="586" spans="1:11" hidden="1">
      <c r="A586" s="10">
        <v>586</v>
      </c>
      <c r="B586" s="2" t="s">
        <v>757</v>
      </c>
      <c r="C586" s="10" t="s">
        <v>758</v>
      </c>
      <c r="D586" s="10" t="s">
        <v>288</v>
      </c>
      <c r="E586" s="10" t="s">
        <v>288</v>
      </c>
      <c r="F586" s="10" t="s">
        <v>742</v>
      </c>
      <c r="G586" s="10">
        <v>2</v>
      </c>
      <c r="H586" s="10" t="s">
        <v>250</v>
      </c>
      <c r="I586" s="10"/>
      <c r="J586" s="10"/>
      <c r="K586" s="12">
        <f t="shared" si="9"/>
        <v>0</v>
      </c>
    </row>
    <row r="587" spans="1:11" hidden="1">
      <c r="A587" s="10">
        <v>587</v>
      </c>
      <c r="B587" s="2" t="s">
        <v>757</v>
      </c>
      <c r="C587" s="10" t="s">
        <v>758</v>
      </c>
      <c r="D587" s="10" t="s">
        <v>897</v>
      </c>
      <c r="E587" s="10" t="s">
        <v>709</v>
      </c>
      <c r="F587" s="10"/>
      <c r="G587" s="10">
        <v>38</v>
      </c>
      <c r="H587" s="10" t="s">
        <v>250</v>
      </c>
      <c r="I587" s="10"/>
      <c r="J587" s="10"/>
      <c r="K587" s="12">
        <f t="shared" si="9"/>
        <v>0</v>
      </c>
    </row>
    <row r="588" spans="1:11" hidden="1">
      <c r="A588" s="10">
        <v>588</v>
      </c>
      <c r="B588" s="2" t="s">
        <v>757</v>
      </c>
      <c r="C588" s="10" t="s">
        <v>758</v>
      </c>
      <c r="D588" s="10" t="s">
        <v>897</v>
      </c>
      <c r="E588" s="10" t="s">
        <v>710</v>
      </c>
      <c r="F588" s="10"/>
      <c r="G588" s="10">
        <v>3</v>
      </c>
      <c r="H588" s="10" t="s">
        <v>250</v>
      </c>
      <c r="I588" s="10"/>
      <c r="J588" s="10"/>
      <c r="K588" s="12">
        <f t="shared" si="9"/>
        <v>0</v>
      </c>
    </row>
    <row r="589" spans="1:11" hidden="1">
      <c r="A589" s="10">
        <v>589</v>
      </c>
      <c r="B589" s="2" t="s">
        <v>757</v>
      </c>
      <c r="C589" s="10" t="s">
        <v>758</v>
      </c>
      <c r="D589" s="10" t="s">
        <v>897</v>
      </c>
      <c r="E589" s="10" t="s">
        <v>711</v>
      </c>
      <c r="F589" s="10"/>
      <c r="G589" s="10">
        <v>7</v>
      </c>
      <c r="H589" s="10" t="s">
        <v>250</v>
      </c>
      <c r="I589" s="10"/>
      <c r="J589" s="10"/>
      <c r="K589" s="12">
        <f t="shared" si="9"/>
        <v>0</v>
      </c>
    </row>
    <row r="590" spans="1:11" hidden="1">
      <c r="A590" s="10">
        <v>590</v>
      </c>
      <c r="B590" s="2" t="s">
        <v>757</v>
      </c>
      <c r="C590" s="10" t="s">
        <v>758</v>
      </c>
      <c r="D590" s="10" t="s">
        <v>897</v>
      </c>
      <c r="E590" s="8" t="s">
        <v>712</v>
      </c>
      <c r="F590" s="10"/>
      <c r="G590" s="10">
        <v>46</v>
      </c>
      <c r="H590" s="10" t="s">
        <v>250</v>
      </c>
      <c r="I590" s="8" t="s">
        <v>755</v>
      </c>
      <c r="J590" s="11">
        <v>4135</v>
      </c>
      <c r="K590" s="12">
        <f t="shared" si="9"/>
        <v>1.9021E-2</v>
      </c>
    </row>
    <row r="591" spans="1:11" hidden="1">
      <c r="A591" s="10">
        <v>591</v>
      </c>
      <c r="B591" s="2" t="s">
        <v>757</v>
      </c>
      <c r="C591" s="10" t="s">
        <v>758</v>
      </c>
      <c r="D591" s="10" t="s">
        <v>980</v>
      </c>
      <c r="E591" s="8" t="s">
        <v>713</v>
      </c>
      <c r="F591" s="10"/>
      <c r="G591" s="10">
        <v>400</v>
      </c>
      <c r="H591" s="10" t="s">
        <v>355</v>
      </c>
      <c r="I591" s="10"/>
      <c r="J591" s="11">
        <v>80</v>
      </c>
      <c r="K591" s="12">
        <f t="shared" si="9"/>
        <v>3.2000000000000002E-3</v>
      </c>
    </row>
    <row r="592" spans="1:11" hidden="1">
      <c r="A592" s="10">
        <v>592</v>
      </c>
      <c r="B592" s="2" t="s">
        <v>757</v>
      </c>
      <c r="C592" s="10" t="s">
        <v>758</v>
      </c>
      <c r="D592" s="10" t="s">
        <v>980</v>
      </c>
      <c r="E592" s="10" t="s">
        <v>714</v>
      </c>
      <c r="F592" s="10"/>
      <c r="G592" s="10">
        <v>50</v>
      </c>
      <c r="H592" s="10" t="s">
        <v>355</v>
      </c>
      <c r="I592" s="10"/>
      <c r="J592" s="11">
        <v>102</v>
      </c>
      <c r="K592" s="12">
        <f t="shared" si="9"/>
        <v>5.1000000000000004E-4</v>
      </c>
    </row>
    <row r="593" spans="1:11" hidden="1">
      <c r="A593" s="10">
        <v>593</v>
      </c>
      <c r="B593" s="2" t="s">
        <v>757</v>
      </c>
      <c r="C593" s="10" t="s">
        <v>758</v>
      </c>
      <c r="D593" s="10" t="s">
        <v>897</v>
      </c>
      <c r="E593" s="28" t="s">
        <v>715</v>
      </c>
      <c r="F593" s="10" t="s">
        <v>743</v>
      </c>
      <c r="G593" s="10">
        <v>300</v>
      </c>
      <c r="H593" s="10" t="s">
        <v>33</v>
      </c>
      <c r="I593" s="28" t="s">
        <v>756</v>
      </c>
      <c r="J593" s="11">
        <v>720</v>
      </c>
      <c r="K593" s="12">
        <f t="shared" si="9"/>
        <v>2.1600000000000001E-2</v>
      </c>
    </row>
    <row r="594" spans="1:11" hidden="1">
      <c r="A594" s="10">
        <v>594</v>
      </c>
      <c r="B594" s="2" t="s">
        <v>757</v>
      </c>
      <c r="C594" s="10" t="s">
        <v>758</v>
      </c>
      <c r="D594" s="10" t="s">
        <v>716</v>
      </c>
      <c r="E594" s="9" t="s">
        <v>716</v>
      </c>
      <c r="F594" s="93"/>
      <c r="G594" s="10">
        <v>24</v>
      </c>
      <c r="H594" s="10"/>
      <c r="I594" s="10"/>
      <c r="J594" s="11">
        <v>223</v>
      </c>
      <c r="K594" s="12">
        <f t="shared" si="9"/>
        <v>5.352E-4</v>
      </c>
    </row>
    <row r="595" spans="1:11" hidden="1">
      <c r="A595" s="10">
        <v>595</v>
      </c>
      <c r="B595" s="2" t="s">
        <v>757</v>
      </c>
      <c r="C595" s="10" t="s">
        <v>758</v>
      </c>
      <c r="D595" s="10" t="s">
        <v>716</v>
      </c>
      <c r="E595" s="9" t="s">
        <v>716</v>
      </c>
      <c r="F595" s="93"/>
      <c r="G595" s="10">
        <v>6</v>
      </c>
      <c r="H595" s="10"/>
      <c r="I595" s="10"/>
      <c r="J595" s="11">
        <v>304</v>
      </c>
      <c r="K595" s="12">
        <f t="shared" si="9"/>
        <v>1.8239999999999999E-4</v>
      </c>
    </row>
    <row r="596" spans="1:11" hidden="1">
      <c r="A596" s="10">
        <v>596</v>
      </c>
      <c r="B596" s="2" t="s">
        <v>757</v>
      </c>
      <c r="C596" s="10" t="s">
        <v>758</v>
      </c>
      <c r="D596" s="10" t="s">
        <v>716</v>
      </c>
      <c r="E596" s="9" t="s">
        <v>716</v>
      </c>
      <c r="F596" s="93"/>
      <c r="G596" s="10">
        <v>20</v>
      </c>
      <c r="H596" s="10"/>
      <c r="I596" s="10"/>
      <c r="J596" s="11">
        <v>445</v>
      </c>
      <c r="K596" s="12">
        <f t="shared" si="9"/>
        <v>8.8999999999999995E-4</v>
      </c>
    </row>
    <row r="597" spans="1:11" hidden="1">
      <c r="A597" s="10">
        <v>597</v>
      </c>
      <c r="B597" s="2" t="s">
        <v>757</v>
      </c>
      <c r="C597" s="10" t="s">
        <v>758</v>
      </c>
      <c r="D597" s="10" t="s">
        <v>716</v>
      </c>
      <c r="E597" s="9" t="s">
        <v>717</v>
      </c>
      <c r="F597" s="93"/>
      <c r="G597" s="10">
        <v>26</v>
      </c>
      <c r="H597" s="10"/>
      <c r="I597" s="10"/>
      <c r="J597" s="11">
        <v>55.17</v>
      </c>
      <c r="K597" s="12">
        <f t="shared" si="9"/>
        <v>1.43442E-4</v>
      </c>
    </row>
    <row r="598" spans="1:11" hidden="1">
      <c r="A598" s="10">
        <v>598</v>
      </c>
      <c r="B598" s="2" t="s">
        <v>757</v>
      </c>
      <c r="C598" s="10" t="s">
        <v>758</v>
      </c>
      <c r="D598" s="10" t="s">
        <v>716</v>
      </c>
      <c r="E598" s="9" t="s">
        <v>717</v>
      </c>
      <c r="F598" s="93"/>
      <c r="G598" s="10">
        <v>7</v>
      </c>
      <c r="H598" s="10"/>
      <c r="I598" s="10"/>
      <c r="J598" s="11">
        <v>1860</v>
      </c>
      <c r="K598" s="12">
        <f t="shared" si="9"/>
        <v>1.302E-3</v>
      </c>
    </row>
    <row r="599" spans="1:11" hidden="1">
      <c r="A599" s="10">
        <v>599</v>
      </c>
      <c r="B599" s="2" t="s">
        <v>757</v>
      </c>
      <c r="C599" s="10" t="s">
        <v>758</v>
      </c>
      <c r="D599" s="10" t="s">
        <v>716</v>
      </c>
      <c r="E599" s="9" t="s">
        <v>718</v>
      </c>
      <c r="F599" s="93"/>
      <c r="G599" s="10">
        <v>250</v>
      </c>
      <c r="H599" s="10"/>
      <c r="I599" s="10"/>
      <c r="J599" s="11">
        <v>136.51</v>
      </c>
      <c r="K599" s="12">
        <f t="shared" si="9"/>
        <v>3.41275E-3</v>
      </c>
    </row>
    <row r="600" spans="1:11" hidden="1">
      <c r="A600" s="10">
        <v>600</v>
      </c>
      <c r="B600" s="2" t="s">
        <v>757</v>
      </c>
      <c r="C600" s="10" t="s">
        <v>758</v>
      </c>
      <c r="D600" s="10" t="s">
        <v>716</v>
      </c>
      <c r="E600" s="9" t="s">
        <v>719</v>
      </c>
      <c r="F600" s="93"/>
      <c r="G600" s="10">
        <v>400</v>
      </c>
      <c r="H600" s="10"/>
      <c r="I600" s="10"/>
      <c r="J600" s="11">
        <v>97</v>
      </c>
      <c r="K600" s="12">
        <f t="shared" si="9"/>
        <v>3.8800000000000002E-3</v>
      </c>
    </row>
    <row r="601" spans="1:11" hidden="1">
      <c r="A601" s="10">
        <v>601</v>
      </c>
      <c r="B601" s="2" t="s">
        <v>757</v>
      </c>
      <c r="C601" s="10" t="s">
        <v>758</v>
      </c>
      <c r="D601" s="10" t="s">
        <v>716</v>
      </c>
      <c r="E601" s="9" t="s">
        <v>719</v>
      </c>
      <c r="F601" s="93"/>
      <c r="G601" s="10">
        <v>200</v>
      </c>
      <c r="H601" s="10"/>
      <c r="I601" s="10"/>
      <c r="J601" s="11">
        <v>97</v>
      </c>
      <c r="K601" s="12">
        <f t="shared" si="9"/>
        <v>1.9400000000000001E-3</v>
      </c>
    </row>
    <row r="602" spans="1:11" hidden="1">
      <c r="A602" s="10">
        <v>602</v>
      </c>
      <c r="B602" s="2" t="s">
        <v>757</v>
      </c>
      <c r="C602" s="10" t="s">
        <v>758</v>
      </c>
      <c r="D602" s="10" t="s">
        <v>716</v>
      </c>
      <c r="E602" s="9" t="s">
        <v>720</v>
      </c>
      <c r="F602" s="93"/>
      <c r="G602" s="10">
        <v>4</v>
      </c>
      <c r="H602" s="10"/>
      <c r="I602" s="10"/>
      <c r="J602" s="11">
        <v>1860</v>
      </c>
      <c r="K602" s="12">
        <f t="shared" si="9"/>
        <v>7.4399999999999998E-4</v>
      </c>
    </row>
    <row r="603" spans="1:11" hidden="1">
      <c r="A603" s="10">
        <v>603</v>
      </c>
      <c r="B603" s="2" t="s">
        <v>757</v>
      </c>
      <c r="C603" s="10" t="s">
        <v>758</v>
      </c>
      <c r="D603" s="10" t="s">
        <v>716</v>
      </c>
      <c r="E603" s="46" t="s">
        <v>720</v>
      </c>
      <c r="F603" s="93"/>
      <c r="G603" s="10">
        <v>2</v>
      </c>
      <c r="H603" s="10"/>
      <c r="I603" s="10"/>
      <c r="J603" s="11">
        <v>1234.8</v>
      </c>
      <c r="K603" s="12">
        <f t="shared" si="9"/>
        <v>2.4696000000000001E-4</v>
      </c>
    </row>
    <row r="604" spans="1:11" hidden="1">
      <c r="A604" s="10">
        <v>604</v>
      </c>
      <c r="B604" s="2" t="s">
        <v>757</v>
      </c>
      <c r="C604" s="10" t="s">
        <v>758</v>
      </c>
      <c r="D604" s="10" t="s">
        <v>716</v>
      </c>
      <c r="E604" s="9" t="s">
        <v>720</v>
      </c>
      <c r="F604" s="93"/>
      <c r="G604" s="10">
        <v>5</v>
      </c>
      <c r="H604" s="10"/>
      <c r="I604" s="10"/>
      <c r="J604" s="11">
        <v>1830</v>
      </c>
      <c r="K604" s="12">
        <f t="shared" si="9"/>
        <v>9.1500000000000001E-4</v>
      </c>
    </row>
    <row r="605" spans="1:11" hidden="1">
      <c r="A605" s="10">
        <v>605</v>
      </c>
      <c r="B605" s="2" t="s">
        <v>757</v>
      </c>
      <c r="C605" s="10" t="s">
        <v>758</v>
      </c>
      <c r="D605" s="10" t="s">
        <v>717</v>
      </c>
      <c r="E605" s="9" t="s">
        <v>717</v>
      </c>
      <c r="F605" s="93"/>
      <c r="G605" s="10">
        <v>5</v>
      </c>
      <c r="H605" s="10"/>
      <c r="I605" s="10"/>
      <c r="J605" s="11">
        <v>476</v>
      </c>
      <c r="K605" s="12">
        <f t="shared" si="9"/>
        <v>2.3800000000000001E-4</v>
      </c>
    </row>
    <row r="606" spans="1:11" hidden="1">
      <c r="A606" s="10">
        <v>606</v>
      </c>
      <c r="B606" s="2" t="s">
        <v>757</v>
      </c>
      <c r="C606" s="10" t="s">
        <v>758</v>
      </c>
      <c r="D606" s="10" t="s">
        <v>717</v>
      </c>
      <c r="E606" s="9" t="s">
        <v>717</v>
      </c>
      <c r="F606" s="93"/>
      <c r="G606" s="10">
        <v>3</v>
      </c>
      <c r="H606" s="10"/>
      <c r="I606" s="10"/>
      <c r="J606" s="11">
        <v>1118.18</v>
      </c>
      <c r="K606" s="12">
        <f t="shared" si="9"/>
        <v>3.35454E-4</v>
      </c>
    </row>
    <row r="607" spans="1:11" hidden="1">
      <c r="A607" s="10">
        <v>607</v>
      </c>
      <c r="B607" s="2" t="s">
        <v>757</v>
      </c>
      <c r="C607" s="10" t="s">
        <v>758</v>
      </c>
      <c r="D607" s="10" t="s">
        <v>717</v>
      </c>
      <c r="E607" s="9" t="s">
        <v>717</v>
      </c>
      <c r="F607" s="93"/>
      <c r="G607" s="10">
        <v>5</v>
      </c>
      <c r="H607" s="10"/>
      <c r="I607" s="10"/>
      <c r="J607" s="11">
        <v>253.13</v>
      </c>
      <c r="K607" s="12">
        <f t="shared" si="9"/>
        <v>1.2656500000000001E-4</v>
      </c>
    </row>
    <row r="608" spans="1:11" hidden="1">
      <c r="A608" s="10">
        <v>608</v>
      </c>
      <c r="B608" s="2" t="s">
        <v>757</v>
      </c>
      <c r="C608" s="10" t="s">
        <v>758</v>
      </c>
      <c r="D608" s="10" t="s">
        <v>717</v>
      </c>
      <c r="E608" s="9" t="s">
        <v>717</v>
      </c>
      <c r="F608" s="93"/>
      <c r="G608" s="10">
        <v>9</v>
      </c>
      <c r="H608" s="10"/>
      <c r="I608" s="10"/>
      <c r="J608" s="11">
        <v>1863</v>
      </c>
      <c r="K608" s="12">
        <f t="shared" si="9"/>
        <v>1.6766999999999999E-3</v>
      </c>
    </row>
    <row r="609" spans="1:11" hidden="1">
      <c r="A609" s="10">
        <v>609</v>
      </c>
      <c r="B609" s="2" t="s">
        <v>757</v>
      </c>
      <c r="C609" s="10" t="s">
        <v>758</v>
      </c>
      <c r="D609" s="10" t="s">
        <v>717</v>
      </c>
      <c r="E609" s="9" t="s">
        <v>717</v>
      </c>
      <c r="F609" s="93"/>
      <c r="G609" s="10">
        <v>5</v>
      </c>
      <c r="H609" s="10"/>
      <c r="I609" s="10"/>
      <c r="J609" s="11">
        <v>1400</v>
      </c>
      <c r="K609" s="12">
        <f t="shared" si="9"/>
        <v>6.9999999999999999E-4</v>
      </c>
    </row>
    <row r="610" spans="1:11" hidden="1">
      <c r="A610" s="10">
        <v>610</v>
      </c>
      <c r="B610" s="2" t="s">
        <v>757</v>
      </c>
      <c r="C610" s="10" t="s">
        <v>758</v>
      </c>
      <c r="D610" s="10" t="s">
        <v>721</v>
      </c>
      <c r="E610" s="9" t="s">
        <v>721</v>
      </c>
      <c r="F610" s="93"/>
      <c r="G610" s="10">
        <v>5</v>
      </c>
      <c r="H610" s="10"/>
      <c r="I610" s="10"/>
      <c r="J610" s="11">
        <v>1283</v>
      </c>
      <c r="K610" s="12">
        <f t="shared" si="9"/>
        <v>6.4150000000000003E-4</v>
      </c>
    </row>
    <row r="611" spans="1:11" hidden="1">
      <c r="A611" s="10">
        <v>611</v>
      </c>
      <c r="B611" s="2" t="s">
        <v>757</v>
      </c>
      <c r="C611" s="10" t="s">
        <v>758</v>
      </c>
      <c r="D611" s="10" t="s">
        <v>716</v>
      </c>
      <c r="E611" s="9" t="s">
        <v>722</v>
      </c>
      <c r="F611" s="93"/>
      <c r="G611" s="10">
        <v>10</v>
      </c>
      <c r="H611" s="10"/>
      <c r="I611" s="10"/>
      <c r="J611" s="11">
        <v>780.5</v>
      </c>
      <c r="K611" s="12">
        <f t="shared" si="9"/>
        <v>7.8050000000000005E-4</v>
      </c>
    </row>
    <row r="612" spans="1:11" hidden="1">
      <c r="A612" s="10">
        <v>612</v>
      </c>
      <c r="B612" s="2" t="s">
        <v>757</v>
      </c>
      <c r="C612" s="10" t="s">
        <v>758</v>
      </c>
      <c r="D612" s="10" t="s">
        <v>716</v>
      </c>
      <c r="E612" s="9" t="s">
        <v>722</v>
      </c>
      <c r="F612" s="93"/>
      <c r="G612" s="10">
        <v>20</v>
      </c>
      <c r="H612" s="10"/>
      <c r="I612" s="10"/>
      <c r="J612" s="11">
        <v>1029</v>
      </c>
      <c r="K612" s="12">
        <f t="shared" si="9"/>
        <v>2.0579999999999999E-3</v>
      </c>
    </row>
    <row r="613" spans="1:11" hidden="1">
      <c r="A613" s="10">
        <v>613</v>
      </c>
      <c r="B613" s="2" t="s">
        <v>757</v>
      </c>
      <c r="C613" s="10" t="s">
        <v>758</v>
      </c>
      <c r="D613" s="10" t="s">
        <v>716</v>
      </c>
      <c r="E613" s="9" t="s">
        <v>722</v>
      </c>
      <c r="F613" s="93"/>
      <c r="G613" s="10">
        <v>6</v>
      </c>
      <c r="H613" s="10"/>
      <c r="I613" s="10"/>
      <c r="J613" s="11">
        <v>1201.9000000000001</v>
      </c>
      <c r="K613" s="12">
        <f t="shared" si="9"/>
        <v>7.2114000000000011E-4</v>
      </c>
    </row>
    <row r="614" spans="1:11" hidden="1">
      <c r="A614" s="10">
        <v>614</v>
      </c>
      <c r="B614" s="2" t="s">
        <v>757</v>
      </c>
      <c r="C614" s="10" t="s">
        <v>758</v>
      </c>
      <c r="D614" s="10" t="s">
        <v>716</v>
      </c>
      <c r="E614" s="9" t="s">
        <v>722</v>
      </c>
      <c r="F614" s="93"/>
      <c r="G614" s="10">
        <v>16</v>
      </c>
      <c r="H614" s="10"/>
      <c r="I614" s="10"/>
      <c r="J614" s="11">
        <v>1000</v>
      </c>
      <c r="K614" s="12">
        <f t="shared" si="9"/>
        <v>1.6000000000000001E-3</v>
      </c>
    </row>
    <row r="615" spans="1:11" hidden="1">
      <c r="A615" s="10">
        <v>615</v>
      </c>
      <c r="B615" s="2" t="s">
        <v>757</v>
      </c>
      <c r="C615" s="10" t="s">
        <v>758</v>
      </c>
      <c r="D615" s="10" t="s">
        <v>716</v>
      </c>
      <c r="E615" s="9" t="s">
        <v>722</v>
      </c>
      <c r="F615" s="93"/>
      <c r="G615" s="10">
        <v>7</v>
      </c>
      <c r="H615" s="10"/>
      <c r="I615" s="10"/>
      <c r="J615" s="11">
        <v>4347</v>
      </c>
      <c r="K615" s="12">
        <f t="shared" si="9"/>
        <v>3.0428999999999999E-3</v>
      </c>
    </row>
    <row r="616" spans="1:11" hidden="1">
      <c r="A616" s="10">
        <v>616</v>
      </c>
      <c r="B616" s="2" t="s">
        <v>757</v>
      </c>
      <c r="C616" s="10" t="s">
        <v>758</v>
      </c>
      <c r="D616" s="10" t="s">
        <v>716</v>
      </c>
      <c r="E616" s="9" t="s">
        <v>719</v>
      </c>
      <c r="F616" s="93"/>
      <c r="G616" s="10">
        <v>13</v>
      </c>
      <c r="H616" s="10"/>
      <c r="I616" s="10"/>
      <c r="J616" s="11">
        <v>624</v>
      </c>
      <c r="K616" s="12">
        <f t="shared" si="9"/>
        <v>8.1119999999999999E-4</v>
      </c>
    </row>
    <row r="617" spans="1:11" hidden="1">
      <c r="A617" s="10">
        <v>617</v>
      </c>
      <c r="B617" s="2" t="s">
        <v>757</v>
      </c>
      <c r="C617" s="10" t="s">
        <v>758</v>
      </c>
      <c r="D617" s="10" t="s">
        <v>716</v>
      </c>
      <c r="E617" s="9" t="s">
        <v>719</v>
      </c>
      <c r="F617" s="93"/>
      <c r="G617" s="10">
        <v>2</v>
      </c>
      <c r="H617" s="10"/>
      <c r="I617" s="10"/>
      <c r="J617" s="11">
        <v>1202</v>
      </c>
      <c r="K617" s="12">
        <f t="shared" si="9"/>
        <v>2.4039999999999999E-4</v>
      </c>
    </row>
    <row r="618" spans="1:11" hidden="1">
      <c r="A618" s="10">
        <v>618</v>
      </c>
      <c r="B618" s="2" t="s">
        <v>757</v>
      </c>
      <c r="C618" s="10" t="s">
        <v>758</v>
      </c>
      <c r="D618" s="10" t="s">
        <v>716</v>
      </c>
      <c r="E618" s="9" t="s">
        <v>719</v>
      </c>
      <c r="F618" s="93"/>
      <c r="G618" s="10">
        <v>5</v>
      </c>
      <c r="H618" s="10"/>
      <c r="I618" s="10"/>
      <c r="J618" s="11">
        <v>1202</v>
      </c>
      <c r="K618" s="12">
        <f t="shared" si="9"/>
        <v>6.0099999999999997E-4</v>
      </c>
    </row>
    <row r="619" spans="1:11" hidden="1">
      <c r="A619" s="10">
        <v>619</v>
      </c>
      <c r="B619" s="2" t="s">
        <v>757</v>
      </c>
      <c r="C619" s="10" t="s">
        <v>758</v>
      </c>
      <c r="D619" s="10" t="s">
        <v>716</v>
      </c>
      <c r="E619" s="9" t="s">
        <v>719</v>
      </c>
      <c r="F619" s="93"/>
      <c r="G619" s="10">
        <v>1</v>
      </c>
      <c r="H619" s="10"/>
      <c r="I619" s="10"/>
      <c r="J619" s="11">
        <v>823</v>
      </c>
      <c r="K619" s="12">
        <f t="shared" si="9"/>
        <v>8.2299999999999995E-5</v>
      </c>
    </row>
    <row r="620" spans="1:11" hidden="1">
      <c r="A620" s="10">
        <v>620</v>
      </c>
      <c r="B620" s="2" t="s">
        <v>757</v>
      </c>
      <c r="C620" s="10" t="s">
        <v>758</v>
      </c>
      <c r="D620" s="10" t="s">
        <v>716</v>
      </c>
      <c r="E620" s="9" t="s">
        <v>719</v>
      </c>
      <c r="F620" s="93"/>
      <c r="G620" s="10">
        <v>1</v>
      </c>
      <c r="H620" s="10"/>
      <c r="I620" s="10"/>
      <c r="J620" s="11">
        <v>823</v>
      </c>
      <c r="K620" s="12">
        <f t="shared" si="9"/>
        <v>8.2299999999999995E-5</v>
      </c>
    </row>
    <row r="621" spans="1:11" hidden="1">
      <c r="A621" s="10">
        <v>621</v>
      </c>
      <c r="B621" s="2" t="s">
        <v>757</v>
      </c>
      <c r="C621" s="10" t="s">
        <v>758</v>
      </c>
      <c r="D621" s="10" t="s">
        <v>716</v>
      </c>
      <c r="E621" s="9" t="s">
        <v>719</v>
      </c>
      <c r="F621" s="93"/>
      <c r="G621" s="10">
        <v>2</v>
      </c>
      <c r="H621" s="10"/>
      <c r="I621" s="10"/>
      <c r="J621" s="11">
        <v>780.5</v>
      </c>
      <c r="K621" s="12">
        <f t="shared" si="9"/>
        <v>1.561E-4</v>
      </c>
    </row>
    <row r="622" spans="1:11" hidden="1">
      <c r="A622" s="10">
        <v>622</v>
      </c>
      <c r="B622" s="2" t="s">
        <v>757</v>
      </c>
      <c r="C622" s="10" t="s">
        <v>758</v>
      </c>
      <c r="D622" s="10" t="s">
        <v>716</v>
      </c>
      <c r="E622" s="9" t="s">
        <v>719</v>
      </c>
      <c r="F622" s="93"/>
      <c r="G622" s="10">
        <v>4</v>
      </c>
      <c r="H622" s="10"/>
      <c r="I622" s="10"/>
      <c r="J622" s="11">
        <v>780.5</v>
      </c>
      <c r="K622" s="12">
        <f t="shared" si="9"/>
        <v>3.122E-4</v>
      </c>
    </row>
    <row r="623" spans="1:11" hidden="1">
      <c r="A623" s="10">
        <v>623</v>
      </c>
      <c r="B623" s="2" t="s">
        <v>757</v>
      </c>
      <c r="C623" s="10" t="s">
        <v>758</v>
      </c>
      <c r="D623" s="10" t="s">
        <v>716</v>
      </c>
      <c r="E623" s="9" t="s">
        <v>719</v>
      </c>
      <c r="F623" s="93"/>
      <c r="G623" s="10">
        <v>1</v>
      </c>
      <c r="H623" s="10"/>
      <c r="I623" s="10"/>
      <c r="J623" s="11">
        <v>1029</v>
      </c>
      <c r="K623" s="12">
        <f t="shared" si="9"/>
        <v>1.0289999999999999E-4</v>
      </c>
    </row>
    <row r="624" spans="1:11" hidden="1">
      <c r="A624" s="10">
        <v>624</v>
      </c>
      <c r="B624" s="10" t="s">
        <v>828</v>
      </c>
      <c r="C624" s="10" t="s">
        <v>829</v>
      </c>
      <c r="D624" s="10" t="s">
        <v>985</v>
      </c>
      <c r="E624" s="2" t="s">
        <v>773</v>
      </c>
      <c r="F624" s="2" t="s">
        <v>774</v>
      </c>
      <c r="G624" s="2">
        <v>2</v>
      </c>
      <c r="H624" s="2" t="s">
        <v>250</v>
      </c>
      <c r="I624" s="2" t="s">
        <v>775</v>
      </c>
      <c r="J624" s="11">
        <v>80500</v>
      </c>
      <c r="K624" s="12">
        <f t="shared" si="9"/>
        <v>1.61E-2</v>
      </c>
    </row>
    <row r="625" spans="1:11" hidden="1">
      <c r="A625" s="10">
        <v>625</v>
      </c>
      <c r="B625" s="10" t="s">
        <v>828</v>
      </c>
      <c r="C625" s="10" t="s">
        <v>829</v>
      </c>
      <c r="D625" s="10" t="s">
        <v>897</v>
      </c>
      <c r="E625" s="2" t="s">
        <v>776</v>
      </c>
      <c r="F625" s="2" t="s">
        <v>777</v>
      </c>
      <c r="G625" s="2">
        <v>5</v>
      </c>
      <c r="H625" s="2" t="s">
        <v>250</v>
      </c>
      <c r="I625" s="2" t="s">
        <v>778</v>
      </c>
      <c r="J625" s="11">
        <v>7850</v>
      </c>
      <c r="K625" s="12">
        <f t="shared" si="9"/>
        <v>3.9249999999999997E-3</v>
      </c>
    </row>
    <row r="626" spans="1:11" hidden="1">
      <c r="A626" s="10">
        <v>626</v>
      </c>
      <c r="B626" s="10" t="s">
        <v>828</v>
      </c>
      <c r="C626" s="10" t="s">
        <v>829</v>
      </c>
      <c r="D626" s="10" t="s">
        <v>985</v>
      </c>
      <c r="E626" s="2" t="s">
        <v>779</v>
      </c>
      <c r="F626" s="2" t="s">
        <v>774</v>
      </c>
      <c r="G626" s="2">
        <v>2</v>
      </c>
      <c r="H626" s="2" t="s">
        <v>250</v>
      </c>
      <c r="I626" s="2" t="s">
        <v>775</v>
      </c>
      <c r="J626" s="11">
        <v>79000</v>
      </c>
      <c r="K626" s="12">
        <f t="shared" si="9"/>
        <v>1.5800000000000002E-2</v>
      </c>
    </row>
    <row r="627" spans="1:11" hidden="1">
      <c r="A627" s="10">
        <v>627</v>
      </c>
      <c r="B627" s="10" t="s">
        <v>828</v>
      </c>
      <c r="C627" s="10" t="s">
        <v>829</v>
      </c>
      <c r="D627" s="10" t="s">
        <v>985</v>
      </c>
      <c r="E627" s="2" t="s">
        <v>780</v>
      </c>
      <c r="F627" s="2" t="s">
        <v>774</v>
      </c>
      <c r="G627" s="2">
        <v>2</v>
      </c>
      <c r="H627" s="2" t="s">
        <v>250</v>
      </c>
      <c r="I627" s="2" t="s">
        <v>775</v>
      </c>
      <c r="J627" s="11">
        <v>79000</v>
      </c>
      <c r="K627" s="12">
        <f t="shared" si="9"/>
        <v>1.5800000000000002E-2</v>
      </c>
    </row>
    <row r="628" spans="1:11" hidden="1">
      <c r="A628" s="10">
        <v>628</v>
      </c>
      <c r="B628" s="10" t="s">
        <v>828</v>
      </c>
      <c r="C628" s="10" t="s">
        <v>829</v>
      </c>
      <c r="D628" s="10" t="s">
        <v>985</v>
      </c>
      <c r="E628" s="2" t="s">
        <v>781</v>
      </c>
      <c r="F628" s="2" t="s">
        <v>774</v>
      </c>
      <c r="G628" s="2">
        <v>6</v>
      </c>
      <c r="H628" s="2" t="s">
        <v>250</v>
      </c>
      <c r="I628" s="2" t="s">
        <v>775</v>
      </c>
      <c r="J628" s="11">
        <v>79000</v>
      </c>
      <c r="K628" s="12">
        <f t="shared" si="9"/>
        <v>4.7399999999999998E-2</v>
      </c>
    </row>
    <row r="629" spans="1:11" hidden="1">
      <c r="A629" s="10">
        <v>629</v>
      </c>
      <c r="B629" s="10" t="s">
        <v>828</v>
      </c>
      <c r="C629" s="10" t="s">
        <v>829</v>
      </c>
      <c r="D629" s="10" t="s">
        <v>985</v>
      </c>
      <c r="E629" s="2" t="s">
        <v>782</v>
      </c>
      <c r="F629" s="2" t="s">
        <v>774</v>
      </c>
      <c r="G629" s="2">
        <v>35</v>
      </c>
      <c r="H629" s="2" t="s">
        <v>250</v>
      </c>
      <c r="I629" s="2" t="s">
        <v>775</v>
      </c>
      <c r="J629" s="11">
        <v>79000</v>
      </c>
      <c r="K629" s="12">
        <f t="shared" si="9"/>
        <v>0.27650000000000002</v>
      </c>
    </row>
    <row r="630" spans="1:11" hidden="1">
      <c r="A630" s="10">
        <v>630</v>
      </c>
      <c r="B630" s="10" t="s">
        <v>828</v>
      </c>
      <c r="C630" s="10" t="s">
        <v>829</v>
      </c>
      <c r="D630" s="10" t="s">
        <v>985</v>
      </c>
      <c r="E630" s="2" t="s">
        <v>783</v>
      </c>
      <c r="F630" s="2" t="s">
        <v>774</v>
      </c>
      <c r="G630" s="2">
        <v>3</v>
      </c>
      <c r="H630" s="2" t="s">
        <v>250</v>
      </c>
      <c r="I630" s="2" t="s">
        <v>775</v>
      </c>
      <c r="J630" s="11">
        <v>79000</v>
      </c>
      <c r="K630" s="12">
        <f t="shared" si="9"/>
        <v>2.3699999999999999E-2</v>
      </c>
    </row>
    <row r="631" spans="1:11" hidden="1">
      <c r="A631" s="10">
        <v>631</v>
      </c>
      <c r="B631" s="10" t="s">
        <v>828</v>
      </c>
      <c r="C631" s="10" t="s">
        <v>829</v>
      </c>
      <c r="D631" s="10" t="s">
        <v>985</v>
      </c>
      <c r="E631" s="2" t="s">
        <v>784</v>
      </c>
      <c r="F631" s="2" t="s">
        <v>774</v>
      </c>
      <c r="G631" s="2">
        <v>4</v>
      </c>
      <c r="H631" s="2" t="s">
        <v>250</v>
      </c>
      <c r="I631" s="2" t="s">
        <v>775</v>
      </c>
      <c r="J631" s="11">
        <v>79000</v>
      </c>
      <c r="K631" s="12">
        <f t="shared" si="9"/>
        <v>3.1600000000000003E-2</v>
      </c>
    </row>
    <row r="632" spans="1:11" hidden="1">
      <c r="A632" s="10">
        <v>632</v>
      </c>
      <c r="B632" s="10" t="s">
        <v>828</v>
      </c>
      <c r="C632" s="10" t="s">
        <v>829</v>
      </c>
      <c r="D632" s="10" t="s">
        <v>985</v>
      </c>
      <c r="E632" s="2" t="s">
        <v>785</v>
      </c>
      <c r="F632" s="2" t="s">
        <v>774</v>
      </c>
      <c r="G632" s="2">
        <v>11</v>
      </c>
      <c r="H632" s="2" t="s">
        <v>250</v>
      </c>
      <c r="I632" s="2" t="s">
        <v>775</v>
      </c>
      <c r="J632" s="11">
        <v>79000</v>
      </c>
      <c r="K632" s="12">
        <f t="shared" si="9"/>
        <v>8.6900000000000005E-2</v>
      </c>
    </row>
    <row r="633" spans="1:11" hidden="1">
      <c r="A633" s="10">
        <v>633</v>
      </c>
      <c r="B633" s="10" t="s">
        <v>828</v>
      </c>
      <c r="C633" s="10" t="s">
        <v>829</v>
      </c>
      <c r="D633" s="10" t="s">
        <v>985</v>
      </c>
      <c r="E633" s="2" t="s">
        <v>786</v>
      </c>
      <c r="F633" s="2" t="s">
        <v>774</v>
      </c>
      <c r="G633" s="2">
        <v>3</v>
      </c>
      <c r="H633" s="2" t="s">
        <v>250</v>
      </c>
      <c r="I633" s="2" t="s">
        <v>775</v>
      </c>
      <c r="J633" s="11">
        <v>79000</v>
      </c>
      <c r="K633" s="12">
        <f t="shared" si="9"/>
        <v>2.3699999999999999E-2</v>
      </c>
    </row>
    <row r="634" spans="1:11" hidden="1">
      <c r="A634" s="10">
        <v>634</v>
      </c>
      <c r="B634" s="10" t="s">
        <v>828</v>
      </c>
      <c r="C634" s="10" t="s">
        <v>829</v>
      </c>
      <c r="D634" s="10" t="s">
        <v>986</v>
      </c>
      <c r="E634" s="2" t="s">
        <v>787</v>
      </c>
      <c r="F634" s="2" t="s">
        <v>788</v>
      </c>
      <c r="G634" s="2">
        <v>280</v>
      </c>
      <c r="H634" s="2" t="s">
        <v>250</v>
      </c>
      <c r="I634" s="2" t="s">
        <v>789</v>
      </c>
      <c r="J634" s="11">
        <v>640</v>
      </c>
      <c r="K634" s="12">
        <f t="shared" si="9"/>
        <v>1.7919999999999998E-2</v>
      </c>
    </row>
    <row r="635" spans="1:11" hidden="1">
      <c r="A635" s="10">
        <v>635</v>
      </c>
      <c r="B635" s="10" t="s">
        <v>828</v>
      </c>
      <c r="C635" s="10" t="s">
        <v>829</v>
      </c>
      <c r="D635" s="10" t="s">
        <v>986</v>
      </c>
      <c r="E635" s="2" t="s">
        <v>790</v>
      </c>
      <c r="F635" s="2" t="s">
        <v>791</v>
      </c>
      <c r="G635" s="2">
        <v>60</v>
      </c>
      <c r="H635" s="2" t="s">
        <v>355</v>
      </c>
      <c r="I635" s="2" t="s">
        <v>792</v>
      </c>
      <c r="J635" s="11">
        <f>330000/100</f>
        <v>3300</v>
      </c>
      <c r="K635" s="12">
        <f t="shared" si="9"/>
        <v>1.9800000000000002E-2</v>
      </c>
    </row>
    <row r="636" spans="1:11" hidden="1">
      <c r="A636" s="10">
        <v>636</v>
      </c>
      <c r="B636" s="10" t="s">
        <v>828</v>
      </c>
      <c r="C636" s="10" t="s">
        <v>829</v>
      </c>
      <c r="D636" s="10" t="s">
        <v>986</v>
      </c>
      <c r="E636" s="2" t="s">
        <v>793</v>
      </c>
      <c r="F636" s="2" t="s">
        <v>794</v>
      </c>
      <c r="G636" s="2">
        <v>450</v>
      </c>
      <c r="H636" s="2" t="s">
        <v>355</v>
      </c>
      <c r="I636" s="2" t="s">
        <v>792</v>
      </c>
      <c r="J636" s="11">
        <f>600000/100</f>
        <v>6000</v>
      </c>
      <c r="K636" s="12">
        <f t="shared" si="9"/>
        <v>0.27</v>
      </c>
    </row>
    <row r="637" spans="1:11" hidden="1">
      <c r="A637" s="10">
        <v>637</v>
      </c>
      <c r="B637" s="10" t="s">
        <v>828</v>
      </c>
      <c r="C637" s="10" t="s">
        <v>829</v>
      </c>
      <c r="D637" s="10" t="s">
        <v>987</v>
      </c>
      <c r="E637" s="2" t="s">
        <v>795</v>
      </c>
      <c r="F637" s="2" t="s">
        <v>796</v>
      </c>
      <c r="G637" s="2">
        <v>200</v>
      </c>
      <c r="H637" s="2" t="s">
        <v>355</v>
      </c>
      <c r="I637" s="2" t="s">
        <v>792</v>
      </c>
      <c r="J637" s="11">
        <v>191</v>
      </c>
      <c r="K637" s="12">
        <f t="shared" si="9"/>
        <v>3.82E-3</v>
      </c>
    </row>
    <row r="638" spans="1:11" hidden="1">
      <c r="A638" s="10">
        <v>638</v>
      </c>
      <c r="B638" s="10" t="s">
        <v>828</v>
      </c>
      <c r="C638" s="10" t="s">
        <v>829</v>
      </c>
      <c r="D638" s="10" t="s">
        <v>987</v>
      </c>
      <c r="E638" s="2" t="s">
        <v>797</v>
      </c>
      <c r="F638" s="2" t="s">
        <v>798</v>
      </c>
      <c r="G638" s="2">
        <v>540</v>
      </c>
      <c r="H638" s="2" t="s">
        <v>355</v>
      </c>
      <c r="I638" s="2" t="s">
        <v>792</v>
      </c>
      <c r="J638" s="11">
        <v>191</v>
      </c>
      <c r="K638" s="12">
        <f t="shared" si="9"/>
        <v>1.0314E-2</v>
      </c>
    </row>
    <row r="639" spans="1:11" hidden="1">
      <c r="A639" s="10">
        <v>639</v>
      </c>
      <c r="B639" s="10" t="s">
        <v>828</v>
      </c>
      <c r="C639" s="10" t="s">
        <v>829</v>
      </c>
      <c r="D639" s="10" t="s">
        <v>987</v>
      </c>
      <c r="E639" s="2" t="s">
        <v>799</v>
      </c>
      <c r="F639" s="2" t="s">
        <v>800</v>
      </c>
      <c r="G639" s="2">
        <v>350</v>
      </c>
      <c r="H639" s="2" t="s">
        <v>355</v>
      </c>
      <c r="I639" s="2" t="s">
        <v>801</v>
      </c>
      <c r="J639" s="11">
        <v>1207.49</v>
      </c>
      <c r="K639" s="12">
        <f t="shared" si="9"/>
        <v>4.2262149999999998E-2</v>
      </c>
    </row>
    <row r="640" spans="1:11" hidden="1">
      <c r="A640" s="10">
        <v>640</v>
      </c>
      <c r="B640" s="10" t="s">
        <v>828</v>
      </c>
      <c r="C640" s="10" t="s">
        <v>829</v>
      </c>
      <c r="D640" s="10" t="s">
        <v>987</v>
      </c>
      <c r="E640" s="2" t="s">
        <v>802</v>
      </c>
      <c r="F640" s="2" t="s">
        <v>803</v>
      </c>
      <c r="G640" s="2">
        <v>800</v>
      </c>
      <c r="H640" s="2" t="s">
        <v>355</v>
      </c>
      <c r="I640" s="2" t="s">
        <v>801</v>
      </c>
      <c r="J640" s="11">
        <v>1372.49</v>
      </c>
      <c r="K640" s="12">
        <f t="shared" si="9"/>
        <v>0.1097992</v>
      </c>
    </row>
    <row r="641" spans="1:11" hidden="1">
      <c r="A641" s="10">
        <v>641</v>
      </c>
      <c r="B641" s="10" t="s">
        <v>828</v>
      </c>
      <c r="C641" s="10" t="s">
        <v>829</v>
      </c>
      <c r="D641" s="10" t="s">
        <v>988</v>
      </c>
      <c r="E641" s="2" t="s">
        <v>804</v>
      </c>
      <c r="F641" s="2" t="s">
        <v>805</v>
      </c>
      <c r="G641" s="2">
        <v>8000</v>
      </c>
      <c r="H641" s="2" t="s">
        <v>250</v>
      </c>
      <c r="I641" s="2" t="s">
        <v>806</v>
      </c>
      <c r="J641" s="11">
        <v>16.02</v>
      </c>
      <c r="K641" s="12">
        <f t="shared" si="9"/>
        <v>1.2815999999999999E-2</v>
      </c>
    </row>
    <row r="642" spans="1:11">
      <c r="A642" s="10">
        <v>642</v>
      </c>
      <c r="B642" s="10" t="s">
        <v>828</v>
      </c>
      <c r="C642" s="10" t="s">
        <v>829</v>
      </c>
      <c r="D642" s="10" t="s">
        <v>899</v>
      </c>
      <c r="E642" s="2" t="s">
        <v>807</v>
      </c>
      <c r="F642" s="2" t="s">
        <v>808</v>
      </c>
      <c r="G642" s="2">
        <v>484</v>
      </c>
      <c r="H642" s="2" t="s">
        <v>355</v>
      </c>
      <c r="I642" s="2" t="s">
        <v>809</v>
      </c>
      <c r="J642" s="11">
        <v>359.7</v>
      </c>
      <c r="K642" s="12">
        <f t="shared" ref="K642:K650" si="10">(J642*G642)/10000000</f>
        <v>1.7409479999999998E-2</v>
      </c>
    </row>
    <row r="643" spans="1:11">
      <c r="A643" s="10">
        <v>643</v>
      </c>
      <c r="B643" s="10" t="s">
        <v>828</v>
      </c>
      <c r="C643" s="10" t="s">
        <v>829</v>
      </c>
      <c r="D643" s="10" t="s">
        <v>899</v>
      </c>
      <c r="E643" s="2" t="s">
        <v>810</v>
      </c>
      <c r="F643" s="2" t="s">
        <v>811</v>
      </c>
      <c r="G643" s="2">
        <v>600</v>
      </c>
      <c r="H643" s="2" t="s">
        <v>355</v>
      </c>
      <c r="I643" s="2" t="s">
        <v>809</v>
      </c>
      <c r="J643" s="11">
        <v>152.66</v>
      </c>
      <c r="K643" s="12">
        <f t="shared" si="10"/>
        <v>9.1596000000000004E-3</v>
      </c>
    </row>
    <row r="644" spans="1:11">
      <c r="A644" s="10">
        <v>644</v>
      </c>
      <c r="B644" s="10" t="s">
        <v>828</v>
      </c>
      <c r="C644" s="10" t="s">
        <v>829</v>
      </c>
      <c r="D644" s="10" t="s">
        <v>899</v>
      </c>
      <c r="E644" s="2" t="s">
        <v>812</v>
      </c>
      <c r="F644" s="2" t="s">
        <v>813</v>
      </c>
      <c r="G644" s="2">
        <v>2000</v>
      </c>
      <c r="H644" s="2" t="s">
        <v>355</v>
      </c>
      <c r="I644" s="2" t="s">
        <v>809</v>
      </c>
      <c r="J644" s="11">
        <v>30.71</v>
      </c>
      <c r="K644" s="12">
        <f t="shared" si="10"/>
        <v>6.1419999999999999E-3</v>
      </c>
    </row>
    <row r="645" spans="1:11">
      <c r="A645" s="10">
        <v>645</v>
      </c>
      <c r="B645" s="10" t="s">
        <v>828</v>
      </c>
      <c r="C645" s="10" t="s">
        <v>829</v>
      </c>
      <c r="D645" s="10" t="s">
        <v>899</v>
      </c>
      <c r="E645" s="2" t="s">
        <v>814</v>
      </c>
      <c r="F645" s="2" t="s">
        <v>815</v>
      </c>
      <c r="G645" s="2">
        <v>2500</v>
      </c>
      <c r="H645" s="2" t="s">
        <v>355</v>
      </c>
      <c r="I645" s="2" t="s">
        <v>809</v>
      </c>
      <c r="J645" s="11">
        <v>87.22</v>
      </c>
      <c r="K645" s="12">
        <f t="shared" si="10"/>
        <v>2.1805000000000001E-2</v>
      </c>
    </row>
    <row r="646" spans="1:11">
      <c r="A646" s="10">
        <v>646</v>
      </c>
      <c r="B646" s="10" t="s">
        <v>828</v>
      </c>
      <c r="C646" s="10" t="s">
        <v>829</v>
      </c>
      <c r="D646" s="10" t="s">
        <v>899</v>
      </c>
      <c r="E646" s="2" t="s">
        <v>816</v>
      </c>
      <c r="F646" s="2" t="s">
        <v>817</v>
      </c>
      <c r="G646" s="2">
        <v>175</v>
      </c>
      <c r="H646" s="2" t="s">
        <v>355</v>
      </c>
      <c r="I646" s="2" t="s">
        <v>809</v>
      </c>
      <c r="J646" s="11">
        <v>157.91999999999999</v>
      </c>
      <c r="K646" s="12">
        <f t="shared" si="10"/>
        <v>2.7635999999999997E-3</v>
      </c>
    </row>
    <row r="647" spans="1:11">
      <c r="A647" s="10">
        <v>647</v>
      </c>
      <c r="B647" s="10" t="s">
        <v>828</v>
      </c>
      <c r="C647" s="10" t="s">
        <v>829</v>
      </c>
      <c r="D647" s="10" t="s">
        <v>899</v>
      </c>
      <c r="E647" s="2" t="s">
        <v>818</v>
      </c>
      <c r="F647" s="2" t="s">
        <v>819</v>
      </c>
      <c r="G647" s="2">
        <v>450</v>
      </c>
      <c r="H647" s="2" t="s">
        <v>355</v>
      </c>
      <c r="I647" s="2" t="s">
        <v>820</v>
      </c>
      <c r="J647" s="11">
        <v>78</v>
      </c>
      <c r="K647" s="12">
        <f t="shared" si="10"/>
        <v>3.5100000000000001E-3</v>
      </c>
    </row>
    <row r="648" spans="1:11">
      <c r="A648" s="10">
        <v>648</v>
      </c>
      <c r="B648" s="10" t="s">
        <v>828</v>
      </c>
      <c r="C648" s="10" t="s">
        <v>829</v>
      </c>
      <c r="D648" s="10" t="s">
        <v>899</v>
      </c>
      <c r="E648" s="2" t="s">
        <v>821</v>
      </c>
      <c r="F648" s="2" t="s">
        <v>822</v>
      </c>
      <c r="G648" s="2">
        <v>370</v>
      </c>
      <c r="H648" s="2" t="s">
        <v>355</v>
      </c>
      <c r="I648" s="2" t="s">
        <v>809</v>
      </c>
      <c r="J648" s="11">
        <v>220.21</v>
      </c>
      <c r="K648" s="12">
        <f t="shared" si="10"/>
        <v>8.1477700000000004E-3</v>
      </c>
    </row>
    <row r="649" spans="1:11" hidden="1">
      <c r="A649" s="10">
        <v>649</v>
      </c>
      <c r="B649" s="10" t="s">
        <v>828</v>
      </c>
      <c r="C649" s="10" t="s">
        <v>829</v>
      </c>
      <c r="D649" s="10" t="s">
        <v>288</v>
      </c>
      <c r="E649" s="2" t="s">
        <v>823</v>
      </c>
      <c r="F649" s="2" t="s">
        <v>823</v>
      </c>
      <c r="G649" s="2">
        <v>1</v>
      </c>
      <c r="H649" s="2" t="s">
        <v>250</v>
      </c>
      <c r="I649" s="2" t="s">
        <v>824</v>
      </c>
      <c r="J649" s="11">
        <v>24100</v>
      </c>
      <c r="K649" s="12">
        <f t="shared" si="10"/>
        <v>2.4099999999999998E-3</v>
      </c>
    </row>
    <row r="650" spans="1:11" hidden="1">
      <c r="A650" s="10">
        <v>650</v>
      </c>
      <c r="B650" s="10" t="s">
        <v>828</v>
      </c>
      <c r="C650" s="10" t="s">
        <v>829</v>
      </c>
      <c r="D650" s="10" t="s">
        <v>288</v>
      </c>
      <c r="E650" s="2" t="s">
        <v>825</v>
      </c>
      <c r="F650" s="2" t="s">
        <v>823</v>
      </c>
      <c r="G650" s="2">
        <v>5</v>
      </c>
      <c r="H650" s="2" t="s">
        <v>250</v>
      </c>
      <c r="I650" s="2" t="s">
        <v>824</v>
      </c>
      <c r="J650" s="11">
        <v>15600</v>
      </c>
      <c r="K650" s="12">
        <f t="shared" si="10"/>
        <v>7.7999999999999996E-3</v>
      </c>
    </row>
    <row r="651" spans="1:11" hidden="1">
      <c r="A651" s="10">
        <v>651</v>
      </c>
      <c r="B651" s="10" t="s">
        <v>853</v>
      </c>
      <c r="C651" s="10" t="s">
        <v>852</v>
      </c>
      <c r="D651" s="10" t="s">
        <v>985</v>
      </c>
      <c r="E651" s="2" t="s">
        <v>773</v>
      </c>
      <c r="F651" s="2" t="s">
        <v>774</v>
      </c>
      <c r="G651" s="2">
        <v>7</v>
      </c>
      <c r="H651" s="2">
        <v>423.79500000000002</v>
      </c>
      <c r="I651" s="2">
        <f>H651*G651</f>
        <v>2966.5650000000001</v>
      </c>
      <c r="J651" s="11">
        <v>78800</v>
      </c>
      <c r="K651" s="11">
        <f>(I651*J651/1000)/10000000</f>
        <v>2.3376532199999998E-2</v>
      </c>
    </row>
    <row r="652" spans="1:11" hidden="1">
      <c r="A652" s="10">
        <v>652</v>
      </c>
      <c r="B652" s="10" t="s">
        <v>853</v>
      </c>
      <c r="C652" s="10" t="s">
        <v>852</v>
      </c>
      <c r="D652" s="10" t="s">
        <v>985</v>
      </c>
      <c r="E652" s="2" t="s">
        <v>830</v>
      </c>
      <c r="F652" s="2" t="s">
        <v>774</v>
      </c>
      <c r="G652" s="2">
        <v>4</v>
      </c>
      <c r="H652" s="2">
        <v>371.16500000000002</v>
      </c>
      <c r="I652" s="2">
        <f t="shared" ref="I652:I660" si="11">H652*G652</f>
        <v>1484.66</v>
      </c>
      <c r="J652" s="11">
        <v>78800</v>
      </c>
      <c r="K652" s="11">
        <f t="shared" ref="K652:K659" si="12">(I652*J652/1000)/10000000</f>
        <v>1.1699120800000001E-2</v>
      </c>
    </row>
    <row r="653" spans="1:11" hidden="1">
      <c r="A653" s="10">
        <v>653</v>
      </c>
      <c r="B653" s="10" t="s">
        <v>853</v>
      </c>
      <c r="C653" s="10" t="s">
        <v>852</v>
      </c>
      <c r="D653" s="10" t="s">
        <v>985</v>
      </c>
      <c r="E653" s="2" t="s">
        <v>831</v>
      </c>
      <c r="F653" s="2" t="s">
        <v>774</v>
      </c>
      <c r="G653" s="2">
        <v>1</v>
      </c>
      <c r="H653" s="2">
        <v>1382.972</v>
      </c>
      <c r="I653" s="2">
        <f t="shared" si="11"/>
        <v>1382.972</v>
      </c>
      <c r="J653" s="11">
        <v>79000</v>
      </c>
      <c r="K653" s="11">
        <f t="shared" si="12"/>
        <v>1.0925478800000001E-2</v>
      </c>
    </row>
    <row r="654" spans="1:11" hidden="1">
      <c r="A654" s="10">
        <v>654</v>
      </c>
      <c r="B654" s="10" t="s">
        <v>853</v>
      </c>
      <c r="C654" s="10" t="s">
        <v>852</v>
      </c>
      <c r="D654" s="10" t="s">
        <v>985</v>
      </c>
      <c r="E654" s="2" t="s">
        <v>832</v>
      </c>
      <c r="F654" s="2" t="s">
        <v>774</v>
      </c>
      <c r="G654" s="2">
        <v>2</v>
      </c>
      <c r="H654" s="2">
        <v>947.36</v>
      </c>
      <c r="I654" s="2">
        <f t="shared" si="11"/>
        <v>1894.72</v>
      </c>
      <c r="J654" s="31">
        <v>81500</v>
      </c>
      <c r="K654" s="11">
        <f t="shared" si="12"/>
        <v>1.5441967999999999E-2</v>
      </c>
    </row>
    <row r="655" spans="1:11" hidden="1">
      <c r="A655" s="10">
        <v>655</v>
      </c>
      <c r="B655" s="10" t="s">
        <v>853</v>
      </c>
      <c r="C655" s="10" t="s">
        <v>852</v>
      </c>
      <c r="D655" s="10" t="s">
        <v>985</v>
      </c>
      <c r="E655" s="2" t="s">
        <v>833</v>
      </c>
      <c r="F655" s="2" t="s">
        <v>774</v>
      </c>
      <c r="G655" s="2">
        <v>2</v>
      </c>
      <c r="H655" s="2">
        <v>86.73</v>
      </c>
      <c r="I655" s="2">
        <f t="shared" si="11"/>
        <v>173.46</v>
      </c>
      <c r="J655" s="11">
        <v>79000</v>
      </c>
      <c r="K655" s="11">
        <f t="shared" si="12"/>
        <v>1.370334E-3</v>
      </c>
    </row>
    <row r="656" spans="1:11" hidden="1">
      <c r="A656" s="10">
        <v>656</v>
      </c>
      <c r="B656" s="10" t="s">
        <v>853</v>
      </c>
      <c r="C656" s="10" t="s">
        <v>852</v>
      </c>
      <c r="D656" s="10" t="s">
        <v>985</v>
      </c>
      <c r="E656" s="2" t="s">
        <v>834</v>
      </c>
      <c r="F656" s="2" t="s">
        <v>774</v>
      </c>
      <c r="G656" s="2">
        <v>1</v>
      </c>
      <c r="H656" s="2">
        <v>92.23</v>
      </c>
      <c r="I656" s="2">
        <f t="shared" si="11"/>
        <v>92.23</v>
      </c>
      <c r="J656" s="11">
        <v>79000</v>
      </c>
      <c r="K656" s="11">
        <f t="shared" si="12"/>
        <v>7.2861699999999998E-4</v>
      </c>
    </row>
    <row r="657" spans="1:11" hidden="1">
      <c r="A657" s="10">
        <v>657</v>
      </c>
      <c r="B657" s="10" t="s">
        <v>853</v>
      </c>
      <c r="C657" s="10" t="s">
        <v>852</v>
      </c>
      <c r="D657" s="10" t="s">
        <v>985</v>
      </c>
      <c r="E657" s="2" t="s">
        <v>835</v>
      </c>
      <c r="F657" s="2" t="s">
        <v>774</v>
      </c>
      <c r="G657" s="2">
        <v>8</v>
      </c>
      <c r="H657" s="2">
        <v>152.25899999999999</v>
      </c>
      <c r="I657" s="2">
        <f t="shared" si="11"/>
        <v>1218.0719999999999</v>
      </c>
      <c r="J657" s="11">
        <v>79000</v>
      </c>
      <c r="K657" s="11">
        <f t="shared" si="12"/>
        <v>9.6227687999999988E-3</v>
      </c>
    </row>
    <row r="658" spans="1:11" hidden="1">
      <c r="A658" s="10">
        <v>658</v>
      </c>
      <c r="B658" s="10" t="s">
        <v>853</v>
      </c>
      <c r="C658" s="10" t="s">
        <v>852</v>
      </c>
      <c r="D658" s="10" t="s">
        <v>985</v>
      </c>
      <c r="E658" s="2" t="s">
        <v>784</v>
      </c>
      <c r="F658" s="2" t="s">
        <v>774</v>
      </c>
      <c r="G658" s="2">
        <v>2</v>
      </c>
      <c r="H658" s="2">
        <v>86.17</v>
      </c>
      <c r="I658" s="2">
        <f t="shared" si="11"/>
        <v>172.34</v>
      </c>
      <c r="J658" s="11">
        <v>79000</v>
      </c>
      <c r="K658" s="11">
        <f t="shared" si="12"/>
        <v>1.3614860000000001E-3</v>
      </c>
    </row>
    <row r="659" spans="1:11" hidden="1">
      <c r="A659" s="10">
        <v>659</v>
      </c>
      <c r="B659" s="10" t="s">
        <v>853</v>
      </c>
      <c r="C659" s="10" t="s">
        <v>852</v>
      </c>
      <c r="D659" s="10" t="s">
        <v>985</v>
      </c>
      <c r="E659" s="2" t="s">
        <v>836</v>
      </c>
      <c r="F659" s="2" t="s">
        <v>774</v>
      </c>
      <c r="G659" s="2">
        <v>17</v>
      </c>
      <c r="H659" s="2">
        <v>68.61</v>
      </c>
      <c r="I659" s="2">
        <f t="shared" si="11"/>
        <v>1166.3699999999999</v>
      </c>
      <c r="J659" s="11">
        <v>79000</v>
      </c>
      <c r="K659" s="11">
        <f t="shared" si="12"/>
        <v>9.2143229999999982E-3</v>
      </c>
    </row>
    <row r="660" spans="1:11" hidden="1">
      <c r="A660" s="10">
        <v>660</v>
      </c>
      <c r="B660" s="10" t="s">
        <v>853</v>
      </c>
      <c r="C660" s="10" t="s">
        <v>852</v>
      </c>
      <c r="D660" s="10" t="s">
        <v>985</v>
      </c>
      <c r="E660" s="2" t="s">
        <v>786</v>
      </c>
      <c r="F660" s="2" t="s">
        <v>774</v>
      </c>
      <c r="G660" s="2">
        <v>20</v>
      </c>
      <c r="H660" s="2">
        <v>89.06232</v>
      </c>
      <c r="I660" s="2">
        <f t="shared" si="11"/>
        <v>1781.2464</v>
      </c>
      <c r="J660" s="11">
        <v>79000</v>
      </c>
      <c r="K660" s="11">
        <f>(I660*J660/1000)/10000000</f>
        <v>1.407184656E-2</v>
      </c>
    </row>
    <row r="661" spans="1:11" hidden="1">
      <c r="A661" s="10">
        <v>661</v>
      </c>
      <c r="B661" s="10" t="s">
        <v>853</v>
      </c>
      <c r="C661" s="10" t="s">
        <v>852</v>
      </c>
      <c r="D661" s="10" t="s">
        <v>989</v>
      </c>
      <c r="E661" s="2" t="s">
        <v>787</v>
      </c>
      <c r="F661" s="2" t="s">
        <v>787</v>
      </c>
      <c r="G661" s="2">
        <v>464</v>
      </c>
      <c r="H661" s="11"/>
      <c r="I661" s="2"/>
      <c r="J661" s="31">
        <v>640</v>
      </c>
      <c r="K661" s="11">
        <f>J661*G661/10000000</f>
        <v>2.9696E-2</v>
      </c>
    </row>
    <row r="662" spans="1:11">
      <c r="A662" s="10">
        <v>662</v>
      </c>
      <c r="B662" s="10" t="s">
        <v>853</v>
      </c>
      <c r="C662" s="10" t="s">
        <v>852</v>
      </c>
      <c r="D662" s="10" t="s">
        <v>899</v>
      </c>
      <c r="E662" s="2" t="s">
        <v>838</v>
      </c>
      <c r="F662" s="2" t="s">
        <v>838</v>
      </c>
      <c r="G662" s="2">
        <v>604</v>
      </c>
      <c r="H662" s="2"/>
      <c r="I662" s="2"/>
      <c r="J662" s="11">
        <v>157</v>
      </c>
      <c r="K662" s="11">
        <f t="shared" ref="K662:K692" si="13">J662*G662/10000000</f>
        <v>9.4827999999999996E-3</v>
      </c>
    </row>
    <row r="663" spans="1:11" hidden="1">
      <c r="A663" s="10">
        <v>663</v>
      </c>
      <c r="B663" s="10" t="s">
        <v>853</v>
      </c>
      <c r="C663" s="10" t="s">
        <v>852</v>
      </c>
      <c r="D663" s="10" t="s">
        <v>988</v>
      </c>
      <c r="E663" s="2" t="s">
        <v>840</v>
      </c>
      <c r="F663" s="2" t="s">
        <v>840</v>
      </c>
      <c r="G663" s="2">
        <v>1200</v>
      </c>
      <c r="H663" s="2"/>
      <c r="I663" s="2"/>
      <c r="J663" s="11">
        <v>23.1</v>
      </c>
      <c r="K663" s="11">
        <f t="shared" si="13"/>
        <v>2.7720000000000002E-3</v>
      </c>
    </row>
    <row r="664" spans="1:11" hidden="1">
      <c r="A664" s="10">
        <v>664</v>
      </c>
      <c r="B664" s="10" t="s">
        <v>853</v>
      </c>
      <c r="C664" s="10" t="s">
        <v>852</v>
      </c>
      <c r="D664" s="10" t="s">
        <v>988</v>
      </c>
      <c r="E664" s="36" t="s">
        <v>841</v>
      </c>
      <c r="F664" s="36" t="s">
        <v>841</v>
      </c>
      <c r="G664" s="2">
        <v>5000</v>
      </c>
      <c r="H664" s="2"/>
      <c r="I664" s="2"/>
      <c r="J664" s="11">
        <v>33</v>
      </c>
      <c r="K664" s="11">
        <f t="shared" si="13"/>
        <v>1.6500000000000001E-2</v>
      </c>
    </row>
    <row r="665" spans="1:11" hidden="1">
      <c r="A665" s="10">
        <v>665</v>
      </c>
      <c r="B665" s="10" t="s">
        <v>853</v>
      </c>
      <c r="C665" s="10" t="s">
        <v>852</v>
      </c>
      <c r="D665" s="10" t="s">
        <v>897</v>
      </c>
      <c r="E665" s="2" t="s">
        <v>843</v>
      </c>
      <c r="F665" s="2" t="s">
        <v>843</v>
      </c>
      <c r="G665" s="2">
        <v>1</v>
      </c>
      <c r="H665" s="2"/>
      <c r="I665" s="2"/>
      <c r="J665" s="31"/>
      <c r="K665" s="11">
        <f t="shared" si="13"/>
        <v>0</v>
      </c>
    </row>
    <row r="666" spans="1:11" hidden="1">
      <c r="A666" s="10">
        <v>666</v>
      </c>
      <c r="B666" s="10" t="s">
        <v>853</v>
      </c>
      <c r="C666" s="10" t="s">
        <v>852</v>
      </c>
      <c r="D666" s="10" t="s">
        <v>988</v>
      </c>
      <c r="E666" s="36" t="s">
        <v>845</v>
      </c>
      <c r="F666" s="36" t="s">
        <v>845</v>
      </c>
      <c r="G666" s="2">
        <v>299</v>
      </c>
      <c r="H666" s="2"/>
      <c r="I666" s="2"/>
      <c r="J666" s="11">
        <v>23.51</v>
      </c>
      <c r="K666" s="11">
        <f t="shared" si="13"/>
        <v>7.0294900000000002E-4</v>
      </c>
    </row>
    <row r="667" spans="1:11">
      <c r="A667" s="10">
        <v>667</v>
      </c>
      <c r="B667" s="10" t="s">
        <v>853</v>
      </c>
      <c r="C667" s="10" t="s">
        <v>852</v>
      </c>
      <c r="D667" s="10" t="s">
        <v>899</v>
      </c>
      <c r="E667" s="2" t="s">
        <v>847</v>
      </c>
      <c r="F667" s="2" t="s">
        <v>847</v>
      </c>
      <c r="G667" s="2">
        <v>200</v>
      </c>
      <c r="H667" s="2"/>
      <c r="I667" s="2"/>
      <c r="J667" s="11">
        <v>131</v>
      </c>
      <c r="K667" s="11">
        <f t="shared" si="13"/>
        <v>2.6199999999999999E-3</v>
      </c>
    </row>
    <row r="668" spans="1:11" hidden="1">
      <c r="A668" s="10">
        <v>668</v>
      </c>
      <c r="B668" s="10" t="s">
        <v>853</v>
      </c>
      <c r="C668" s="10" t="s">
        <v>852</v>
      </c>
      <c r="D668" s="10" t="s">
        <v>990</v>
      </c>
      <c r="E668" s="36" t="s">
        <v>849</v>
      </c>
      <c r="F668" s="36" t="s">
        <v>849</v>
      </c>
      <c r="G668" s="2">
        <v>4</v>
      </c>
      <c r="H668" s="2"/>
      <c r="I668" s="2"/>
      <c r="J668" s="31"/>
      <c r="K668" s="11">
        <f t="shared" si="13"/>
        <v>0</v>
      </c>
    </row>
    <row r="669" spans="1:11" hidden="1">
      <c r="A669" s="10">
        <v>669</v>
      </c>
      <c r="B669" s="10" t="s">
        <v>853</v>
      </c>
      <c r="C669" s="10" t="s">
        <v>852</v>
      </c>
      <c r="D669" s="10" t="s">
        <v>990</v>
      </c>
      <c r="E669" s="36" t="s">
        <v>850</v>
      </c>
      <c r="F669" s="36" t="s">
        <v>850</v>
      </c>
      <c r="G669" s="2">
        <v>1</v>
      </c>
      <c r="H669" s="2"/>
      <c r="I669" s="2"/>
      <c r="J669" s="31"/>
      <c r="K669" s="11">
        <f t="shared" si="13"/>
        <v>0</v>
      </c>
    </row>
    <row r="670" spans="1:11" hidden="1">
      <c r="A670" s="10">
        <v>670</v>
      </c>
      <c r="B670" s="10" t="s">
        <v>892</v>
      </c>
      <c r="C670" s="10" t="s">
        <v>893</v>
      </c>
      <c r="D670" s="10" t="s">
        <v>895</v>
      </c>
      <c r="E670" s="42" t="s">
        <v>872</v>
      </c>
      <c r="F670" s="42" t="s">
        <v>873</v>
      </c>
      <c r="G670" s="42">
        <v>17</v>
      </c>
      <c r="H670" s="42">
        <v>102</v>
      </c>
      <c r="I670" s="42" t="s">
        <v>746</v>
      </c>
      <c r="J670" s="42">
        <v>1356</v>
      </c>
      <c r="K670" s="11">
        <f t="shared" si="13"/>
        <v>2.3051999999999999E-3</v>
      </c>
    </row>
    <row r="671" spans="1:11" hidden="1">
      <c r="A671" s="10">
        <v>671</v>
      </c>
      <c r="B671" s="10" t="s">
        <v>892</v>
      </c>
      <c r="C671" s="10" t="s">
        <v>893</v>
      </c>
      <c r="D671" s="10" t="s">
        <v>895</v>
      </c>
      <c r="E671" s="42" t="s">
        <v>872</v>
      </c>
      <c r="F671" s="42" t="s">
        <v>874</v>
      </c>
      <c r="G671" s="42">
        <v>6</v>
      </c>
      <c r="H671" s="42">
        <v>36</v>
      </c>
      <c r="I671" s="42" t="s">
        <v>746</v>
      </c>
      <c r="J671" s="42">
        <v>1697</v>
      </c>
      <c r="K671" s="11">
        <f t="shared" si="13"/>
        <v>1.0181999999999999E-3</v>
      </c>
    </row>
    <row r="672" spans="1:11" hidden="1">
      <c r="A672" s="10">
        <v>672</v>
      </c>
      <c r="B672" s="10" t="s">
        <v>892</v>
      </c>
      <c r="C672" s="10" t="s">
        <v>893</v>
      </c>
      <c r="D672" s="10" t="s">
        <v>895</v>
      </c>
      <c r="E672" s="42" t="s">
        <v>872</v>
      </c>
      <c r="F672" s="42" t="s">
        <v>875</v>
      </c>
      <c r="G672" s="42">
        <v>18</v>
      </c>
      <c r="H672" s="42">
        <v>108</v>
      </c>
      <c r="I672" s="42" t="s">
        <v>746</v>
      </c>
      <c r="J672" s="42">
        <v>2382</v>
      </c>
      <c r="K672" s="11">
        <f t="shared" si="13"/>
        <v>4.2875999999999999E-3</v>
      </c>
    </row>
    <row r="673" spans="1:11" hidden="1">
      <c r="A673" s="10">
        <v>673</v>
      </c>
      <c r="B673" s="10" t="s">
        <v>892</v>
      </c>
      <c r="C673" s="10" t="s">
        <v>893</v>
      </c>
      <c r="D673" s="10" t="s">
        <v>895</v>
      </c>
      <c r="E673" s="42" t="s">
        <v>872</v>
      </c>
      <c r="F673" s="42" t="s">
        <v>876</v>
      </c>
      <c r="G673" s="42">
        <v>1</v>
      </c>
      <c r="H673" s="42">
        <v>6</v>
      </c>
      <c r="I673" s="42" t="s">
        <v>746</v>
      </c>
      <c r="J673" s="42">
        <v>2541</v>
      </c>
      <c r="K673" s="11">
        <f t="shared" si="13"/>
        <v>2.541E-4</v>
      </c>
    </row>
    <row r="674" spans="1:11" hidden="1">
      <c r="A674" s="10">
        <v>674</v>
      </c>
      <c r="B674" s="10" t="s">
        <v>892</v>
      </c>
      <c r="C674" s="10" t="s">
        <v>893</v>
      </c>
      <c r="D674" s="10" t="s">
        <v>895</v>
      </c>
      <c r="E674" s="42" t="s">
        <v>872</v>
      </c>
      <c r="F674" s="42" t="s">
        <v>877</v>
      </c>
      <c r="G674" s="42">
        <v>3</v>
      </c>
      <c r="H674" s="42">
        <v>18</v>
      </c>
      <c r="I674" s="42" t="s">
        <v>746</v>
      </c>
      <c r="J674" s="42">
        <v>4005</v>
      </c>
      <c r="K674" s="11">
        <f t="shared" si="13"/>
        <v>1.2015000000000001E-3</v>
      </c>
    </row>
    <row r="675" spans="1:11" hidden="1">
      <c r="A675" s="10">
        <v>675</v>
      </c>
      <c r="B675" s="10" t="s">
        <v>892</v>
      </c>
      <c r="C675" s="10" t="s">
        <v>893</v>
      </c>
      <c r="D675" s="10" t="s">
        <v>862</v>
      </c>
      <c r="E675" s="42" t="s">
        <v>878</v>
      </c>
      <c r="F675" s="42" t="s">
        <v>879</v>
      </c>
      <c r="G675" s="42">
        <v>4</v>
      </c>
      <c r="H675" s="42" t="s">
        <v>880</v>
      </c>
      <c r="I675" s="42" t="s">
        <v>887</v>
      </c>
      <c r="J675" s="42">
        <v>2839</v>
      </c>
      <c r="K675" s="11">
        <f t="shared" si="13"/>
        <v>1.1356000000000001E-3</v>
      </c>
    </row>
    <row r="676" spans="1:11" hidden="1">
      <c r="A676" s="10">
        <v>676</v>
      </c>
      <c r="B676" s="10" t="s">
        <v>892</v>
      </c>
      <c r="C676" s="10" t="s">
        <v>893</v>
      </c>
      <c r="D676" s="10" t="s">
        <v>862</v>
      </c>
      <c r="E676" s="42" t="s">
        <v>878</v>
      </c>
      <c r="F676" s="42" t="s">
        <v>873</v>
      </c>
      <c r="G676" s="42">
        <v>1</v>
      </c>
      <c r="H676" s="42" t="s">
        <v>880</v>
      </c>
      <c r="I676" s="42" t="s">
        <v>887</v>
      </c>
      <c r="J676" s="42">
        <v>4041</v>
      </c>
      <c r="K676" s="11">
        <f t="shared" si="13"/>
        <v>4.0410000000000001E-4</v>
      </c>
    </row>
    <row r="677" spans="1:11" hidden="1">
      <c r="A677" s="10">
        <v>677</v>
      </c>
      <c r="B677" s="10" t="s">
        <v>892</v>
      </c>
      <c r="C677" s="10" t="s">
        <v>893</v>
      </c>
      <c r="D677" s="10" t="s">
        <v>862</v>
      </c>
      <c r="E677" s="42" t="s">
        <v>878</v>
      </c>
      <c r="F677" s="42" t="s">
        <v>874</v>
      </c>
      <c r="G677" s="42">
        <v>4</v>
      </c>
      <c r="H677" s="42" t="s">
        <v>880</v>
      </c>
      <c r="I677" s="42" t="s">
        <v>888</v>
      </c>
      <c r="J677" s="42">
        <v>8926</v>
      </c>
      <c r="K677" s="11">
        <f t="shared" si="13"/>
        <v>3.5704E-3</v>
      </c>
    </row>
    <row r="678" spans="1:11" hidden="1">
      <c r="A678" s="10">
        <v>678</v>
      </c>
      <c r="B678" s="10" t="s">
        <v>892</v>
      </c>
      <c r="C678" s="10" t="s">
        <v>893</v>
      </c>
      <c r="D678" s="10" t="s">
        <v>862</v>
      </c>
      <c r="E678" s="42" t="s">
        <v>878</v>
      </c>
      <c r="F678" s="42" t="s">
        <v>876</v>
      </c>
      <c r="G678" s="42">
        <v>4</v>
      </c>
      <c r="H678" s="42" t="s">
        <v>880</v>
      </c>
      <c r="I678" s="42" t="s">
        <v>888</v>
      </c>
      <c r="J678" s="42">
        <v>20870</v>
      </c>
      <c r="K678" s="11">
        <f t="shared" si="13"/>
        <v>8.3479999999999995E-3</v>
      </c>
    </row>
    <row r="679" spans="1:11" hidden="1">
      <c r="A679" s="10">
        <v>679</v>
      </c>
      <c r="B679" s="10" t="s">
        <v>892</v>
      </c>
      <c r="C679" s="10" t="s">
        <v>893</v>
      </c>
      <c r="D679" s="10" t="s">
        <v>862</v>
      </c>
      <c r="E679" s="42" t="s">
        <v>878</v>
      </c>
      <c r="F679" s="42" t="s">
        <v>881</v>
      </c>
      <c r="G679" s="42">
        <v>4</v>
      </c>
      <c r="H679" s="42" t="s">
        <v>880</v>
      </c>
      <c r="I679" s="42" t="s">
        <v>888</v>
      </c>
      <c r="J679" s="42">
        <v>45933</v>
      </c>
      <c r="K679" s="11">
        <f t="shared" si="13"/>
        <v>1.8373199999999999E-2</v>
      </c>
    </row>
    <row r="680" spans="1:11" hidden="1">
      <c r="A680" s="10">
        <v>680</v>
      </c>
      <c r="B680" s="10" t="s">
        <v>892</v>
      </c>
      <c r="C680" s="10" t="s">
        <v>893</v>
      </c>
      <c r="D680" s="10" t="s">
        <v>897</v>
      </c>
      <c r="E680" s="42" t="s">
        <v>882</v>
      </c>
      <c r="F680" s="42" t="s">
        <v>883</v>
      </c>
      <c r="G680" s="42">
        <v>88</v>
      </c>
      <c r="H680" s="42">
        <v>44</v>
      </c>
      <c r="I680" s="42" t="s">
        <v>889</v>
      </c>
      <c r="J680" s="42">
        <v>2255</v>
      </c>
      <c r="K680" s="11">
        <f t="shared" si="13"/>
        <v>1.9844000000000001E-2</v>
      </c>
    </row>
    <row r="681" spans="1:11" hidden="1">
      <c r="A681" s="10">
        <v>681</v>
      </c>
      <c r="B681" s="10" t="s">
        <v>892</v>
      </c>
      <c r="C681" s="10" t="s">
        <v>893</v>
      </c>
      <c r="D681" s="10" t="s">
        <v>979</v>
      </c>
      <c r="E681" s="42" t="s">
        <v>884</v>
      </c>
      <c r="F681" s="42" t="s">
        <v>879</v>
      </c>
      <c r="G681" s="42">
        <v>18</v>
      </c>
      <c r="H681" s="42" t="s">
        <v>880</v>
      </c>
      <c r="I681" s="42" t="s">
        <v>890</v>
      </c>
      <c r="J681" s="42">
        <v>760</v>
      </c>
      <c r="K681" s="11">
        <f t="shared" si="13"/>
        <v>1.3680000000000001E-3</v>
      </c>
    </row>
    <row r="682" spans="1:11" hidden="1">
      <c r="A682" s="10">
        <v>682</v>
      </c>
      <c r="B682" s="10" t="s">
        <v>892</v>
      </c>
      <c r="C682" s="10" t="s">
        <v>893</v>
      </c>
      <c r="D682" s="10" t="s">
        <v>979</v>
      </c>
      <c r="E682" s="42" t="s">
        <v>884</v>
      </c>
      <c r="F682" s="42" t="s">
        <v>874</v>
      </c>
      <c r="G682" s="42">
        <v>4</v>
      </c>
      <c r="H682" s="42" t="s">
        <v>880</v>
      </c>
      <c r="I682" s="42" t="s">
        <v>890</v>
      </c>
      <c r="J682" s="42">
        <v>2375</v>
      </c>
      <c r="K682" s="11">
        <f t="shared" si="13"/>
        <v>9.5E-4</v>
      </c>
    </row>
    <row r="683" spans="1:11" hidden="1">
      <c r="A683" s="10">
        <v>683</v>
      </c>
      <c r="B683" s="10" t="s">
        <v>892</v>
      </c>
      <c r="C683" s="10" t="s">
        <v>893</v>
      </c>
      <c r="D683" s="10" t="s">
        <v>979</v>
      </c>
      <c r="E683" s="42" t="s">
        <v>884</v>
      </c>
      <c r="F683" s="42" t="s">
        <v>875</v>
      </c>
      <c r="G683" s="42">
        <v>3</v>
      </c>
      <c r="H683" s="42" t="s">
        <v>880</v>
      </c>
      <c r="I683" s="42" t="s">
        <v>890</v>
      </c>
      <c r="J683" s="42">
        <v>3325</v>
      </c>
      <c r="K683" s="11">
        <f t="shared" si="13"/>
        <v>9.9749999999999991E-4</v>
      </c>
    </row>
    <row r="684" spans="1:11" hidden="1">
      <c r="A684" s="10">
        <v>684</v>
      </c>
      <c r="B684" s="10" t="s">
        <v>892</v>
      </c>
      <c r="C684" s="10" t="s">
        <v>893</v>
      </c>
      <c r="D684" s="10" t="s">
        <v>979</v>
      </c>
      <c r="E684" s="42" t="s">
        <v>884</v>
      </c>
      <c r="F684" s="42" t="s">
        <v>876</v>
      </c>
      <c r="G684" s="42">
        <v>31</v>
      </c>
      <c r="H684" s="42" t="s">
        <v>880</v>
      </c>
      <c r="I684" s="42" t="s">
        <v>890</v>
      </c>
      <c r="J684" s="42">
        <v>3657</v>
      </c>
      <c r="K684" s="11">
        <f t="shared" si="13"/>
        <v>1.13367E-2</v>
      </c>
    </row>
    <row r="685" spans="1:11" hidden="1">
      <c r="A685" s="10">
        <v>685</v>
      </c>
      <c r="B685" s="10" t="s">
        <v>892</v>
      </c>
      <c r="C685" s="10" t="s">
        <v>893</v>
      </c>
      <c r="D685" s="10" t="s">
        <v>979</v>
      </c>
      <c r="E685" s="42" t="s">
        <v>884</v>
      </c>
      <c r="F685" s="42" t="s">
        <v>877</v>
      </c>
      <c r="G685" s="42">
        <v>27</v>
      </c>
      <c r="H685" s="42" t="s">
        <v>880</v>
      </c>
      <c r="I685" s="42" t="s">
        <v>890</v>
      </c>
      <c r="J685" s="42">
        <v>5225</v>
      </c>
      <c r="K685" s="11">
        <f t="shared" si="13"/>
        <v>1.41075E-2</v>
      </c>
    </row>
    <row r="686" spans="1:11" hidden="1">
      <c r="A686" s="10">
        <v>686</v>
      </c>
      <c r="B686" s="10" t="s">
        <v>892</v>
      </c>
      <c r="C686" s="10" t="s">
        <v>893</v>
      </c>
      <c r="D686" s="10" t="s">
        <v>721</v>
      </c>
      <c r="E686" s="42" t="s">
        <v>885</v>
      </c>
      <c r="F686" s="42" t="s">
        <v>873</v>
      </c>
      <c r="G686" s="42">
        <v>1</v>
      </c>
      <c r="H686" s="42" t="s">
        <v>880</v>
      </c>
      <c r="I686" s="42" t="s">
        <v>890</v>
      </c>
      <c r="J686" s="42">
        <v>950</v>
      </c>
      <c r="K686" s="11">
        <f t="shared" si="13"/>
        <v>9.5000000000000005E-5</v>
      </c>
    </row>
    <row r="687" spans="1:11" hidden="1">
      <c r="A687" s="10">
        <v>687</v>
      </c>
      <c r="B687" s="10" t="s">
        <v>892</v>
      </c>
      <c r="C687" s="10" t="s">
        <v>893</v>
      </c>
      <c r="D687" s="10" t="s">
        <v>721</v>
      </c>
      <c r="E687" s="42" t="s">
        <v>885</v>
      </c>
      <c r="F687" s="42" t="s">
        <v>874</v>
      </c>
      <c r="G687" s="42">
        <v>2</v>
      </c>
      <c r="H687" s="42" t="s">
        <v>880</v>
      </c>
      <c r="I687" s="42" t="s">
        <v>890</v>
      </c>
      <c r="J687" s="42">
        <v>1492</v>
      </c>
      <c r="K687" s="11">
        <f t="shared" si="13"/>
        <v>2.9839999999999999E-4</v>
      </c>
    </row>
    <row r="688" spans="1:11" hidden="1">
      <c r="A688" s="10">
        <v>688</v>
      </c>
      <c r="B688" s="10" t="s">
        <v>892</v>
      </c>
      <c r="C688" s="10" t="s">
        <v>893</v>
      </c>
      <c r="D688" s="10" t="s">
        <v>721</v>
      </c>
      <c r="E688" s="42" t="s">
        <v>885</v>
      </c>
      <c r="F688" s="42" t="s">
        <v>875</v>
      </c>
      <c r="G688" s="42">
        <v>3</v>
      </c>
      <c r="H688" s="42" t="s">
        <v>880</v>
      </c>
      <c r="I688" s="42" t="s">
        <v>890</v>
      </c>
      <c r="J688" s="42">
        <v>2285</v>
      </c>
      <c r="K688" s="11">
        <f t="shared" si="13"/>
        <v>6.8550000000000002E-4</v>
      </c>
    </row>
    <row r="689" spans="1:11" hidden="1">
      <c r="A689" s="10">
        <v>689</v>
      </c>
      <c r="B689" s="10" t="s">
        <v>892</v>
      </c>
      <c r="C689" s="10" t="s">
        <v>893</v>
      </c>
      <c r="D689" s="10" t="s">
        <v>721</v>
      </c>
      <c r="E689" s="42" t="s">
        <v>885</v>
      </c>
      <c r="F689" s="42" t="s">
        <v>876</v>
      </c>
      <c r="G689" s="42">
        <v>48</v>
      </c>
      <c r="H689" s="42" t="s">
        <v>880</v>
      </c>
      <c r="I689" s="42" t="s">
        <v>890</v>
      </c>
      <c r="J689" s="42">
        <v>3658</v>
      </c>
      <c r="K689" s="11">
        <f t="shared" si="13"/>
        <v>1.7558399999999998E-2</v>
      </c>
    </row>
    <row r="690" spans="1:11" hidden="1">
      <c r="A690" s="10">
        <v>690</v>
      </c>
      <c r="B690" s="10" t="s">
        <v>892</v>
      </c>
      <c r="C690" s="10" t="s">
        <v>893</v>
      </c>
      <c r="D690" s="10" t="s">
        <v>721</v>
      </c>
      <c r="E690" s="42" t="s">
        <v>885</v>
      </c>
      <c r="F690" s="42" t="s">
        <v>877</v>
      </c>
      <c r="G690" s="42">
        <v>11</v>
      </c>
      <c r="H690" s="42" t="s">
        <v>880</v>
      </c>
      <c r="I690" s="42" t="s">
        <v>890</v>
      </c>
      <c r="J690" s="42">
        <v>6650</v>
      </c>
      <c r="K690" s="11">
        <f t="shared" si="13"/>
        <v>7.3150000000000003E-3</v>
      </c>
    </row>
    <row r="691" spans="1:11" hidden="1">
      <c r="A691" s="10">
        <v>691</v>
      </c>
      <c r="B691" s="10" t="s">
        <v>892</v>
      </c>
      <c r="C691" s="10" t="s">
        <v>893</v>
      </c>
      <c r="D691" s="10" t="s">
        <v>721</v>
      </c>
      <c r="E691" s="42" t="s">
        <v>885</v>
      </c>
      <c r="F691" s="42" t="s">
        <v>883</v>
      </c>
      <c r="G691" s="42">
        <v>17</v>
      </c>
      <c r="H691" s="42" t="s">
        <v>880</v>
      </c>
      <c r="I691" s="42" t="s">
        <v>890</v>
      </c>
      <c r="J691" s="42">
        <v>19000</v>
      </c>
      <c r="K691" s="11">
        <f t="shared" si="13"/>
        <v>3.2300000000000002E-2</v>
      </c>
    </row>
    <row r="692" spans="1:11" hidden="1">
      <c r="A692" s="10">
        <v>692</v>
      </c>
      <c r="B692" s="10" t="s">
        <v>892</v>
      </c>
      <c r="C692" s="10" t="s">
        <v>893</v>
      </c>
      <c r="D692" s="10" t="s">
        <v>897</v>
      </c>
      <c r="E692" s="42" t="s">
        <v>886</v>
      </c>
      <c r="F692" s="42" t="s">
        <v>873</v>
      </c>
      <c r="G692" s="42">
        <v>6</v>
      </c>
      <c r="H692" s="42" t="s">
        <v>880</v>
      </c>
      <c r="I692" s="42" t="s">
        <v>891</v>
      </c>
      <c r="J692" s="42">
        <v>15704</v>
      </c>
      <c r="K692" s="11">
        <f t="shared" si="13"/>
        <v>9.4223999999999992E-3</v>
      </c>
    </row>
    <row r="693" spans="1:11" hidden="1">
      <c r="A693" s="10">
        <v>693</v>
      </c>
      <c r="B693" s="10" t="s">
        <v>892</v>
      </c>
      <c r="C693" s="10" t="s">
        <v>893</v>
      </c>
      <c r="D693" s="10" t="s">
        <v>897</v>
      </c>
      <c r="E693" s="42" t="s">
        <v>886</v>
      </c>
      <c r="F693" s="42" t="s">
        <v>874</v>
      </c>
      <c r="G693" s="42">
        <v>3</v>
      </c>
      <c r="H693" s="42" t="s">
        <v>880</v>
      </c>
      <c r="I693" s="42" t="s">
        <v>891</v>
      </c>
      <c r="J693" s="42">
        <v>27525</v>
      </c>
      <c r="K693" s="11">
        <f>J693*G693/10000000</f>
        <v>8.2574999999999992E-3</v>
      </c>
    </row>
    <row r="694" spans="1:11" hidden="1">
      <c r="A694" s="10">
        <v>694</v>
      </c>
      <c r="B694" s="10" t="s">
        <v>946</v>
      </c>
      <c r="C694" s="10" t="s">
        <v>947</v>
      </c>
      <c r="D694" s="10" t="s">
        <v>986</v>
      </c>
      <c r="E694" s="8" t="s">
        <v>907</v>
      </c>
      <c r="F694" s="10"/>
      <c r="G694" s="10">
        <v>5</v>
      </c>
      <c r="H694" s="10" t="s">
        <v>908</v>
      </c>
      <c r="I694" s="10"/>
      <c r="J694" s="11">
        <v>670</v>
      </c>
      <c r="K694" s="11">
        <f t="shared" ref="K694:K736" si="14">J694*G694/10000000</f>
        <v>3.3500000000000001E-4</v>
      </c>
    </row>
    <row r="695" spans="1:11" hidden="1">
      <c r="A695" s="10">
        <v>695</v>
      </c>
      <c r="B695" s="10" t="s">
        <v>946</v>
      </c>
      <c r="C695" s="10" t="s">
        <v>947</v>
      </c>
      <c r="D695" s="10" t="s">
        <v>986</v>
      </c>
      <c r="E695" s="8" t="s">
        <v>909</v>
      </c>
      <c r="F695" s="10"/>
      <c r="G695" s="10">
        <v>4</v>
      </c>
      <c r="H695" s="10" t="s">
        <v>908</v>
      </c>
      <c r="I695" s="10"/>
      <c r="J695" s="11">
        <v>556.62</v>
      </c>
      <c r="K695" s="11">
        <f t="shared" si="14"/>
        <v>2.2264800000000001E-4</v>
      </c>
    </row>
    <row r="696" spans="1:11" hidden="1">
      <c r="A696" s="10">
        <v>696</v>
      </c>
      <c r="B696" s="10" t="s">
        <v>946</v>
      </c>
      <c r="C696" s="10" t="s">
        <v>947</v>
      </c>
      <c r="D696" s="10" t="s">
        <v>897</v>
      </c>
      <c r="E696" s="8" t="s">
        <v>910</v>
      </c>
      <c r="F696" s="10"/>
      <c r="G696" s="10">
        <v>1</v>
      </c>
      <c r="H696" s="10" t="s">
        <v>911</v>
      </c>
      <c r="I696" s="10"/>
      <c r="J696" s="11">
        <v>9491.89</v>
      </c>
      <c r="K696" s="11">
        <f t="shared" si="14"/>
        <v>9.4918899999999991E-4</v>
      </c>
    </row>
    <row r="697" spans="1:11" hidden="1">
      <c r="A697" s="10">
        <v>697</v>
      </c>
      <c r="B697" s="10" t="s">
        <v>946</v>
      </c>
      <c r="C697" s="10" t="s">
        <v>947</v>
      </c>
      <c r="D697" s="10" t="s">
        <v>895</v>
      </c>
      <c r="E697" s="8" t="s">
        <v>912</v>
      </c>
      <c r="F697" s="10"/>
      <c r="G697" s="10">
        <v>1.5</v>
      </c>
      <c r="H697" s="10" t="s">
        <v>913</v>
      </c>
      <c r="I697" s="10"/>
      <c r="J697" s="11">
        <v>105</v>
      </c>
      <c r="K697" s="11">
        <f t="shared" si="14"/>
        <v>1.575E-5</v>
      </c>
    </row>
    <row r="698" spans="1:11" hidden="1">
      <c r="A698" s="10">
        <v>698</v>
      </c>
      <c r="B698" s="10" t="s">
        <v>946</v>
      </c>
      <c r="C698" s="10" t="s">
        <v>947</v>
      </c>
      <c r="D698" s="10" t="s">
        <v>989</v>
      </c>
      <c r="E698" s="8" t="s">
        <v>914</v>
      </c>
      <c r="F698" s="10"/>
      <c r="G698" s="10">
        <v>80</v>
      </c>
      <c r="H698" s="10" t="s">
        <v>33</v>
      </c>
      <c r="I698" s="10"/>
      <c r="J698" s="11">
        <v>1850</v>
      </c>
      <c r="K698" s="11">
        <f t="shared" si="14"/>
        <v>1.4800000000000001E-2</v>
      </c>
    </row>
    <row r="699" spans="1:11" hidden="1">
      <c r="A699" s="10">
        <v>699</v>
      </c>
      <c r="B699" s="10" t="s">
        <v>946</v>
      </c>
      <c r="C699" s="10" t="s">
        <v>947</v>
      </c>
      <c r="D699" s="10" t="s">
        <v>991</v>
      </c>
      <c r="E699" s="8" t="s">
        <v>915</v>
      </c>
      <c r="F699" s="10"/>
      <c r="G699" s="10">
        <v>4.5</v>
      </c>
      <c r="H699" s="10" t="s">
        <v>916</v>
      </c>
      <c r="I699" s="10"/>
      <c r="J699" s="10">
        <v>53.6</v>
      </c>
      <c r="K699" s="11">
        <f t="shared" si="14"/>
        <v>2.4120000000000003E-5</v>
      </c>
    </row>
    <row r="700" spans="1:11" hidden="1">
      <c r="A700" s="10">
        <v>700</v>
      </c>
      <c r="B700" s="10" t="s">
        <v>946</v>
      </c>
      <c r="C700" s="10" t="s">
        <v>947</v>
      </c>
      <c r="D700" s="10" t="s">
        <v>991</v>
      </c>
      <c r="E700" s="8" t="s">
        <v>917</v>
      </c>
      <c r="F700" s="10"/>
      <c r="G700" s="10">
        <v>24</v>
      </c>
      <c r="H700" s="10" t="s">
        <v>916</v>
      </c>
      <c r="I700" s="10"/>
      <c r="J700" s="10">
        <v>53.6</v>
      </c>
      <c r="K700" s="11">
        <f t="shared" si="14"/>
        <v>1.2864000000000002E-4</v>
      </c>
    </row>
    <row r="701" spans="1:11" hidden="1">
      <c r="A701" s="10">
        <v>701</v>
      </c>
      <c r="B701" s="10" t="s">
        <v>946</v>
      </c>
      <c r="C701" s="10" t="s">
        <v>947</v>
      </c>
      <c r="D701" s="10" t="s">
        <v>991</v>
      </c>
      <c r="E701" s="8" t="s">
        <v>918</v>
      </c>
      <c r="F701" s="10"/>
      <c r="G701" s="10">
        <v>2</v>
      </c>
      <c r="H701" s="10" t="s">
        <v>916</v>
      </c>
      <c r="I701" s="10"/>
      <c r="J701" s="10">
        <v>53.6</v>
      </c>
      <c r="K701" s="11">
        <f t="shared" si="14"/>
        <v>1.0720000000000001E-5</v>
      </c>
    </row>
    <row r="702" spans="1:11" hidden="1">
      <c r="A702" s="10">
        <v>702</v>
      </c>
      <c r="B702" s="10" t="s">
        <v>946</v>
      </c>
      <c r="C702" s="10" t="s">
        <v>947</v>
      </c>
      <c r="D702" s="10" t="s">
        <v>897</v>
      </c>
      <c r="E702" s="8" t="s">
        <v>919</v>
      </c>
      <c r="F702" s="10"/>
      <c r="G702" s="10">
        <f>10.233-5</f>
        <v>5.2330000000000005</v>
      </c>
      <c r="H702" s="10" t="s">
        <v>916</v>
      </c>
      <c r="I702" s="10"/>
      <c r="J702" s="10"/>
      <c r="K702" s="11">
        <f t="shared" si="14"/>
        <v>0</v>
      </c>
    </row>
    <row r="703" spans="1:11" hidden="1">
      <c r="A703" s="10">
        <v>703</v>
      </c>
      <c r="B703" s="10" t="s">
        <v>946</v>
      </c>
      <c r="C703" s="10" t="s">
        <v>947</v>
      </c>
      <c r="D703" s="10" t="s">
        <v>897</v>
      </c>
      <c r="E703" s="8" t="s">
        <v>920</v>
      </c>
      <c r="F703" s="10"/>
      <c r="G703" s="10">
        <v>31.315000000000001</v>
      </c>
      <c r="H703" s="10" t="s">
        <v>916</v>
      </c>
      <c r="I703" s="10"/>
      <c r="J703" s="10"/>
      <c r="K703" s="11">
        <f t="shared" si="14"/>
        <v>0</v>
      </c>
    </row>
    <row r="704" spans="1:11" hidden="1">
      <c r="A704" s="10">
        <v>704</v>
      </c>
      <c r="B704" s="10" t="s">
        <v>946</v>
      </c>
      <c r="C704" s="10" t="s">
        <v>947</v>
      </c>
      <c r="D704" s="10" t="s">
        <v>897</v>
      </c>
      <c r="E704" s="8" t="s">
        <v>921</v>
      </c>
      <c r="F704" s="10"/>
      <c r="G704" s="10">
        <v>6</v>
      </c>
      <c r="H704" s="10" t="s">
        <v>922</v>
      </c>
      <c r="I704" s="10"/>
      <c r="J704" s="10"/>
      <c r="K704" s="11">
        <f t="shared" si="14"/>
        <v>0</v>
      </c>
    </row>
    <row r="705" spans="1:11" hidden="1">
      <c r="A705" s="10">
        <v>705</v>
      </c>
      <c r="B705" s="10" t="s">
        <v>946</v>
      </c>
      <c r="C705" s="10" t="s">
        <v>947</v>
      </c>
      <c r="D705" s="10" t="s">
        <v>897</v>
      </c>
      <c r="E705" s="8" t="s">
        <v>923</v>
      </c>
      <c r="F705" s="10"/>
      <c r="G705" s="10">
        <v>6</v>
      </c>
      <c r="H705" s="10" t="s">
        <v>33</v>
      </c>
      <c r="I705" s="10"/>
      <c r="J705" s="10"/>
      <c r="K705" s="11">
        <f t="shared" si="14"/>
        <v>0</v>
      </c>
    </row>
    <row r="706" spans="1:11" hidden="1">
      <c r="A706" s="10">
        <v>706</v>
      </c>
      <c r="B706" s="10" t="s">
        <v>946</v>
      </c>
      <c r="C706" s="10" t="s">
        <v>947</v>
      </c>
      <c r="D706" s="10" t="s">
        <v>897</v>
      </c>
      <c r="E706" s="8" t="s">
        <v>924</v>
      </c>
      <c r="F706" s="10"/>
      <c r="G706" s="10">
        <v>10</v>
      </c>
      <c r="H706" s="10" t="s">
        <v>943</v>
      </c>
      <c r="I706" s="10"/>
      <c r="J706" s="10"/>
      <c r="K706" s="11">
        <f t="shared" si="14"/>
        <v>0</v>
      </c>
    </row>
    <row r="707" spans="1:11" hidden="1">
      <c r="A707" s="10">
        <v>707</v>
      </c>
      <c r="B707" s="10" t="s">
        <v>946</v>
      </c>
      <c r="C707" s="10" t="s">
        <v>947</v>
      </c>
      <c r="D707" s="10" t="s">
        <v>897</v>
      </c>
      <c r="E707" s="8" t="s">
        <v>925</v>
      </c>
      <c r="F707" s="10"/>
      <c r="G707" s="10">
        <v>3</v>
      </c>
      <c r="H707" s="10" t="s">
        <v>943</v>
      </c>
      <c r="I707" s="10"/>
      <c r="J707" s="10"/>
      <c r="K707" s="11">
        <f t="shared" si="14"/>
        <v>0</v>
      </c>
    </row>
    <row r="708" spans="1:11" hidden="1">
      <c r="A708" s="10">
        <v>708</v>
      </c>
      <c r="B708" s="10" t="s">
        <v>946</v>
      </c>
      <c r="C708" s="10" t="s">
        <v>947</v>
      </c>
      <c r="D708" s="10" t="s">
        <v>897</v>
      </c>
      <c r="E708" s="8" t="s">
        <v>926</v>
      </c>
      <c r="F708" s="10"/>
      <c r="G708" s="10">
        <v>6</v>
      </c>
      <c r="H708" s="10" t="s">
        <v>33</v>
      </c>
      <c r="I708" s="10"/>
      <c r="J708" s="10">
        <v>1800</v>
      </c>
      <c r="K708" s="11">
        <f t="shared" si="14"/>
        <v>1.08E-3</v>
      </c>
    </row>
    <row r="709" spans="1:11" hidden="1">
      <c r="A709" s="10">
        <v>709</v>
      </c>
      <c r="B709" s="10" t="s">
        <v>946</v>
      </c>
      <c r="C709" s="10" t="s">
        <v>947</v>
      </c>
      <c r="D709" s="10" t="s">
        <v>897</v>
      </c>
      <c r="E709" s="8" t="s">
        <v>927</v>
      </c>
      <c r="F709" s="10"/>
      <c r="G709" s="10">
        <v>5</v>
      </c>
      <c r="H709" s="10" t="s">
        <v>33</v>
      </c>
      <c r="I709" s="10"/>
      <c r="J709" s="10">
        <v>2300</v>
      </c>
      <c r="K709" s="11">
        <f t="shared" si="14"/>
        <v>1.15E-3</v>
      </c>
    </row>
    <row r="710" spans="1:11" hidden="1">
      <c r="A710" s="10">
        <v>710</v>
      </c>
      <c r="B710" s="10" t="s">
        <v>946</v>
      </c>
      <c r="C710" s="10" t="s">
        <v>947</v>
      </c>
      <c r="D710" s="10" t="s">
        <v>897</v>
      </c>
      <c r="E710" s="8" t="s">
        <v>928</v>
      </c>
      <c r="F710" s="10"/>
      <c r="G710" s="10">
        <v>5</v>
      </c>
      <c r="H710" s="10" t="s">
        <v>33</v>
      </c>
      <c r="I710" s="10"/>
      <c r="J710" s="10"/>
      <c r="K710" s="11">
        <f t="shared" si="14"/>
        <v>0</v>
      </c>
    </row>
    <row r="711" spans="1:11" hidden="1">
      <c r="A711" s="10">
        <v>711</v>
      </c>
      <c r="B711" s="10" t="s">
        <v>946</v>
      </c>
      <c r="C711" s="10" t="s">
        <v>947</v>
      </c>
      <c r="D711" s="10" t="s">
        <v>897</v>
      </c>
      <c r="E711" s="8" t="s">
        <v>929</v>
      </c>
      <c r="F711" s="10"/>
      <c r="G711" s="10">
        <v>6</v>
      </c>
      <c r="H711" s="10" t="s">
        <v>33</v>
      </c>
      <c r="I711" s="10"/>
      <c r="J711" s="10"/>
      <c r="K711" s="11">
        <f t="shared" si="14"/>
        <v>0</v>
      </c>
    </row>
    <row r="712" spans="1:11" hidden="1">
      <c r="A712" s="10">
        <v>712</v>
      </c>
      <c r="B712" s="10" t="s">
        <v>946</v>
      </c>
      <c r="C712" s="10" t="s">
        <v>947</v>
      </c>
      <c r="D712" s="10" t="s">
        <v>897</v>
      </c>
      <c r="E712" s="8" t="s">
        <v>930</v>
      </c>
      <c r="F712" s="10"/>
      <c r="G712" s="10">
        <v>9</v>
      </c>
      <c r="H712" s="10" t="s">
        <v>33</v>
      </c>
      <c r="I712" s="10"/>
      <c r="J712" s="10"/>
      <c r="K712" s="11">
        <f t="shared" si="14"/>
        <v>0</v>
      </c>
    </row>
    <row r="713" spans="1:11" hidden="1">
      <c r="A713" s="10">
        <v>713</v>
      </c>
      <c r="B713" s="10" t="s">
        <v>946</v>
      </c>
      <c r="C713" s="10" t="s">
        <v>947</v>
      </c>
      <c r="D713" s="10" t="s">
        <v>897</v>
      </c>
      <c r="E713" s="8" t="s">
        <v>931</v>
      </c>
      <c r="F713" s="10"/>
      <c r="G713" s="10">
        <v>9</v>
      </c>
      <c r="H713" s="10" t="s">
        <v>33</v>
      </c>
      <c r="I713" s="10"/>
      <c r="J713" s="10"/>
      <c r="K713" s="11">
        <f t="shared" si="14"/>
        <v>0</v>
      </c>
    </row>
    <row r="714" spans="1:11" hidden="1">
      <c r="A714" s="10">
        <v>714</v>
      </c>
      <c r="B714" s="10" t="s">
        <v>946</v>
      </c>
      <c r="C714" s="10" t="s">
        <v>947</v>
      </c>
      <c r="D714" s="10" t="s">
        <v>992</v>
      </c>
      <c r="E714" s="8" t="s">
        <v>932</v>
      </c>
      <c r="F714" s="10"/>
      <c r="G714" s="10">
        <v>1</v>
      </c>
      <c r="H714" s="10" t="s">
        <v>33</v>
      </c>
      <c r="I714" s="10"/>
      <c r="J714" s="10"/>
      <c r="K714" s="11">
        <f t="shared" si="14"/>
        <v>0</v>
      </c>
    </row>
    <row r="715" spans="1:11" hidden="1">
      <c r="A715" s="10">
        <v>715</v>
      </c>
      <c r="B715" s="10" t="s">
        <v>946</v>
      </c>
      <c r="C715" s="10" t="s">
        <v>947</v>
      </c>
      <c r="D715" s="10" t="s">
        <v>992</v>
      </c>
      <c r="E715" s="8" t="s">
        <v>933</v>
      </c>
      <c r="F715" s="10"/>
      <c r="G715" s="10"/>
      <c r="H715" s="10" t="s">
        <v>33</v>
      </c>
      <c r="I715" s="10"/>
      <c r="J715" s="10"/>
      <c r="K715" s="11">
        <f t="shared" si="14"/>
        <v>0</v>
      </c>
    </row>
    <row r="716" spans="1:11" hidden="1">
      <c r="A716" s="10">
        <v>716</v>
      </c>
      <c r="B716" s="10" t="s">
        <v>946</v>
      </c>
      <c r="C716" s="10" t="s">
        <v>947</v>
      </c>
      <c r="D716" s="10" t="s">
        <v>992</v>
      </c>
      <c r="E716" s="8" t="s">
        <v>934</v>
      </c>
      <c r="F716" s="10"/>
      <c r="G716" s="10"/>
      <c r="H716" s="10" t="s">
        <v>33</v>
      </c>
      <c r="I716" s="10"/>
      <c r="J716" s="10"/>
      <c r="K716" s="11">
        <f t="shared" si="14"/>
        <v>0</v>
      </c>
    </row>
    <row r="717" spans="1:11" hidden="1">
      <c r="A717" s="10">
        <v>717</v>
      </c>
      <c r="B717" s="10" t="s">
        <v>946</v>
      </c>
      <c r="C717" s="10" t="s">
        <v>947</v>
      </c>
      <c r="D717" s="10" t="s">
        <v>992</v>
      </c>
      <c r="E717" s="8" t="s">
        <v>935</v>
      </c>
      <c r="F717" s="10"/>
      <c r="G717" s="10"/>
      <c r="H717" s="10" t="s">
        <v>33</v>
      </c>
      <c r="I717" s="10"/>
      <c r="J717" s="10"/>
      <c r="K717" s="11">
        <f t="shared" si="14"/>
        <v>0</v>
      </c>
    </row>
    <row r="718" spans="1:11" hidden="1">
      <c r="A718" s="10">
        <v>718</v>
      </c>
      <c r="B718" s="10" t="s">
        <v>946</v>
      </c>
      <c r="C718" s="10" t="s">
        <v>947</v>
      </c>
      <c r="D718" s="10" t="s">
        <v>992</v>
      </c>
      <c r="E718" s="8" t="s">
        <v>936</v>
      </c>
      <c r="F718" s="10"/>
      <c r="G718" s="10"/>
      <c r="H718" s="10" t="s">
        <v>33</v>
      </c>
      <c r="I718" s="10"/>
      <c r="J718" s="10"/>
      <c r="K718" s="11">
        <f t="shared" si="14"/>
        <v>0</v>
      </c>
    </row>
    <row r="719" spans="1:11" hidden="1">
      <c r="A719" s="10">
        <v>719</v>
      </c>
      <c r="B719" s="10" t="s">
        <v>946</v>
      </c>
      <c r="C719" s="10" t="s">
        <v>947</v>
      </c>
      <c r="D719" s="10" t="s">
        <v>992</v>
      </c>
      <c r="E719" s="8" t="s">
        <v>937</v>
      </c>
      <c r="F719" s="10"/>
      <c r="G719" s="10">
        <v>1</v>
      </c>
      <c r="H719" s="10" t="s">
        <v>33</v>
      </c>
      <c r="I719" s="10"/>
      <c r="J719" s="10"/>
      <c r="K719" s="11">
        <f t="shared" si="14"/>
        <v>0</v>
      </c>
    </row>
    <row r="720" spans="1:11" hidden="1">
      <c r="A720" s="10">
        <v>720</v>
      </c>
      <c r="B720" s="10" t="s">
        <v>946</v>
      </c>
      <c r="C720" s="10" t="s">
        <v>947</v>
      </c>
      <c r="D720" s="10" t="s">
        <v>992</v>
      </c>
      <c r="E720" s="8" t="s">
        <v>938</v>
      </c>
      <c r="F720" s="10"/>
      <c r="G720" s="10"/>
      <c r="H720" s="10" t="s">
        <v>33</v>
      </c>
      <c r="I720" s="10"/>
      <c r="J720" s="10"/>
      <c r="K720" s="11">
        <f t="shared" si="14"/>
        <v>0</v>
      </c>
    </row>
    <row r="721" spans="1:11" hidden="1">
      <c r="A721" s="10">
        <v>721</v>
      </c>
      <c r="B721" s="10" t="s">
        <v>946</v>
      </c>
      <c r="C721" s="10" t="s">
        <v>947</v>
      </c>
      <c r="D721" s="10" t="s">
        <v>992</v>
      </c>
      <c r="E721" s="8" t="s">
        <v>939</v>
      </c>
      <c r="F721" s="10"/>
      <c r="G721" s="10">
        <v>2</v>
      </c>
      <c r="H721" s="10" t="s">
        <v>33</v>
      </c>
      <c r="I721" s="10"/>
      <c r="J721" s="10"/>
      <c r="K721" s="11">
        <f t="shared" si="14"/>
        <v>0</v>
      </c>
    </row>
    <row r="722" spans="1:11" hidden="1">
      <c r="A722" s="10">
        <v>722</v>
      </c>
      <c r="B722" s="10" t="s">
        <v>946</v>
      </c>
      <c r="C722" s="10" t="s">
        <v>947</v>
      </c>
      <c r="D722" s="10" t="s">
        <v>992</v>
      </c>
      <c r="E722" s="8" t="s">
        <v>940</v>
      </c>
      <c r="F722" s="10"/>
      <c r="G722" s="10">
        <v>6</v>
      </c>
      <c r="H722" s="10" t="s">
        <v>33</v>
      </c>
      <c r="I722" s="10"/>
      <c r="J722" s="10"/>
      <c r="K722" s="11">
        <f t="shared" si="14"/>
        <v>0</v>
      </c>
    </row>
    <row r="723" spans="1:11" hidden="1">
      <c r="A723" s="10">
        <v>723</v>
      </c>
      <c r="B723" s="10" t="s">
        <v>946</v>
      </c>
      <c r="C723" s="10" t="s">
        <v>947</v>
      </c>
      <c r="D723" s="10" t="s">
        <v>992</v>
      </c>
      <c r="E723" s="8" t="s">
        <v>941</v>
      </c>
      <c r="F723" s="10"/>
      <c r="G723" s="10"/>
      <c r="H723" s="10" t="s">
        <v>33</v>
      </c>
      <c r="I723" s="10"/>
      <c r="J723" s="10"/>
      <c r="K723" s="11">
        <f t="shared" si="14"/>
        <v>0</v>
      </c>
    </row>
    <row r="724" spans="1:11" hidden="1">
      <c r="A724" s="10">
        <v>724</v>
      </c>
      <c r="B724" s="10" t="s">
        <v>946</v>
      </c>
      <c r="C724" s="10" t="s">
        <v>947</v>
      </c>
      <c r="D724" s="10" t="s">
        <v>992</v>
      </c>
      <c r="E724" s="8" t="s">
        <v>942</v>
      </c>
      <c r="F724" s="10"/>
      <c r="G724" s="10">
        <v>20</v>
      </c>
      <c r="H724" s="10" t="s">
        <v>33</v>
      </c>
      <c r="I724" s="10"/>
      <c r="J724" s="10"/>
      <c r="K724" s="11">
        <f t="shared" si="14"/>
        <v>0</v>
      </c>
    </row>
    <row r="725" spans="1:11" hidden="1">
      <c r="A725" s="10">
        <v>725</v>
      </c>
      <c r="B725" s="10" t="s">
        <v>946</v>
      </c>
      <c r="C725" s="10" t="s">
        <v>947</v>
      </c>
      <c r="D725" s="10" t="s">
        <v>992</v>
      </c>
      <c r="E725" s="8" t="s">
        <v>944</v>
      </c>
      <c r="F725" s="10"/>
      <c r="G725" s="10">
        <v>2</v>
      </c>
      <c r="H725" s="10" t="s">
        <v>33</v>
      </c>
      <c r="I725" s="10"/>
      <c r="J725" s="10"/>
      <c r="K725" s="11">
        <f t="shared" si="14"/>
        <v>0</v>
      </c>
    </row>
    <row r="726" spans="1:11" hidden="1">
      <c r="A726" s="10">
        <v>726</v>
      </c>
      <c r="B726" s="10" t="s">
        <v>946</v>
      </c>
      <c r="C726" s="10" t="s">
        <v>947</v>
      </c>
      <c r="D726" s="10" t="s">
        <v>992</v>
      </c>
      <c r="E726" s="8" t="s">
        <v>945</v>
      </c>
      <c r="F726" s="10"/>
      <c r="G726" s="10">
        <v>2</v>
      </c>
      <c r="H726" s="10" t="s">
        <v>33</v>
      </c>
      <c r="I726" s="10"/>
      <c r="J726" s="10"/>
      <c r="K726" s="11">
        <f t="shared" si="14"/>
        <v>0</v>
      </c>
    </row>
    <row r="727" spans="1:11" hidden="1">
      <c r="A727" s="10">
        <v>727</v>
      </c>
      <c r="B727" s="10" t="s">
        <v>870</v>
      </c>
      <c r="C727" s="10" t="s">
        <v>871</v>
      </c>
      <c r="D727" s="10" t="s">
        <v>897</v>
      </c>
      <c r="E727" s="10" t="s">
        <v>854</v>
      </c>
      <c r="F727" s="10" t="s">
        <v>855</v>
      </c>
      <c r="G727" s="10">
        <v>495</v>
      </c>
      <c r="H727" s="10" t="s">
        <v>856</v>
      </c>
      <c r="I727" s="10" t="s">
        <v>857</v>
      </c>
      <c r="J727" s="10">
        <v>859.32</v>
      </c>
      <c r="K727" s="11">
        <f>J727*G727/10000000</f>
        <v>4.2536339999999999E-2</v>
      </c>
    </row>
    <row r="728" spans="1:11" hidden="1">
      <c r="A728" s="10">
        <v>728</v>
      </c>
      <c r="B728" s="10" t="s">
        <v>870</v>
      </c>
      <c r="C728" s="10" t="s">
        <v>871</v>
      </c>
      <c r="D728" s="10" t="s">
        <v>897</v>
      </c>
      <c r="E728" s="10" t="s">
        <v>858</v>
      </c>
      <c r="F728" s="10" t="s">
        <v>855</v>
      </c>
      <c r="G728" s="10">
        <v>190</v>
      </c>
      <c r="H728" s="10" t="s">
        <v>856</v>
      </c>
      <c r="I728" s="10" t="s">
        <v>857</v>
      </c>
      <c r="J728" s="10">
        <v>205</v>
      </c>
      <c r="K728" s="11">
        <f t="shared" si="14"/>
        <v>3.895E-3</v>
      </c>
    </row>
    <row r="729" spans="1:11" hidden="1">
      <c r="A729" s="10">
        <v>729</v>
      </c>
      <c r="B729" s="10" t="s">
        <v>870</v>
      </c>
      <c r="C729" s="10" t="s">
        <v>871</v>
      </c>
      <c r="D729" s="10" t="s">
        <v>897</v>
      </c>
      <c r="E729" s="10" t="s">
        <v>859</v>
      </c>
      <c r="F729" s="10" t="s">
        <v>855</v>
      </c>
      <c r="G729" s="10">
        <v>136</v>
      </c>
      <c r="H729" s="10" t="s">
        <v>856</v>
      </c>
      <c r="I729" s="10" t="s">
        <v>860</v>
      </c>
      <c r="J729" s="10">
        <v>910</v>
      </c>
      <c r="K729" s="11">
        <f t="shared" si="14"/>
        <v>1.2376E-2</v>
      </c>
    </row>
    <row r="730" spans="1:11" hidden="1">
      <c r="A730" s="10">
        <v>730</v>
      </c>
      <c r="B730" s="10" t="s">
        <v>870</v>
      </c>
      <c r="C730" s="10" t="s">
        <v>871</v>
      </c>
      <c r="D730" s="10" t="s">
        <v>897</v>
      </c>
      <c r="E730" s="10" t="s">
        <v>861</v>
      </c>
      <c r="F730" s="10" t="s">
        <v>862</v>
      </c>
      <c r="G730" s="10">
        <v>1</v>
      </c>
      <c r="H730" s="10" t="s">
        <v>856</v>
      </c>
      <c r="I730" s="10" t="s">
        <v>349</v>
      </c>
      <c r="J730" s="10">
        <v>36313.800000000003</v>
      </c>
      <c r="K730" s="11">
        <f t="shared" si="14"/>
        <v>3.6313800000000005E-3</v>
      </c>
    </row>
    <row r="731" spans="1:11" hidden="1">
      <c r="A731" s="10">
        <v>731</v>
      </c>
      <c r="B731" s="10" t="s">
        <v>870</v>
      </c>
      <c r="C731" s="10" t="s">
        <v>871</v>
      </c>
      <c r="D731" s="10" t="s">
        <v>897</v>
      </c>
      <c r="E731" s="10" t="s">
        <v>863</v>
      </c>
      <c r="F731" s="10" t="s">
        <v>862</v>
      </c>
      <c r="G731" s="10">
        <v>1</v>
      </c>
      <c r="H731" s="10" t="s">
        <v>856</v>
      </c>
      <c r="I731" s="10" t="s">
        <v>349</v>
      </c>
      <c r="J731" s="10">
        <v>16973.25</v>
      </c>
      <c r="K731" s="11">
        <f t="shared" si="14"/>
        <v>1.697325E-3</v>
      </c>
    </row>
    <row r="732" spans="1:11" hidden="1">
      <c r="A732" s="10">
        <v>732</v>
      </c>
      <c r="B732" s="10" t="s">
        <v>870</v>
      </c>
      <c r="C732" s="10" t="s">
        <v>871</v>
      </c>
      <c r="D732" s="10" t="s">
        <v>862</v>
      </c>
      <c r="E732" s="10" t="s">
        <v>864</v>
      </c>
      <c r="F732" s="10" t="s">
        <v>862</v>
      </c>
      <c r="G732" s="10">
        <v>3</v>
      </c>
      <c r="H732" s="10" t="s">
        <v>856</v>
      </c>
      <c r="I732" s="10" t="s">
        <v>349</v>
      </c>
      <c r="J732" s="10">
        <v>5118</v>
      </c>
      <c r="K732" s="11">
        <f t="shared" si="14"/>
        <v>1.5353999999999999E-3</v>
      </c>
    </row>
    <row r="733" spans="1:11" hidden="1">
      <c r="A733" s="10">
        <v>733</v>
      </c>
      <c r="B733" s="10" t="s">
        <v>870</v>
      </c>
      <c r="C733" s="10" t="s">
        <v>871</v>
      </c>
      <c r="D733" s="10" t="s">
        <v>862</v>
      </c>
      <c r="E733" s="10" t="s">
        <v>865</v>
      </c>
      <c r="F733" s="10" t="s">
        <v>862</v>
      </c>
      <c r="G733" s="10">
        <v>1</v>
      </c>
      <c r="H733" s="10" t="s">
        <v>856</v>
      </c>
      <c r="I733" s="10" t="s">
        <v>349</v>
      </c>
      <c r="J733" s="10">
        <v>5118</v>
      </c>
      <c r="K733" s="11">
        <f t="shared" si="14"/>
        <v>5.1179999999999997E-4</v>
      </c>
    </row>
    <row r="734" spans="1:11" hidden="1">
      <c r="A734" s="10">
        <v>734</v>
      </c>
      <c r="B734" s="10" t="s">
        <v>870</v>
      </c>
      <c r="C734" s="10" t="s">
        <v>871</v>
      </c>
      <c r="D734" s="10" t="s">
        <v>862</v>
      </c>
      <c r="E734" s="10" t="s">
        <v>866</v>
      </c>
      <c r="F734" s="10" t="s">
        <v>862</v>
      </c>
      <c r="G734" s="10">
        <v>1</v>
      </c>
      <c r="H734" s="10" t="s">
        <v>856</v>
      </c>
      <c r="I734" s="10" t="s">
        <v>349</v>
      </c>
      <c r="J734" s="10">
        <v>5243.2</v>
      </c>
      <c r="K734" s="11">
        <f t="shared" si="14"/>
        <v>5.2431999999999999E-4</v>
      </c>
    </row>
    <row r="735" spans="1:11" hidden="1">
      <c r="A735" s="10">
        <v>735</v>
      </c>
      <c r="B735" s="10" t="s">
        <v>870</v>
      </c>
      <c r="C735" s="10" t="s">
        <v>871</v>
      </c>
      <c r="D735" s="10" t="s">
        <v>862</v>
      </c>
      <c r="E735" s="10" t="s">
        <v>867</v>
      </c>
      <c r="F735" s="10" t="s">
        <v>862</v>
      </c>
      <c r="G735" s="10">
        <v>3</v>
      </c>
      <c r="H735" s="10" t="s">
        <v>856</v>
      </c>
      <c r="I735" s="10" t="s">
        <v>349</v>
      </c>
      <c r="J735" s="10">
        <v>5243.2</v>
      </c>
      <c r="K735" s="11">
        <f t="shared" si="14"/>
        <v>1.5729599999999998E-3</v>
      </c>
    </row>
    <row r="736" spans="1:11" hidden="1">
      <c r="A736" s="10">
        <v>736</v>
      </c>
      <c r="B736" s="10" t="s">
        <v>870</v>
      </c>
      <c r="C736" s="10" t="s">
        <v>871</v>
      </c>
      <c r="D736" s="10" t="s">
        <v>862</v>
      </c>
      <c r="E736" s="10" t="s">
        <v>868</v>
      </c>
      <c r="F736" s="10" t="s">
        <v>862</v>
      </c>
      <c r="G736" s="10">
        <v>5</v>
      </c>
      <c r="H736" s="10" t="s">
        <v>856</v>
      </c>
      <c r="I736" s="10" t="s">
        <v>349</v>
      </c>
      <c r="J736" s="10">
        <v>2778.2</v>
      </c>
      <c r="K736" s="11">
        <f t="shared" si="14"/>
        <v>1.3891000000000001E-3</v>
      </c>
    </row>
    <row r="737" spans="1:11" hidden="1">
      <c r="A737" s="41"/>
      <c r="B737" s="41"/>
      <c r="C737" s="41"/>
      <c r="D737" s="41"/>
      <c r="E737" s="41"/>
      <c r="F737" s="41"/>
      <c r="G737" s="41"/>
      <c r="H737" s="41"/>
      <c r="I737" s="41"/>
      <c r="J737" s="3" t="s">
        <v>16</v>
      </c>
      <c r="K737" s="13">
        <f>SUM(K2:K736)</f>
        <v>5.5188055212599973</v>
      </c>
    </row>
  </sheetData>
  <autoFilter ref="A1:L737" xr:uid="{4F5D3703-3885-4735-845A-B7C8340313E7}">
    <filterColumn colId="3">
      <filters>
        <filter val="Cable"/>
        <filter val="Cable Tray"/>
      </filters>
    </filterColumn>
  </autoFilter>
  <mergeCells count="12">
    <mergeCell ref="F594:F604"/>
    <mergeCell ref="F605:F623"/>
    <mergeCell ref="I531:I563"/>
    <mergeCell ref="F503:F506"/>
    <mergeCell ref="F507:F517"/>
    <mergeCell ref="F518:F524"/>
    <mergeCell ref="F525:F526"/>
    <mergeCell ref="I493:I494"/>
    <mergeCell ref="I495:I496"/>
    <mergeCell ref="I498:I502"/>
    <mergeCell ref="I503:I526"/>
    <mergeCell ref="I527:I5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FEA0-8A30-4C33-8A97-4DC648590A55}">
  <dimension ref="A1:O246"/>
  <sheetViews>
    <sheetView workbookViewId="0">
      <selection activeCell="G219" sqref="G219"/>
    </sheetView>
  </sheetViews>
  <sheetFormatPr defaultRowHeight="14.5"/>
  <cols>
    <col min="1" max="1" width="8.26953125" bestFit="1" customWidth="1"/>
    <col min="2" max="2" width="43.453125" bestFit="1" customWidth="1"/>
    <col min="3" max="3" width="9.26953125" bestFit="1" customWidth="1"/>
    <col min="4" max="4" width="6.26953125" bestFit="1" customWidth="1"/>
    <col min="7" max="7" width="8.90625" customWidth="1"/>
    <col min="8" max="8" width="42.90625" bestFit="1" customWidth="1"/>
    <col min="9" max="9" width="9.26953125" bestFit="1" customWidth="1"/>
    <col min="10" max="10" width="6.26953125" bestFit="1" customWidth="1"/>
    <col min="12" max="12" width="13.54296875" bestFit="1" customWidth="1"/>
    <col min="13" max="13" width="42.90625" bestFit="1" customWidth="1"/>
    <col min="14" max="14" width="9.26953125" bestFit="1" customWidth="1"/>
  </cols>
  <sheetData>
    <row r="1" spans="1:15">
      <c r="A1" s="74" t="s">
        <v>904</v>
      </c>
      <c r="B1" s="74" t="s">
        <v>997</v>
      </c>
      <c r="C1" s="74" t="s">
        <v>998</v>
      </c>
      <c r="D1" s="75" t="s">
        <v>905</v>
      </c>
      <c r="G1" s="74" t="s">
        <v>904</v>
      </c>
      <c r="H1" s="74" t="s">
        <v>997</v>
      </c>
      <c r="I1" s="74" t="s">
        <v>998</v>
      </c>
      <c r="J1" s="75" t="s">
        <v>905</v>
      </c>
      <c r="L1" s="74" t="s">
        <v>904</v>
      </c>
      <c r="M1" s="74" t="s">
        <v>997</v>
      </c>
      <c r="N1" s="74" t="s">
        <v>998</v>
      </c>
      <c r="O1" s="75" t="s">
        <v>905</v>
      </c>
    </row>
    <row r="2" spans="1:15" hidden="1">
      <c r="A2" s="76" t="s">
        <v>950</v>
      </c>
      <c r="B2" s="77" t="s">
        <v>999</v>
      </c>
      <c r="C2" s="78">
        <v>4.12514</v>
      </c>
      <c r="D2" s="79">
        <v>0.7528209074116271</v>
      </c>
      <c r="G2" t="e">
        <f>VLOOKUP(H2,[1]EMPG!M:N,2,FALSE)</f>
        <v>#N/A</v>
      </c>
      <c r="H2" s="80" t="s">
        <v>1167</v>
      </c>
      <c r="I2" s="81">
        <v>7.4449905320000003</v>
      </c>
      <c r="J2" s="82">
        <v>1</v>
      </c>
      <c r="L2" t="s">
        <v>952</v>
      </c>
      <c r="M2" s="80" t="s">
        <v>1167</v>
      </c>
      <c r="N2" s="81">
        <v>7.4449905320000003</v>
      </c>
      <c r="O2" s="82">
        <v>1</v>
      </c>
    </row>
    <row r="3" spans="1:15" hidden="1">
      <c r="A3" s="76" t="s">
        <v>950</v>
      </c>
      <c r="B3" s="77" t="s">
        <v>1000</v>
      </c>
      <c r="C3" s="78">
        <v>21.285</v>
      </c>
      <c r="D3" s="79">
        <v>1.8180864928353301E-3</v>
      </c>
      <c r="G3" t="e">
        <f>VLOOKUP(H3,[1]EMPG!M:N,2,FALSE)</f>
        <v>#N/A</v>
      </c>
      <c r="H3" s="77" t="s">
        <v>1168</v>
      </c>
      <c r="I3" s="78">
        <v>3.5380834999999999</v>
      </c>
      <c r="J3" s="79">
        <v>1</v>
      </c>
      <c r="L3" t="s">
        <v>952</v>
      </c>
      <c r="M3" s="77" t="s">
        <v>1168</v>
      </c>
      <c r="N3" s="78">
        <v>3.5380834999999999</v>
      </c>
      <c r="O3" s="79">
        <v>1</v>
      </c>
    </row>
    <row r="4" spans="1:15" hidden="1">
      <c r="A4" s="76" t="s">
        <v>950</v>
      </c>
      <c r="B4" s="77" t="s">
        <v>1001</v>
      </c>
      <c r="C4" s="78">
        <v>24.798332559999999</v>
      </c>
      <c r="D4" s="79">
        <v>1</v>
      </c>
      <c r="G4" t="e">
        <f>VLOOKUP(H4,[1]EMPG!M:N,2,FALSE)</f>
        <v>#N/A</v>
      </c>
      <c r="H4" s="77" t="s">
        <v>1169</v>
      </c>
      <c r="I4" s="78">
        <v>101.5159096</v>
      </c>
      <c r="J4" s="79">
        <v>0.81202477016469543</v>
      </c>
      <c r="L4" t="s">
        <v>952</v>
      </c>
      <c r="M4" s="77" t="s">
        <v>1169</v>
      </c>
      <c r="N4" s="78">
        <v>101.5159096</v>
      </c>
      <c r="O4" s="79">
        <v>0.81202477016469543</v>
      </c>
    </row>
    <row r="5" spans="1:15" hidden="1">
      <c r="A5" s="76" t="s">
        <v>950</v>
      </c>
      <c r="B5" s="77" t="s">
        <v>1002</v>
      </c>
      <c r="C5" s="78">
        <v>20.660034572000001</v>
      </c>
      <c r="D5" s="79">
        <v>1</v>
      </c>
      <c r="G5" t="e">
        <f>VLOOKUP(H5,[1]EMPG!M:N,2,FALSE)</f>
        <v>#N/A</v>
      </c>
      <c r="H5" s="77" t="s">
        <v>1170</v>
      </c>
      <c r="I5" s="78">
        <v>12.507340874</v>
      </c>
      <c r="J5" s="79">
        <v>1</v>
      </c>
      <c r="L5" t="s">
        <v>952</v>
      </c>
      <c r="M5" s="77" t="s">
        <v>1170</v>
      </c>
      <c r="N5" s="78">
        <v>12.507340874</v>
      </c>
      <c r="O5" s="79">
        <v>1</v>
      </c>
    </row>
    <row r="6" spans="1:15" hidden="1">
      <c r="A6" s="76" t="s">
        <v>950</v>
      </c>
      <c r="B6" s="77" t="s">
        <v>1003</v>
      </c>
      <c r="C6" s="78">
        <v>0.56392642900000001</v>
      </c>
      <c r="D6" s="79">
        <v>1</v>
      </c>
      <c r="G6" t="e">
        <f>VLOOKUP(H6,[1]EMPG!M:N,2,FALSE)</f>
        <v>#N/A</v>
      </c>
      <c r="H6" s="77" t="s">
        <v>1171</v>
      </c>
      <c r="I6" s="78">
        <v>11.000017740000001</v>
      </c>
      <c r="J6" s="79">
        <v>0.71656326628796863</v>
      </c>
      <c r="L6" t="s">
        <v>952</v>
      </c>
      <c r="M6" s="77" t="s">
        <v>1171</v>
      </c>
      <c r="N6" s="78">
        <v>11.000017740000001</v>
      </c>
      <c r="O6" s="79">
        <v>0.71656326628796863</v>
      </c>
    </row>
    <row r="7" spans="1:15" hidden="1">
      <c r="A7" s="76" t="s">
        <v>950</v>
      </c>
      <c r="B7" s="77" t="s">
        <v>1004</v>
      </c>
      <c r="C7" s="78">
        <v>0.61424459099999995</v>
      </c>
      <c r="D7" s="79">
        <v>1</v>
      </c>
      <c r="G7" t="e">
        <f>VLOOKUP(H7,[1]EMPG!M:N,2,FALSE)</f>
        <v>#N/A</v>
      </c>
      <c r="H7" s="77" t="s">
        <v>1172</v>
      </c>
      <c r="I7" s="78">
        <v>19.9604441</v>
      </c>
      <c r="J7" s="79">
        <v>0.40878277056971896</v>
      </c>
      <c r="L7" t="s">
        <v>952</v>
      </c>
      <c r="M7" s="77" t="s">
        <v>1172</v>
      </c>
      <c r="N7" s="78">
        <v>19.9604441</v>
      </c>
      <c r="O7" s="79">
        <v>0.40878277056971896</v>
      </c>
    </row>
    <row r="8" spans="1:15" hidden="1">
      <c r="A8" s="76" t="s">
        <v>950</v>
      </c>
      <c r="B8" s="77" t="s">
        <v>1005</v>
      </c>
      <c r="C8" s="78">
        <v>66.521979333000004</v>
      </c>
      <c r="D8" s="79">
        <v>0.62043503474836692</v>
      </c>
      <c r="G8" t="e">
        <f>VLOOKUP(H8,[1]EMPG!M:N,2,FALSE)</f>
        <v>#N/A</v>
      </c>
      <c r="H8" s="77" t="s">
        <v>1173</v>
      </c>
      <c r="I8" s="78">
        <v>40.907184375</v>
      </c>
      <c r="J8" s="79">
        <v>0.24417266858151979</v>
      </c>
      <c r="L8" t="s">
        <v>952</v>
      </c>
      <c r="M8" s="77" t="s">
        <v>1173</v>
      </c>
      <c r="N8" s="78">
        <v>40.907184375</v>
      </c>
      <c r="O8" s="79">
        <v>0.24417266858151979</v>
      </c>
    </row>
    <row r="9" spans="1:15" hidden="1">
      <c r="A9" s="76" t="s">
        <v>950</v>
      </c>
      <c r="B9" s="77" t="s">
        <v>1006</v>
      </c>
      <c r="C9" s="78">
        <v>60.700000099999997</v>
      </c>
      <c r="D9" s="79">
        <v>5.5706773483184889E-2</v>
      </c>
      <c r="G9" t="e">
        <f>VLOOKUP(H9,[1]EMPG!M:N,2,FALSE)</f>
        <v>#N/A</v>
      </c>
      <c r="H9" s="77" t="s">
        <v>1174</v>
      </c>
      <c r="I9" s="78">
        <v>11.474481969999999</v>
      </c>
      <c r="J9" s="79">
        <v>1</v>
      </c>
      <c r="L9" t="s">
        <v>952</v>
      </c>
      <c r="M9" s="77" t="s">
        <v>1174</v>
      </c>
      <c r="N9" s="78">
        <v>11.474481969999999</v>
      </c>
      <c r="O9" s="79">
        <v>1</v>
      </c>
    </row>
    <row r="10" spans="1:15" hidden="1">
      <c r="A10" s="76" t="s">
        <v>950</v>
      </c>
      <c r="B10" s="77" t="s">
        <v>1007</v>
      </c>
      <c r="C10" s="78">
        <v>12.763477465999999</v>
      </c>
      <c r="D10" s="79">
        <v>1</v>
      </c>
      <c r="G10" t="e">
        <f>VLOOKUP(H10,[1]EMPG!M:N,2,FALSE)</f>
        <v>#N/A</v>
      </c>
      <c r="H10" s="77" t="s">
        <v>1175</v>
      </c>
      <c r="I10" s="78">
        <v>272.66288837899998</v>
      </c>
      <c r="J10" s="79">
        <v>0.42930023725229233</v>
      </c>
      <c r="L10" t="s">
        <v>952</v>
      </c>
      <c r="M10" s="77" t="s">
        <v>1175</v>
      </c>
      <c r="N10" s="78">
        <v>272.66288837899998</v>
      </c>
      <c r="O10" s="79">
        <v>0.42930023725229233</v>
      </c>
    </row>
    <row r="11" spans="1:15" hidden="1">
      <c r="A11" s="76" t="s">
        <v>950</v>
      </c>
      <c r="B11" s="77" t="s">
        <v>1008</v>
      </c>
      <c r="C11" s="78">
        <v>9.0779659180000003</v>
      </c>
      <c r="D11" s="79">
        <v>1</v>
      </c>
      <c r="G11" t="e">
        <f>VLOOKUP(H11,[1]EMPG!M:N,2,FALSE)</f>
        <v>#N/A</v>
      </c>
      <c r="H11" s="77" t="s">
        <v>1176</v>
      </c>
      <c r="I11" s="78">
        <v>267.6500001</v>
      </c>
      <c r="J11" s="79">
        <v>0.21716436731284725</v>
      </c>
      <c r="L11" t="s">
        <v>952</v>
      </c>
      <c r="M11" s="77" t="s">
        <v>1176</v>
      </c>
      <c r="N11" s="78">
        <v>267.6500001</v>
      </c>
      <c r="O11" s="79">
        <v>0.21716436731284725</v>
      </c>
    </row>
    <row r="12" spans="1:15" hidden="1">
      <c r="A12" s="76" t="s">
        <v>950</v>
      </c>
      <c r="B12" s="77" t="s">
        <v>1009</v>
      </c>
      <c r="C12" s="78">
        <v>34.581005069</v>
      </c>
      <c r="D12" s="79">
        <v>1</v>
      </c>
      <c r="G12" t="e">
        <f>VLOOKUP(H12,[1]EMPG!M:N,2,FALSE)</f>
        <v>#N/A</v>
      </c>
      <c r="H12" s="77" t="s">
        <v>1177</v>
      </c>
      <c r="I12" s="78">
        <v>166.34546484800001</v>
      </c>
      <c r="J12" s="79">
        <v>0.87544147573284969</v>
      </c>
      <c r="L12" t="s">
        <v>952</v>
      </c>
      <c r="M12" s="77" t="s">
        <v>1177</v>
      </c>
      <c r="N12" s="78">
        <v>166.34546484800001</v>
      </c>
      <c r="O12" s="79">
        <v>0.87544147573284969</v>
      </c>
    </row>
    <row r="13" spans="1:15" hidden="1">
      <c r="A13" s="76" t="s">
        <v>950</v>
      </c>
      <c r="B13" s="77" t="s">
        <v>1010</v>
      </c>
      <c r="C13" s="78">
        <v>56.699580634999997</v>
      </c>
      <c r="D13" s="79">
        <v>1</v>
      </c>
      <c r="G13" t="e">
        <f>VLOOKUP(H13,[1]EMPG!M:N,2,FALSE)</f>
        <v>#N/A</v>
      </c>
      <c r="H13" s="77" t="s">
        <v>1178</v>
      </c>
      <c r="I13" s="78">
        <v>267.37785816799999</v>
      </c>
      <c r="J13" s="79">
        <v>0.43483291494521609</v>
      </c>
      <c r="L13" t="s">
        <v>952</v>
      </c>
      <c r="M13" s="77" t="s">
        <v>1178</v>
      </c>
      <c r="N13" s="78">
        <v>267.37785816799999</v>
      </c>
      <c r="O13" s="79">
        <v>0.43483291494521609</v>
      </c>
    </row>
    <row r="14" spans="1:15" hidden="1">
      <c r="A14" s="76" t="s">
        <v>950</v>
      </c>
      <c r="B14" s="77" t="s">
        <v>1011</v>
      </c>
      <c r="C14" s="78">
        <v>75.148474500000006</v>
      </c>
      <c r="D14" s="79">
        <v>0.4335802400353449</v>
      </c>
      <c r="G14" t="e">
        <f>VLOOKUP(H14,[1]EMPG!M:N,2,FALSE)</f>
        <v>#N/A</v>
      </c>
      <c r="H14" s="77" t="s">
        <v>1179</v>
      </c>
      <c r="I14" s="78">
        <v>22</v>
      </c>
      <c r="J14" s="79">
        <v>1.1968397272727274E-3</v>
      </c>
      <c r="L14" t="s">
        <v>952</v>
      </c>
      <c r="M14" s="77" t="s">
        <v>1179</v>
      </c>
      <c r="N14" s="78">
        <v>22</v>
      </c>
      <c r="O14" s="79">
        <v>1.1968397272727274E-3</v>
      </c>
    </row>
    <row r="15" spans="1:15" hidden="1">
      <c r="A15" s="76" t="s">
        <v>950</v>
      </c>
      <c r="B15" s="77" t="s">
        <v>1012</v>
      </c>
      <c r="C15" s="78">
        <v>6.6748636000000001</v>
      </c>
      <c r="D15" s="79">
        <v>0.8064340378431103</v>
      </c>
      <c r="G15" t="e">
        <f>VLOOKUP(H15,[1]EMPG!M:N,2,FALSE)</f>
        <v>#N/A</v>
      </c>
      <c r="H15" s="77" t="s">
        <v>1180</v>
      </c>
      <c r="I15" s="78">
        <v>256.80802672099998</v>
      </c>
      <c r="J15" s="79">
        <v>1</v>
      </c>
      <c r="L15" t="s">
        <v>952</v>
      </c>
      <c r="M15" s="77" t="s">
        <v>1180</v>
      </c>
      <c r="N15" s="78">
        <v>256.80802672099998</v>
      </c>
      <c r="O15" s="79">
        <v>1</v>
      </c>
    </row>
    <row r="16" spans="1:15" hidden="1">
      <c r="A16" s="76" t="s">
        <v>950</v>
      </c>
      <c r="B16" s="77" t="s">
        <v>1013</v>
      </c>
      <c r="C16" s="78">
        <v>29.699092754999999</v>
      </c>
      <c r="D16" s="79">
        <v>0.16925135789387852</v>
      </c>
      <c r="G16" t="e">
        <f>VLOOKUP(H16,[1]EMPG!M:N,2,FALSE)</f>
        <v>#N/A</v>
      </c>
      <c r="H16" s="77" t="s">
        <v>1181</v>
      </c>
      <c r="I16" s="78">
        <v>111.2771942</v>
      </c>
      <c r="J16" s="79">
        <v>1</v>
      </c>
      <c r="L16" t="s">
        <v>952</v>
      </c>
      <c r="M16" s="77" t="s">
        <v>1181</v>
      </c>
      <c r="N16" s="78">
        <v>111.2771942</v>
      </c>
      <c r="O16" s="79">
        <v>1</v>
      </c>
    </row>
    <row r="17" spans="1:15" hidden="1">
      <c r="A17" s="76" t="s">
        <v>950</v>
      </c>
      <c r="B17" s="77" t="s">
        <v>1014</v>
      </c>
      <c r="C17" s="78">
        <v>14.691623276</v>
      </c>
      <c r="D17" s="79">
        <v>0.15753164136605377</v>
      </c>
      <c r="G17" t="e">
        <f>VLOOKUP(H17,[1]EMPG!M:N,2,FALSE)</f>
        <v>#N/A</v>
      </c>
      <c r="H17" s="77" t="s">
        <v>1182</v>
      </c>
      <c r="I17" s="78">
        <v>163.39619619199999</v>
      </c>
      <c r="J17" s="79">
        <v>1.0000324036123447</v>
      </c>
      <c r="L17" t="s">
        <v>952</v>
      </c>
      <c r="M17" s="77" t="s">
        <v>1182</v>
      </c>
      <c r="N17" s="78">
        <v>163.39619619199999</v>
      </c>
      <c r="O17" s="79">
        <v>1.0000324036123447</v>
      </c>
    </row>
    <row r="18" spans="1:15" hidden="1">
      <c r="A18" s="76" t="s">
        <v>950</v>
      </c>
      <c r="B18" s="77" t="s">
        <v>1015</v>
      </c>
      <c r="C18" s="78">
        <v>11.867431352000001</v>
      </c>
      <c r="D18" s="79">
        <v>9.9767290905834083E-2</v>
      </c>
      <c r="G18" t="e">
        <f>VLOOKUP(H18,[1]EMPG!M:N,2,FALSE)</f>
        <v>#N/A</v>
      </c>
      <c r="H18" s="77" t="s">
        <v>1183</v>
      </c>
      <c r="I18" s="78">
        <v>158.22659698800001</v>
      </c>
      <c r="J18" s="79">
        <v>0.65489665540780584</v>
      </c>
      <c r="L18" t="s">
        <v>952</v>
      </c>
      <c r="M18" s="77" t="s">
        <v>1183</v>
      </c>
      <c r="N18" s="78">
        <v>158.22659698800001</v>
      </c>
      <c r="O18" s="79">
        <v>0.65489665540780584</v>
      </c>
    </row>
    <row r="19" spans="1:15" hidden="1">
      <c r="A19" s="76" t="s">
        <v>950</v>
      </c>
      <c r="B19" s="77" t="s">
        <v>1016</v>
      </c>
      <c r="C19" s="78">
        <v>25.442350293000001</v>
      </c>
      <c r="D19" s="79">
        <v>9.4849379487709731E-2</v>
      </c>
      <c r="G19" t="e">
        <f>VLOOKUP(H19,[1]EMPG!M:N,2,FALSE)</f>
        <v>#N/A</v>
      </c>
      <c r="H19" s="77" t="s">
        <v>1184</v>
      </c>
      <c r="I19" s="78">
        <v>48.545248000000001</v>
      </c>
      <c r="J19" s="79">
        <v>0.42888866599260134</v>
      </c>
      <c r="L19" t="s">
        <v>952</v>
      </c>
      <c r="M19" s="77" t="s">
        <v>1184</v>
      </c>
      <c r="N19" s="78">
        <v>48.545248000000001</v>
      </c>
      <c r="O19" s="79">
        <v>0.42888866599260134</v>
      </c>
    </row>
    <row r="20" spans="1:15" hidden="1">
      <c r="A20" s="76" t="s">
        <v>950</v>
      </c>
      <c r="B20" s="77" t="s">
        <v>1017</v>
      </c>
      <c r="C20" s="78">
        <v>87.781612258999999</v>
      </c>
      <c r="D20" s="79">
        <v>1</v>
      </c>
      <c r="G20" t="e">
        <f>VLOOKUP(H20,[1]EMPG!M:N,2,FALSE)</f>
        <v>#N/A</v>
      </c>
      <c r="H20" s="77" t="s">
        <v>1185</v>
      </c>
      <c r="I20" s="78">
        <v>31.01780625</v>
      </c>
      <c r="J20" s="79">
        <v>1</v>
      </c>
      <c r="L20" t="s">
        <v>952</v>
      </c>
      <c r="M20" s="77" t="s">
        <v>1185</v>
      </c>
      <c r="N20" s="78">
        <v>31.01780625</v>
      </c>
      <c r="O20" s="79">
        <v>1</v>
      </c>
    </row>
    <row r="21" spans="1:15" hidden="1">
      <c r="A21" s="76" t="s">
        <v>950</v>
      </c>
      <c r="B21" s="77" t="s">
        <v>1018</v>
      </c>
      <c r="C21" s="78">
        <v>181.02513440000001</v>
      </c>
      <c r="D21" s="79">
        <v>5.6325482335893799E-3</v>
      </c>
      <c r="G21" t="e">
        <f>VLOOKUP(H21,[1]EMPG!M:N,2,FALSE)</f>
        <v>#N/A</v>
      </c>
      <c r="H21" s="77" t="s">
        <v>1186</v>
      </c>
      <c r="I21" s="78">
        <v>12.422436199</v>
      </c>
      <c r="J21" s="79">
        <v>1</v>
      </c>
      <c r="L21" t="s">
        <v>952</v>
      </c>
      <c r="M21" s="77" t="s">
        <v>1186</v>
      </c>
      <c r="N21" s="78">
        <v>12.422436199</v>
      </c>
      <c r="O21" s="79">
        <v>1</v>
      </c>
    </row>
    <row r="22" spans="1:15" hidden="1">
      <c r="A22" s="76" t="s">
        <v>950</v>
      </c>
      <c r="B22" s="77" t="s">
        <v>1019</v>
      </c>
      <c r="C22" s="78">
        <v>147.1831664</v>
      </c>
      <c r="D22" s="79">
        <v>9.4001762147169035E-5</v>
      </c>
      <c r="G22" t="e">
        <f>VLOOKUP(H22,[1]EMPG!M:N,2,FALSE)</f>
        <v>#N/A</v>
      </c>
      <c r="H22" s="77" t="s">
        <v>1187</v>
      </c>
      <c r="I22" s="78">
        <v>167.532802549</v>
      </c>
      <c r="J22" s="79">
        <v>0.65925896908276393</v>
      </c>
      <c r="L22" t="s">
        <v>952</v>
      </c>
      <c r="M22" s="77" t="s">
        <v>1187</v>
      </c>
      <c r="N22" s="78">
        <v>167.532802549</v>
      </c>
      <c r="O22" s="79">
        <v>0.65925896908276393</v>
      </c>
    </row>
    <row r="23" spans="1:15" hidden="1">
      <c r="A23" s="76" t="s">
        <v>950</v>
      </c>
      <c r="B23" s="77" t="s">
        <v>1020</v>
      </c>
      <c r="C23" s="78">
        <v>53.572650258000003</v>
      </c>
      <c r="D23" s="79">
        <v>0.11237820104113616</v>
      </c>
      <c r="G23" t="e">
        <f>VLOOKUP(H23,[1]EMPG!M:N,2,FALSE)</f>
        <v>#N/A</v>
      </c>
      <c r="H23" s="77" t="s">
        <v>1188</v>
      </c>
      <c r="I23" s="78">
        <v>5.2433695069999997</v>
      </c>
      <c r="J23" s="79">
        <v>1</v>
      </c>
      <c r="L23" t="s">
        <v>952</v>
      </c>
      <c r="M23" s="77" t="s">
        <v>1188</v>
      </c>
      <c r="N23" s="78">
        <v>5.2433695069999997</v>
      </c>
      <c r="O23" s="79">
        <v>1</v>
      </c>
    </row>
    <row r="24" spans="1:15" hidden="1">
      <c r="A24" s="76" t="s">
        <v>950</v>
      </c>
      <c r="B24" s="77" t="s">
        <v>1021</v>
      </c>
      <c r="C24" s="78">
        <v>3.8755436840000002</v>
      </c>
      <c r="D24" s="79">
        <v>1</v>
      </c>
      <c r="G24" t="e">
        <f>VLOOKUP(H24,[1]EMPG!M:N,2,FALSE)</f>
        <v>#N/A</v>
      </c>
      <c r="H24" s="77" t="s">
        <v>1189</v>
      </c>
      <c r="I24" s="78">
        <v>5.1711809200000003</v>
      </c>
      <c r="J24" s="79">
        <v>1</v>
      </c>
      <c r="L24" t="s">
        <v>952</v>
      </c>
      <c r="M24" s="77" t="s">
        <v>1189</v>
      </c>
      <c r="N24" s="78">
        <v>5.1711809200000003</v>
      </c>
      <c r="O24" s="79">
        <v>1</v>
      </c>
    </row>
    <row r="25" spans="1:15" hidden="1">
      <c r="A25" s="76" t="s">
        <v>950</v>
      </c>
      <c r="B25" s="77" t="s">
        <v>1022</v>
      </c>
      <c r="C25" s="78">
        <v>39.023377953000001</v>
      </c>
      <c r="D25" s="79">
        <v>1</v>
      </c>
      <c r="G25" t="e">
        <f>VLOOKUP(H25,[1]EMPG!M:N,2,FALSE)</f>
        <v>#N/A</v>
      </c>
      <c r="H25" s="77" t="s">
        <v>1191</v>
      </c>
      <c r="I25" s="78">
        <v>43.511299999999999</v>
      </c>
      <c r="J25" s="79">
        <v>0.9389746801865263</v>
      </c>
      <c r="L25" t="s">
        <v>1190</v>
      </c>
      <c r="M25" s="77" t="s">
        <v>1191</v>
      </c>
      <c r="N25" s="78">
        <v>43.511299999999999</v>
      </c>
      <c r="O25" s="79">
        <v>0.9389746801865263</v>
      </c>
    </row>
    <row r="26" spans="1:15" hidden="1">
      <c r="A26" s="76" t="s">
        <v>950</v>
      </c>
      <c r="B26" s="77" t="s">
        <v>1023</v>
      </c>
      <c r="C26" s="78">
        <v>22.429942610000001</v>
      </c>
      <c r="D26" s="79">
        <v>1</v>
      </c>
      <c r="G26" t="e">
        <f>VLOOKUP(H26,[1]EMPG!M:N,2,FALSE)</f>
        <v>#N/A</v>
      </c>
      <c r="H26" s="77" t="s">
        <v>1192</v>
      </c>
      <c r="I26" s="78">
        <v>40.074255344000001</v>
      </c>
      <c r="J26" s="79">
        <v>1</v>
      </c>
      <c r="L26" t="s">
        <v>1190</v>
      </c>
      <c r="M26" s="77" t="s">
        <v>1192</v>
      </c>
      <c r="N26" s="78">
        <v>40.074255344000001</v>
      </c>
      <c r="O26" s="79">
        <v>1</v>
      </c>
    </row>
    <row r="27" spans="1:15" hidden="1">
      <c r="A27" s="76" t="s">
        <v>950</v>
      </c>
      <c r="B27" s="77" t="s">
        <v>1024</v>
      </c>
      <c r="C27" s="78">
        <v>19.036251822000001</v>
      </c>
      <c r="D27" s="79">
        <v>1</v>
      </c>
      <c r="G27" t="e">
        <f>VLOOKUP(H27,[1]EMPG!M:N,2,FALSE)</f>
        <v>#N/A</v>
      </c>
      <c r="H27" s="83" t="s">
        <v>1193</v>
      </c>
      <c r="I27" s="84">
        <v>95.189590683000006</v>
      </c>
      <c r="J27" s="85">
        <v>0.6878296517845317</v>
      </c>
      <c r="L27" t="s">
        <v>1190</v>
      </c>
      <c r="M27" s="83" t="s">
        <v>1193</v>
      </c>
      <c r="N27" s="84">
        <v>95.189590683000006</v>
      </c>
      <c r="O27" s="85">
        <v>0.6878296517845317</v>
      </c>
    </row>
    <row r="28" spans="1:15" hidden="1">
      <c r="A28" s="76" t="s">
        <v>950</v>
      </c>
      <c r="B28" s="77" t="s">
        <v>1025</v>
      </c>
      <c r="C28" s="78">
        <v>12.221599422000001</v>
      </c>
      <c r="D28" s="79">
        <v>0.59845518826561983</v>
      </c>
      <c r="G28" t="e">
        <f>VLOOKUP(H28,[1]EMPG!M:N,2,FALSE)</f>
        <v>#N/A</v>
      </c>
      <c r="H28" s="80" t="s">
        <v>1194</v>
      </c>
      <c r="I28" s="81">
        <v>6.0485312330000003</v>
      </c>
      <c r="J28" s="82">
        <v>1</v>
      </c>
      <c r="L28" t="s">
        <v>952</v>
      </c>
      <c r="M28" s="80" t="s">
        <v>1194</v>
      </c>
      <c r="N28" s="81">
        <v>6.0485312330000003</v>
      </c>
      <c r="O28" s="82">
        <v>1</v>
      </c>
    </row>
    <row r="29" spans="1:15" hidden="1">
      <c r="A29" s="76" t="s">
        <v>950</v>
      </c>
      <c r="B29" s="77" t="s">
        <v>1026</v>
      </c>
      <c r="C29" s="78">
        <v>852.03796250000005</v>
      </c>
      <c r="D29" s="79">
        <v>0.76617269198260629</v>
      </c>
      <c r="G29" t="e">
        <f>VLOOKUP(H29,[1]EMPG!M:N,2,FALSE)</f>
        <v>#N/A</v>
      </c>
      <c r="H29" s="77" t="s">
        <v>1195</v>
      </c>
      <c r="I29" s="78">
        <v>89.902566100000001</v>
      </c>
      <c r="J29" s="79">
        <v>0.99999999948833496</v>
      </c>
      <c r="L29" t="s">
        <v>952</v>
      </c>
      <c r="M29" s="77" t="s">
        <v>1195</v>
      </c>
      <c r="N29" s="78">
        <v>89.902566100000001</v>
      </c>
      <c r="O29" s="79">
        <v>0.99999999948833496</v>
      </c>
    </row>
    <row r="30" spans="1:15" hidden="1">
      <c r="A30" s="76" t="s">
        <v>950</v>
      </c>
      <c r="B30" s="77" t="s">
        <v>1027</v>
      </c>
      <c r="C30" s="78">
        <v>36.90339109</v>
      </c>
      <c r="D30" s="79">
        <v>0.74193802001083253</v>
      </c>
      <c r="G30" t="e">
        <f>VLOOKUP(H30,[1]EMPG!M:N,2,FALSE)</f>
        <v>#N/A</v>
      </c>
      <c r="H30" s="77" t="s">
        <v>1196</v>
      </c>
      <c r="I30" s="78">
        <v>104.227000553</v>
      </c>
      <c r="J30" s="79">
        <v>1</v>
      </c>
      <c r="L30" t="s">
        <v>952</v>
      </c>
      <c r="M30" s="77" t="s">
        <v>1196</v>
      </c>
      <c r="N30" s="78">
        <v>104.227000553</v>
      </c>
      <c r="O30" s="79">
        <v>1</v>
      </c>
    </row>
    <row r="31" spans="1:15" hidden="1">
      <c r="A31" s="76" t="s">
        <v>950</v>
      </c>
      <c r="B31" s="77" t="s">
        <v>1028</v>
      </c>
      <c r="C31" s="78">
        <v>31.550961501000003</v>
      </c>
      <c r="D31" s="79">
        <v>8.9502032035077533E-2</v>
      </c>
      <c r="G31" t="e">
        <f>VLOOKUP(H31,[1]EMPG!M:N,2,FALSE)</f>
        <v>#N/A</v>
      </c>
      <c r="H31" s="77" t="s">
        <v>1197</v>
      </c>
      <c r="I31" s="78">
        <v>89.555176082000003</v>
      </c>
      <c r="J31" s="79">
        <v>0.43236255336649965</v>
      </c>
      <c r="L31" t="s">
        <v>952</v>
      </c>
      <c r="M31" s="77" t="s">
        <v>1197</v>
      </c>
      <c r="N31" s="78">
        <v>89.555176082000003</v>
      </c>
      <c r="O31" s="79">
        <v>0.43236255336649965</v>
      </c>
    </row>
    <row r="32" spans="1:15" hidden="1">
      <c r="A32" s="76" t="s">
        <v>950</v>
      </c>
      <c r="B32" s="77" t="s">
        <v>1029</v>
      </c>
      <c r="C32" s="78">
        <v>7.3158902100000001</v>
      </c>
      <c r="D32" s="79">
        <v>1</v>
      </c>
      <c r="G32" t="e">
        <f>VLOOKUP(H32,[1]EMPG!M:N,2,FALSE)</f>
        <v>#N/A</v>
      </c>
      <c r="H32" s="77" t="s">
        <v>1198</v>
      </c>
      <c r="I32" s="78">
        <v>17.818948892999998</v>
      </c>
      <c r="J32" s="79">
        <v>1</v>
      </c>
      <c r="L32" t="s">
        <v>952</v>
      </c>
      <c r="M32" s="77" t="s">
        <v>1198</v>
      </c>
      <c r="N32" s="78">
        <v>17.818948892999998</v>
      </c>
      <c r="O32" s="79">
        <v>1</v>
      </c>
    </row>
    <row r="33" spans="1:15" hidden="1">
      <c r="A33" s="76" t="s">
        <v>950</v>
      </c>
      <c r="B33" s="77" t="s">
        <v>1030</v>
      </c>
      <c r="C33" s="78">
        <v>37.710003100000002</v>
      </c>
      <c r="D33" s="79">
        <v>0.95222232445268618</v>
      </c>
      <c r="G33" t="e">
        <f>VLOOKUP(H33,[1]EMPG!M:N,2,FALSE)</f>
        <v>#N/A</v>
      </c>
      <c r="H33" s="77" t="s">
        <v>1199</v>
      </c>
      <c r="I33" s="78">
        <v>44.497935888000001</v>
      </c>
      <c r="J33" s="79">
        <v>0.43194088308674311</v>
      </c>
      <c r="L33" t="s">
        <v>952</v>
      </c>
      <c r="M33" s="77" t="s">
        <v>1199</v>
      </c>
      <c r="N33" s="78">
        <v>44.497935888000001</v>
      </c>
      <c r="O33" s="79">
        <v>0.43194088308674311</v>
      </c>
    </row>
    <row r="34" spans="1:15" hidden="1">
      <c r="A34" s="76" t="s">
        <v>950</v>
      </c>
      <c r="B34" s="77" t="s">
        <v>1031</v>
      </c>
      <c r="C34" s="78">
        <v>38.655071499999998</v>
      </c>
      <c r="D34" s="79">
        <v>0.99987307670611869</v>
      </c>
      <c r="G34" t="e">
        <f>VLOOKUP(H34,[1]EMPG!M:N,2,FALSE)</f>
        <v>#N/A</v>
      </c>
      <c r="H34" s="77" t="s">
        <v>1200</v>
      </c>
      <c r="I34" s="78">
        <v>12.280390877</v>
      </c>
      <c r="J34" s="79">
        <v>1</v>
      </c>
      <c r="L34" t="s">
        <v>952</v>
      </c>
      <c r="M34" s="77" t="s">
        <v>1200</v>
      </c>
      <c r="N34" s="78">
        <v>12.280390877</v>
      </c>
      <c r="O34" s="79">
        <v>1</v>
      </c>
    </row>
    <row r="35" spans="1:15" hidden="1">
      <c r="A35" s="76" t="s">
        <v>950</v>
      </c>
      <c r="B35" s="77" t="s">
        <v>1032</v>
      </c>
      <c r="C35" s="78">
        <v>16.648060650000001</v>
      </c>
      <c r="D35" s="79">
        <v>1</v>
      </c>
      <c r="G35" t="e">
        <f>VLOOKUP(H35,[1]EMPG!M:N,2,FALSE)</f>
        <v>#N/A</v>
      </c>
      <c r="H35" s="77" t="s">
        <v>1201</v>
      </c>
      <c r="I35" s="78">
        <v>28.554728933</v>
      </c>
      <c r="J35" s="79">
        <v>1</v>
      </c>
      <c r="L35" t="s">
        <v>952</v>
      </c>
      <c r="M35" s="77" t="s">
        <v>1201</v>
      </c>
      <c r="N35" s="78">
        <v>28.554728933</v>
      </c>
      <c r="O35" s="79">
        <v>1</v>
      </c>
    </row>
    <row r="36" spans="1:15" hidden="1">
      <c r="A36" s="76" t="s">
        <v>950</v>
      </c>
      <c r="B36" s="77" t="s">
        <v>1033</v>
      </c>
      <c r="C36" s="78">
        <v>14.151219454</v>
      </c>
      <c r="D36" s="79">
        <v>1</v>
      </c>
      <c r="G36" t="e">
        <f>VLOOKUP(H36,[1]EMPG!M:N,2,FALSE)</f>
        <v>#N/A</v>
      </c>
      <c r="H36" s="77" t="s">
        <v>1202</v>
      </c>
      <c r="I36" s="78">
        <v>13.178930264999998</v>
      </c>
      <c r="J36" s="79">
        <v>1</v>
      </c>
      <c r="L36" t="s">
        <v>952</v>
      </c>
      <c r="M36" s="77" t="s">
        <v>1202</v>
      </c>
      <c r="N36" s="78">
        <v>13.178930264999998</v>
      </c>
      <c r="O36" s="79">
        <v>1</v>
      </c>
    </row>
    <row r="37" spans="1:15" hidden="1">
      <c r="A37" s="76" t="s">
        <v>950</v>
      </c>
      <c r="B37" s="77" t="s">
        <v>1034</v>
      </c>
      <c r="C37" s="78">
        <v>7.884192831</v>
      </c>
      <c r="D37" s="79">
        <v>1</v>
      </c>
      <c r="G37" t="e">
        <f>VLOOKUP(H37,[1]EMPG!M:N,2,FALSE)</f>
        <v>#N/A</v>
      </c>
      <c r="H37" s="77" t="s">
        <v>1203</v>
      </c>
      <c r="I37" s="78">
        <v>21.314924928</v>
      </c>
      <c r="J37" s="79">
        <v>0.60095433121480435</v>
      </c>
      <c r="L37" t="s">
        <v>952</v>
      </c>
      <c r="M37" s="77" t="s">
        <v>1203</v>
      </c>
      <c r="N37" s="78">
        <v>21.314924928</v>
      </c>
      <c r="O37" s="79">
        <v>0.60095433121480435</v>
      </c>
    </row>
    <row r="38" spans="1:15" hidden="1">
      <c r="A38" s="76" t="s">
        <v>950</v>
      </c>
      <c r="B38" s="77" t="s">
        <v>1035</v>
      </c>
      <c r="C38" s="78">
        <v>51.537062883999994</v>
      </c>
      <c r="D38" s="79">
        <v>0.8526714351943161</v>
      </c>
      <c r="G38" t="e">
        <f>VLOOKUP(H38,[1]EMPG!M:N,2,FALSE)</f>
        <v>#N/A</v>
      </c>
      <c r="H38" s="77" t="s">
        <v>1204</v>
      </c>
      <c r="I38" s="78">
        <v>23.788630962999999</v>
      </c>
      <c r="J38" s="79">
        <v>0.75686006319589483</v>
      </c>
      <c r="L38" t="s">
        <v>952</v>
      </c>
      <c r="M38" s="77" t="s">
        <v>1204</v>
      </c>
      <c r="N38" s="78">
        <v>23.788630962999999</v>
      </c>
      <c r="O38" s="79">
        <v>0.75686006319589483</v>
      </c>
    </row>
    <row r="39" spans="1:15" hidden="1">
      <c r="A39" s="76" t="s">
        <v>950</v>
      </c>
      <c r="B39" s="77" t="s">
        <v>1036</v>
      </c>
      <c r="C39" s="78">
        <v>46.637619905999998</v>
      </c>
      <c r="D39" s="79">
        <v>0.80236820378961471</v>
      </c>
      <c r="G39" t="e">
        <f>VLOOKUP(H39,[1]EMPG!M:N,2,FALSE)</f>
        <v>#N/A</v>
      </c>
      <c r="H39" s="77" t="s">
        <v>1205</v>
      </c>
      <c r="I39" s="78">
        <v>24.4999392</v>
      </c>
      <c r="J39" s="79">
        <v>0.38201943166454883</v>
      </c>
      <c r="L39" t="s">
        <v>952</v>
      </c>
      <c r="M39" s="77" t="s">
        <v>1205</v>
      </c>
      <c r="N39" s="78">
        <v>24.4999392</v>
      </c>
      <c r="O39" s="79">
        <v>0.38201943166454883</v>
      </c>
    </row>
    <row r="40" spans="1:15" hidden="1">
      <c r="A40" s="76" t="s">
        <v>950</v>
      </c>
      <c r="B40" s="77" t="s">
        <v>1037</v>
      </c>
      <c r="C40" s="78">
        <v>32.869864212000003</v>
      </c>
      <c r="D40" s="79">
        <v>0.76226412945913014</v>
      </c>
      <c r="G40" t="e">
        <f>VLOOKUP(H40,[1]EMPG!M:N,2,FALSE)</f>
        <v>#N/A</v>
      </c>
      <c r="H40" s="77" t="s">
        <v>1206</v>
      </c>
      <c r="I40" s="78">
        <v>21.900648649000001</v>
      </c>
      <c r="J40" s="79">
        <v>1</v>
      </c>
      <c r="L40" t="s">
        <v>952</v>
      </c>
      <c r="M40" s="77" t="s">
        <v>1206</v>
      </c>
      <c r="N40" s="78">
        <v>21.900648649000001</v>
      </c>
      <c r="O40" s="79">
        <v>1</v>
      </c>
    </row>
    <row r="41" spans="1:15" hidden="1">
      <c r="A41" s="76" t="s">
        <v>950</v>
      </c>
      <c r="B41" s="77" t="s">
        <v>1038</v>
      </c>
      <c r="C41" s="78">
        <v>45.500000008999997</v>
      </c>
      <c r="D41" s="79">
        <v>2.3410468281083646E-2</v>
      </c>
      <c r="G41" t="e">
        <f>VLOOKUP(H41,[1]EMPG!M:N,2,FALSE)</f>
        <v>#N/A</v>
      </c>
      <c r="H41" s="77" t="s">
        <v>1207</v>
      </c>
      <c r="I41" s="78">
        <v>31.645309400999999</v>
      </c>
      <c r="J41" s="79">
        <v>1</v>
      </c>
      <c r="L41" t="s">
        <v>952</v>
      </c>
      <c r="M41" s="77" t="s">
        <v>1207</v>
      </c>
      <c r="N41" s="78">
        <v>31.645309400999999</v>
      </c>
      <c r="O41" s="79">
        <v>1</v>
      </c>
    </row>
    <row r="42" spans="1:15" hidden="1">
      <c r="A42" s="76" t="s">
        <v>950</v>
      </c>
      <c r="B42" s="77" t="s">
        <v>1039</v>
      </c>
      <c r="C42" s="78">
        <v>5.8500000109999997</v>
      </c>
      <c r="D42" s="79">
        <v>0.25723118772144565</v>
      </c>
      <c r="G42" t="e">
        <f>VLOOKUP(H42,[1]EMPG!M:N,2,FALSE)</f>
        <v>#N/A</v>
      </c>
      <c r="H42" s="77" t="s">
        <v>1208</v>
      </c>
      <c r="I42" s="78">
        <v>28.618006303000001</v>
      </c>
      <c r="J42" s="79">
        <v>1</v>
      </c>
      <c r="L42" t="s">
        <v>952</v>
      </c>
      <c r="M42" s="77" t="s">
        <v>1208</v>
      </c>
      <c r="N42" s="78">
        <v>28.618006303000001</v>
      </c>
      <c r="O42" s="79">
        <v>1</v>
      </c>
    </row>
    <row r="43" spans="1:15" hidden="1">
      <c r="A43" s="76" t="s">
        <v>950</v>
      </c>
      <c r="B43" s="77" t="s">
        <v>1040</v>
      </c>
      <c r="C43" s="78">
        <v>21.402699741999999</v>
      </c>
      <c r="D43" s="79">
        <v>0.94304203774780038</v>
      </c>
      <c r="G43" t="e">
        <f>VLOOKUP(H43,[1]EMPG!M:N,2,FALSE)</f>
        <v>#N/A</v>
      </c>
      <c r="H43" s="77" t="s">
        <v>1209</v>
      </c>
      <c r="I43" s="78">
        <v>5</v>
      </c>
      <c r="J43" s="79">
        <v>0.81766134699999993</v>
      </c>
      <c r="L43" t="s">
        <v>1190</v>
      </c>
      <c r="M43" s="77" t="s">
        <v>1209</v>
      </c>
      <c r="N43" s="78">
        <v>5</v>
      </c>
      <c r="O43" s="79">
        <v>0.81766134699999993</v>
      </c>
    </row>
    <row r="44" spans="1:15" hidden="1">
      <c r="A44" s="76" t="s">
        <v>950</v>
      </c>
      <c r="B44" s="77" t="s">
        <v>1041</v>
      </c>
      <c r="C44" s="78">
        <v>82.855868100999999</v>
      </c>
      <c r="D44" s="79">
        <v>0.15466810866526098</v>
      </c>
      <c r="G44" t="e">
        <f>VLOOKUP(H44,[1]EMPG!M:N,2,FALSE)</f>
        <v>#N/A</v>
      </c>
      <c r="H44" s="83" t="s">
        <v>1210</v>
      </c>
      <c r="I44" s="84">
        <v>63.796377769999999</v>
      </c>
      <c r="J44" s="85">
        <v>0.75055215552561616</v>
      </c>
      <c r="L44" t="s">
        <v>1190</v>
      </c>
      <c r="M44" s="83" t="s">
        <v>1210</v>
      </c>
      <c r="N44" s="84">
        <v>63.796377769999999</v>
      </c>
      <c r="O44" s="85">
        <v>0.75055215552561616</v>
      </c>
    </row>
    <row r="45" spans="1:15" hidden="1">
      <c r="A45" s="76" t="s">
        <v>950</v>
      </c>
      <c r="B45" s="77" t="s">
        <v>1042</v>
      </c>
      <c r="C45" s="78">
        <v>185.49792709900001</v>
      </c>
      <c r="D45" s="79">
        <v>0.63359649199893187</v>
      </c>
      <c r="G45" t="e">
        <f>VLOOKUP(H45,[1]EMPG!M:N,2,FALSE)</f>
        <v>#N/A</v>
      </c>
      <c r="H45" s="80" t="s">
        <v>1211</v>
      </c>
      <c r="I45" s="81">
        <v>51.367850752999999</v>
      </c>
      <c r="J45" s="82">
        <v>1</v>
      </c>
      <c r="L45" t="s">
        <v>952</v>
      </c>
      <c r="M45" s="80" t="s">
        <v>1211</v>
      </c>
      <c r="N45" s="81">
        <v>51.367850752999999</v>
      </c>
      <c r="O45" s="82">
        <v>1</v>
      </c>
    </row>
    <row r="46" spans="1:15" hidden="1">
      <c r="A46" s="76" t="s">
        <v>950</v>
      </c>
      <c r="B46" s="77" t="s">
        <v>1043</v>
      </c>
      <c r="C46" s="78">
        <v>54.420045399999999</v>
      </c>
      <c r="D46" s="79">
        <v>0.97365312659220971</v>
      </c>
      <c r="G46" t="e">
        <f>VLOOKUP(H46,[1]EMPG!M:N,2,FALSE)</f>
        <v>#N/A</v>
      </c>
      <c r="H46" s="77" t="s">
        <v>1212</v>
      </c>
      <c r="I46" s="78">
        <v>26.983990294999998</v>
      </c>
      <c r="J46" s="79">
        <v>1</v>
      </c>
      <c r="L46" t="s">
        <v>952</v>
      </c>
      <c r="M46" s="77" t="s">
        <v>1212</v>
      </c>
      <c r="N46" s="78">
        <v>26.983990294999998</v>
      </c>
      <c r="O46" s="79">
        <v>1</v>
      </c>
    </row>
    <row r="47" spans="1:15" hidden="1">
      <c r="A47" s="76" t="s">
        <v>950</v>
      </c>
      <c r="B47" s="77" t="s">
        <v>1044</v>
      </c>
      <c r="C47" s="78">
        <v>83.130119591999986</v>
      </c>
      <c r="D47" s="79">
        <v>1</v>
      </c>
      <c r="G47" t="e">
        <f>VLOOKUP(H47,[1]EMPG!M:N,2,FALSE)</f>
        <v>#N/A</v>
      </c>
      <c r="H47" s="77" t="s">
        <v>1213</v>
      </c>
      <c r="I47" s="78">
        <v>13.288316334999999</v>
      </c>
      <c r="J47" s="79">
        <v>1.0002838366355009</v>
      </c>
      <c r="L47" t="s">
        <v>952</v>
      </c>
      <c r="M47" s="77" t="s">
        <v>1213</v>
      </c>
      <c r="N47" s="78">
        <v>13.288316334999999</v>
      </c>
      <c r="O47" s="79">
        <v>1.0002838366355009</v>
      </c>
    </row>
    <row r="48" spans="1:15" hidden="1">
      <c r="A48" s="76" t="s">
        <v>950</v>
      </c>
      <c r="B48" s="77" t="s">
        <v>1045</v>
      </c>
      <c r="C48" s="78">
        <v>19.206570587999998</v>
      </c>
      <c r="D48" s="79">
        <v>1.00012764360971</v>
      </c>
      <c r="G48" t="e">
        <f>VLOOKUP(H48,[1]EMPG!M:N,2,FALSE)</f>
        <v>#N/A</v>
      </c>
      <c r="H48" s="77" t="s">
        <v>1214</v>
      </c>
      <c r="I48" s="78">
        <v>49.243833001000006</v>
      </c>
      <c r="J48" s="79">
        <v>1.0000803439285466</v>
      </c>
      <c r="L48" t="s">
        <v>952</v>
      </c>
      <c r="M48" s="77" t="s">
        <v>1214</v>
      </c>
      <c r="N48" s="78">
        <v>49.243833001000006</v>
      </c>
      <c r="O48" s="79">
        <v>1.0000803439285466</v>
      </c>
    </row>
    <row r="49" spans="1:15" hidden="1">
      <c r="A49" s="76" t="s">
        <v>950</v>
      </c>
      <c r="B49" s="77" t="s">
        <v>1046</v>
      </c>
      <c r="C49" s="78">
        <v>53.450000400999997</v>
      </c>
      <c r="D49" s="79">
        <v>2.3445033500440443E-2</v>
      </c>
      <c r="G49" t="e">
        <f>VLOOKUP(H49,[1]EMPG!M:N,2,FALSE)</f>
        <v>#N/A</v>
      </c>
      <c r="H49" s="77" t="s">
        <v>1215</v>
      </c>
      <c r="I49" s="78">
        <v>47.895094534999998</v>
      </c>
      <c r="J49" s="79">
        <v>1.0000227550652228</v>
      </c>
      <c r="L49" t="s">
        <v>952</v>
      </c>
      <c r="M49" s="77" t="s">
        <v>1215</v>
      </c>
      <c r="N49" s="78">
        <v>47.895094534999998</v>
      </c>
      <c r="O49" s="79">
        <v>1.0000227550652228</v>
      </c>
    </row>
    <row r="50" spans="1:15" hidden="1">
      <c r="A50" s="76" t="s">
        <v>950</v>
      </c>
      <c r="B50" s="77" t="s">
        <v>1047</v>
      </c>
      <c r="C50" s="78">
        <v>60.540901161999997</v>
      </c>
      <c r="D50" s="79">
        <v>7.5547565500574468E-2</v>
      </c>
      <c r="G50" t="e">
        <f>VLOOKUP(H50,[1]EMPG!M:N,2,FALSE)</f>
        <v>#N/A</v>
      </c>
      <c r="H50" s="77" t="s">
        <v>1216</v>
      </c>
      <c r="I50" s="78">
        <v>28.930611098999996</v>
      </c>
      <c r="J50" s="79">
        <v>0.99997499136822499</v>
      </c>
      <c r="L50" t="s">
        <v>952</v>
      </c>
      <c r="M50" s="77" t="s">
        <v>1216</v>
      </c>
      <c r="N50" s="78">
        <v>28.930611098999996</v>
      </c>
      <c r="O50" s="79">
        <v>0.99997499136822499</v>
      </c>
    </row>
    <row r="51" spans="1:15" hidden="1">
      <c r="A51" s="76" t="s">
        <v>950</v>
      </c>
      <c r="B51" s="77" t="s">
        <v>1048</v>
      </c>
      <c r="C51" s="78">
        <v>28.230281564000002</v>
      </c>
      <c r="D51" s="79">
        <v>0.37004628679728319</v>
      </c>
      <c r="G51" t="e">
        <f>VLOOKUP(H51,[1]EMPG!M:N,2,FALSE)</f>
        <v>#N/A</v>
      </c>
      <c r="H51" s="77" t="s">
        <v>1217</v>
      </c>
      <c r="I51" s="78">
        <v>26.334776144000003</v>
      </c>
      <c r="J51" s="79">
        <v>1.0000150060892046</v>
      </c>
      <c r="L51" t="s">
        <v>952</v>
      </c>
      <c r="M51" s="77" t="s">
        <v>1217</v>
      </c>
      <c r="N51" s="78">
        <v>26.334776144000003</v>
      </c>
      <c r="O51" s="79">
        <v>1.0000150060892046</v>
      </c>
    </row>
    <row r="52" spans="1:15" hidden="1">
      <c r="A52" s="76" t="s">
        <v>950</v>
      </c>
      <c r="B52" s="77" t="s">
        <v>1049</v>
      </c>
      <c r="C52" s="78">
        <v>21.33</v>
      </c>
      <c r="D52" s="79">
        <v>0.95662545518049702</v>
      </c>
      <c r="G52" t="e">
        <f>VLOOKUP(H52,[1]EMPG!M:N,2,FALSE)</f>
        <v>#N/A</v>
      </c>
      <c r="H52" s="77" t="s">
        <v>1218</v>
      </c>
      <c r="I52" s="78">
        <v>2.3656761980000001</v>
      </c>
      <c r="J52" s="79">
        <v>1</v>
      </c>
      <c r="L52" t="s">
        <v>952</v>
      </c>
      <c r="M52" s="77" t="s">
        <v>1218</v>
      </c>
      <c r="N52" s="78">
        <v>2.3656761980000001</v>
      </c>
      <c r="O52" s="79">
        <v>1</v>
      </c>
    </row>
    <row r="53" spans="1:15" hidden="1">
      <c r="A53" s="76" t="s">
        <v>950</v>
      </c>
      <c r="B53" s="77" t="s">
        <v>1050</v>
      </c>
      <c r="C53" s="78">
        <v>12.909196</v>
      </c>
      <c r="D53" s="79">
        <v>0.78405531049338784</v>
      </c>
      <c r="G53" t="e">
        <f>VLOOKUP(H53,[1]EMPG!M:N,2,FALSE)</f>
        <v>#N/A</v>
      </c>
      <c r="H53" s="77" t="s">
        <v>1219</v>
      </c>
      <c r="I53" s="78">
        <v>0.93379850000000009</v>
      </c>
      <c r="J53" s="79">
        <v>1</v>
      </c>
      <c r="L53" t="s">
        <v>952</v>
      </c>
      <c r="M53" s="77" t="s">
        <v>1219</v>
      </c>
      <c r="N53" s="78">
        <v>0.93379850000000009</v>
      </c>
      <c r="O53" s="79">
        <v>1</v>
      </c>
    </row>
    <row r="54" spans="1:15" hidden="1">
      <c r="A54" s="76" t="s">
        <v>950</v>
      </c>
      <c r="B54" s="77" t="s">
        <v>1051</v>
      </c>
      <c r="C54" s="78">
        <v>103.99833500599999</v>
      </c>
      <c r="D54" s="79">
        <v>0.71771170655466487</v>
      </c>
      <c r="G54" t="e">
        <f>VLOOKUP(H54,[1]EMPG!M:N,2,FALSE)</f>
        <v>#N/A</v>
      </c>
      <c r="H54" s="77" t="s">
        <v>1220</v>
      </c>
      <c r="I54" s="78">
        <v>35.000000020000002</v>
      </c>
      <c r="J54" s="79">
        <v>0.47710171589879902</v>
      </c>
      <c r="L54" t="s">
        <v>952</v>
      </c>
      <c r="M54" s="77" t="s">
        <v>1220</v>
      </c>
      <c r="N54" s="78">
        <v>35.000000020000002</v>
      </c>
      <c r="O54" s="79">
        <v>0.47710171589879902</v>
      </c>
    </row>
    <row r="55" spans="1:15" hidden="1">
      <c r="A55" s="76" t="s">
        <v>950</v>
      </c>
      <c r="B55" s="77" t="s">
        <v>1052</v>
      </c>
      <c r="C55" s="78">
        <v>31.1439837</v>
      </c>
      <c r="D55" s="79">
        <v>0.62180742060945793</v>
      </c>
      <c r="G55" t="e">
        <f>VLOOKUP(H55,[1]EMPG!M:N,2,FALSE)</f>
        <v>#N/A</v>
      </c>
      <c r="H55" s="77" t="s">
        <v>1221</v>
      </c>
      <c r="I55" s="78">
        <v>21.844745458000002</v>
      </c>
      <c r="J55" s="79">
        <v>1</v>
      </c>
      <c r="L55" t="s">
        <v>952</v>
      </c>
      <c r="M55" s="77" t="s">
        <v>1221</v>
      </c>
      <c r="N55" s="78">
        <v>21.844745458000002</v>
      </c>
      <c r="O55" s="79">
        <v>1</v>
      </c>
    </row>
    <row r="56" spans="1:15" hidden="1">
      <c r="A56" s="76" t="s">
        <v>950</v>
      </c>
      <c r="B56" s="77" t="s">
        <v>1053</v>
      </c>
      <c r="C56" s="78">
        <v>6.1765834640000001</v>
      </c>
      <c r="D56" s="79">
        <v>1</v>
      </c>
      <c r="G56" t="e">
        <f>VLOOKUP(H56,[1]EMPG!M:N,2,FALSE)</f>
        <v>#N/A</v>
      </c>
      <c r="H56" s="77" t="s">
        <v>1222</v>
      </c>
      <c r="I56" s="78">
        <v>25.093255396</v>
      </c>
      <c r="J56" s="79">
        <v>1</v>
      </c>
      <c r="L56" t="s">
        <v>952</v>
      </c>
      <c r="M56" s="77" t="s">
        <v>1222</v>
      </c>
      <c r="N56" s="78">
        <v>25.093255396</v>
      </c>
      <c r="O56" s="79">
        <v>1</v>
      </c>
    </row>
    <row r="57" spans="1:15" hidden="1">
      <c r="A57" s="76" t="s">
        <v>950</v>
      </c>
      <c r="B57" s="77" t="s">
        <v>1054</v>
      </c>
      <c r="C57" s="78">
        <v>3.6678617450000002</v>
      </c>
      <c r="D57" s="79">
        <v>1</v>
      </c>
      <c r="G57" t="e">
        <f>VLOOKUP(H57,[1]EMPG!M:N,2,FALSE)</f>
        <v>#N/A</v>
      </c>
      <c r="H57" s="77" t="s">
        <v>1223</v>
      </c>
      <c r="I57" s="78">
        <v>6.8561292319999998</v>
      </c>
      <c r="J57" s="79">
        <v>1.0003431904388584</v>
      </c>
      <c r="L57" t="s">
        <v>952</v>
      </c>
      <c r="M57" s="77" t="s">
        <v>1223</v>
      </c>
      <c r="N57" s="78">
        <v>6.8561292319999998</v>
      </c>
      <c r="O57" s="79">
        <v>1.0003431904388584</v>
      </c>
    </row>
    <row r="58" spans="1:15" hidden="1">
      <c r="A58" s="76" t="s">
        <v>950</v>
      </c>
      <c r="B58" s="77" t="s">
        <v>1055</v>
      </c>
      <c r="C58" s="78">
        <v>16.046452956</v>
      </c>
      <c r="D58" s="79">
        <v>1</v>
      </c>
      <c r="G58" t="e">
        <f>VLOOKUP(H58,[1]EMPG!M:N,2,FALSE)</f>
        <v>#N/A</v>
      </c>
      <c r="H58" s="77" t="s">
        <v>1224</v>
      </c>
      <c r="I58" s="78">
        <v>15.698670856000001</v>
      </c>
      <c r="J58" s="79">
        <v>1</v>
      </c>
      <c r="L58" t="s">
        <v>952</v>
      </c>
      <c r="M58" s="77" t="s">
        <v>1224</v>
      </c>
      <c r="N58" s="78">
        <v>15.698670856000001</v>
      </c>
      <c r="O58" s="79">
        <v>1</v>
      </c>
    </row>
    <row r="59" spans="1:15" hidden="1">
      <c r="A59" s="76" t="s">
        <v>950</v>
      </c>
      <c r="B59" s="77" t="s">
        <v>1056</v>
      </c>
      <c r="C59" s="78">
        <v>50.026522670000006</v>
      </c>
      <c r="D59" s="79">
        <v>1</v>
      </c>
      <c r="G59" t="e">
        <f>VLOOKUP(H59,[1]EMPG!M:N,2,FALSE)</f>
        <v>#N/A</v>
      </c>
      <c r="H59" s="77" t="s">
        <v>1225</v>
      </c>
      <c r="I59" s="78">
        <v>11.866033766000001</v>
      </c>
      <c r="J59" s="79">
        <v>1</v>
      </c>
      <c r="L59" t="s">
        <v>952</v>
      </c>
      <c r="M59" s="77" t="s">
        <v>1225</v>
      </c>
      <c r="N59" s="78">
        <v>11.866033766000001</v>
      </c>
      <c r="O59" s="79">
        <v>1</v>
      </c>
    </row>
    <row r="60" spans="1:15" hidden="1">
      <c r="A60" s="76" t="s">
        <v>950</v>
      </c>
      <c r="B60" s="77" t="s">
        <v>1057</v>
      </c>
      <c r="C60" s="78">
        <v>4.934022658</v>
      </c>
      <c r="D60" s="79">
        <v>1.0012313372720631</v>
      </c>
      <c r="G60" t="e">
        <f>VLOOKUP(H60,[1]EMPG!M:N,2,FALSE)</f>
        <v>#N/A</v>
      </c>
      <c r="H60" s="77" t="s">
        <v>1226</v>
      </c>
      <c r="I60" s="78">
        <v>140.83917669799999</v>
      </c>
      <c r="J60" s="79">
        <v>0.66758246115432718</v>
      </c>
      <c r="L60" t="s">
        <v>952</v>
      </c>
      <c r="M60" s="77" t="s">
        <v>1226</v>
      </c>
      <c r="N60" s="78">
        <v>140.83917669799999</v>
      </c>
      <c r="O60" s="79">
        <v>0.66758246115432718</v>
      </c>
    </row>
    <row r="61" spans="1:15" hidden="1">
      <c r="A61" s="76" t="s">
        <v>950</v>
      </c>
      <c r="B61" s="77" t="s">
        <v>1058</v>
      </c>
      <c r="C61" s="78">
        <v>21.791824599999998</v>
      </c>
      <c r="D61" s="79">
        <v>0.97556271382617499</v>
      </c>
      <c r="G61" t="e">
        <f>VLOOKUP(H61,[1]EMPG!M:N,2,FALSE)</f>
        <v>#N/A</v>
      </c>
      <c r="H61" s="77" t="s">
        <v>1227</v>
      </c>
      <c r="I61" s="78">
        <v>9.65</v>
      </c>
      <c r="J61" s="79">
        <v>0.36882430746113987</v>
      </c>
      <c r="L61" t="s">
        <v>952</v>
      </c>
      <c r="M61" s="77" t="s">
        <v>1227</v>
      </c>
      <c r="N61" s="78">
        <v>9.65</v>
      </c>
      <c r="O61" s="79">
        <v>0.36882430746113987</v>
      </c>
    </row>
    <row r="62" spans="1:15" hidden="1">
      <c r="A62" s="76" t="s">
        <v>950</v>
      </c>
      <c r="B62" s="77" t="s">
        <v>1059</v>
      </c>
      <c r="C62" s="78">
        <v>6.022437783</v>
      </c>
      <c r="D62" s="79">
        <v>0.86993087247639567</v>
      </c>
      <c r="G62" t="e">
        <f>VLOOKUP(H62,[1]EMPG!M:N,2,FALSE)</f>
        <v>#N/A</v>
      </c>
      <c r="H62" s="77" t="s">
        <v>1228</v>
      </c>
      <c r="I62" s="78">
        <v>40.138310930999999</v>
      </c>
      <c r="J62" s="79">
        <v>1</v>
      </c>
      <c r="L62" t="s">
        <v>1190</v>
      </c>
      <c r="M62" s="77" t="s">
        <v>1228</v>
      </c>
      <c r="N62" s="78">
        <v>40.138310930999999</v>
      </c>
      <c r="O62" s="79">
        <v>1</v>
      </c>
    </row>
    <row r="63" spans="1:15" hidden="1">
      <c r="A63" s="76" t="s">
        <v>950</v>
      </c>
      <c r="B63" s="77" t="s">
        <v>959</v>
      </c>
      <c r="C63" s="78">
        <v>25.96840152</v>
      </c>
      <c r="D63" s="79">
        <v>0.8271928171033609</v>
      </c>
      <c r="G63" t="e">
        <f>VLOOKUP(H63,[1]EMPG!M:N,2,FALSE)</f>
        <v>#N/A</v>
      </c>
      <c r="H63" s="83" t="s">
        <v>1229</v>
      </c>
      <c r="I63" s="84">
        <v>7.4090299789999996</v>
      </c>
      <c r="J63" s="85">
        <v>1</v>
      </c>
      <c r="L63" t="s">
        <v>1190</v>
      </c>
      <c r="M63" s="83" t="s">
        <v>1229</v>
      </c>
      <c r="N63" s="84">
        <v>7.4090299789999996</v>
      </c>
      <c r="O63" s="85">
        <v>1</v>
      </c>
    </row>
    <row r="64" spans="1:15" hidden="1">
      <c r="A64" s="76" t="s">
        <v>950</v>
      </c>
      <c r="B64" s="77" t="s">
        <v>1060</v>
      </c>
      <c r="C64" s="78">
        <v>33.941533399999997</v>
      </c>
      <c r="D64" s="79">
        <v>1.0058311546407623</v>
      </c>
      <c r="G64" t="e">
        <f>VLOOKUP(H64,[1]EMPG!M:N,2,FALSE)</f>
        <v>#N/A</v>
      </c>
      <c r="H64" s="80" t="s">
        <v>1230</v>
      </c>
      <c r="I64" s="81">
        <v>20.3038609</v>
      </c>
      <c r="J64" s="82">
        <v>1</v>
      </c>
      <c r="L64" t="s">
        <v>952</v>
      </c>
      <c r="M64" s="80" t="s">
        <v>1230</v>
      </c>
      <c r="N64" s="81">
        <v>20.3038609</v>
      </c>
      <c r="O64" s="82">
        <v>1</v>
      </c>
    </row>
    <row r="65" spans="1:15" hidden="1">
      <c r="A65" s="76" t="s">
        <v>950</v>
      </c>
      <c r="B65" s="77" t="s">
        <v>958</v>
      </c>
      <c r="C65" s="78">
        <v>8.9437942079999999</v>
      </c>
      <c r="D65" s="79">
        <v>1.0023677388485814</v>
      </c>
      <c r="G65" t="e">
        <f>VLOOKUP(H65,[1]EMPG!M:N,2,FALSE)</f>
        <v>#N/A</v>
      </c>
      <c r="H65" s="77" t="s">
        <v>1231</v>
      </c>
      <c r="I65" s="78">
        <v>7.3930335579999999</v>
      </c>
      <c r="J65" s="79">
        <v>1</v>
      </c>
      <c r="L65" t="s">
        <v>952</v>
      </c>
      <c r="M65" s="77" t="s">
        <v>1231</v>
      </c>
      <c r="N65" s="78">
        <v>7.3930335579999999</v>
      </c>
      <c r="O65" s="79">
        <v>1</v>
      </c>
    </row>
    <row r="66" spans="1:15" hidden="1">
      <c r="A66" s="76" t="s">
        <v>950</v>
      </c>
      <c r="B66" s="77" t="s">
        <v>1061</v>
      </c>
      <c r="C66" s="78">
        <v>9.4599136379999997</v>
      </c>
      <c r="D66" s="79">
        <v>1</v>
      </c>
      <c r="G66" t="e">
        <f>VLOOKUP(H66,[1]EMPG!M:N,2,FALSE)</f>
        <v>#N/A</v>
      </c>
      <c r="H66" s="77" t="s">
        <v>772</v>
      </c>
      <c r="I66" s="78">
        <v>16.315608775000001</v>
      </c>
      <c r="J66" s="79">
        <v>0.53893904562565109</v>
      </c>
      <c r="L66" t="s">
        <v>952</v>
      </c>
      <c r="M66" s="77" t="s">
        <v>772</v>
      </c>
      <c r="N66" s="78">
        <v>16.315608775000001</v>
      </c>
      <c r="O66" s="79">
        <v>0.53893904562565109</v>
      </c>
    </row>
    <row r="67" spans="1:15" hidden="1">
      <c r="A67" s="76" t="s">
        <v>950</v>
      </c>
      <c r="B67" s="77" t="s">
        <v>1062</v>
      </c>
      <c r="C67" s="78">
        <v>47.439774608</v>
      </c>
      <c r="D67" s="79">
        <v>1</v>
      </c>
      <c r="G67" t="e">
        <f>VLOOKUP(H67,[1]EMPG!M:N,2,FALSE)</f>
        <v>#N/A</v>
      </c>
      <c r="H67" s="77" t="s">
        <v>1232</v>
      </c>
      <c r="I67" s="78">
        <v>108.17612151900001</v>
      </c>
      <c r="J67" s="79">
        <v>0.63171063479103828</v>
      </c>
      <c r="L67" t="s">
        <v>952</v>
      </c>
      <c r="M67" s="77" t="s">
        <v>1232</v>
      </c>
      <c r="N67" s="78">
        <v>108.17612151900001</v>
      </c>
      <c r="O67" s="79">
        <v>0.63171063479103828</v>
      </c>
    </row>
    <row r="68" spans="1:15" hidden="1">
      <c r="A68" s="76" t="s">
        <v>950</v>
      </c>
      <c r="B68" s="77" t="s">
        <v>1063</v>
      </c>
      <c r="C68" s="78">
        <v>2.9324295</v>
      </c>
      <c r="D68" s="79">
        <v>1.0026827516228438</v>
      </c>
      <c r="G68" t="e">
        <f>VLOOKUP(H68,[1]EMPG!M:N,2,FALSE)</f>
        <v>#N/A</v>
      </c>
      <c r="H68" s="77" t="s">
        <v>1233</v>
      </c>
      <c r="I68" s="78">
        <v>93.040578194999995</v>
      </c>
      <c r="J68" s="79">
        <v>0.52857921807973995</v>
      </c>
      <c r="L68" t="s">
        <v>952</v>
      </c>
      <c r="M68" s="77" t="s">
        <v>1233</v>
      </c>
      <c r="N68" s="78">
        <v>93.040578194999995</v>
      </c>
      <c r="O68" s="79">
        <v>0.52857921807973995</v>
      </c>
    </row>
    <row r="69" spans="1:15" hidden="1">
      <c r="A69" s="76" t="s">
        <v>950</v>
      </c>
      <c r="B69" s="77" t="s">
        <v>1064</v>
      </c>
      <c r="C69" s="78">
        <v>38.747349700000001</v>
      </c>
      <c r="D69" s="79">
        <v>0.94564057719281902</v>
      </c>
      <c r="G69" t="e">
        <f>VLOOKUP(H69,[1]EMPG!M:N,2,FALSE)</f>
        <v>#N/A</v>
      </c>
      <c r="H69" s="77" t="s">
        <v>1234</v>
      </c>
      <c r="I69" s="78">
        <v>7.6281799479999997</v>
      </c>
      <c r="J69" s="79">
        <v>1</v>
      </c>
      <c r="L69" t="s">
        <v>952</v>
      </c>
      <c r="M69" s="77" t="s">
        <v>1234</v>
      </c>
      <c r="N69" s="78">
        <v>7.6281799479999997</v>
      </c>
      <c r="O69" s="79">
        <v>1</v>
      </c>
    </row>
    <row r="70" spans="1:15" hidden="1">
      <c r="A70" s="76" t="s">
        <v>950</v>
      </c>
      <c r="B70" s="77" t="s">
        <v>1065</v>
      </c>
      <c r="C70" s="78">
        <v>7.9290607209999999</v>
      </c>
      <c r="D70" s="79">
        <v>1.0005614509910625</v>
      </c>
      <c r="G70" t="e">
        <f>VLOOKUP(H70,[1]EMPG!M:N,2,FALSE)</f>
        <v>#N/A</v>
      </c>
      <c r="H70" s="77" t="s">
        <v>1235</v>
      </c>
      <c r="I70" s="78">
        <v>21.636423639</v>
      </c>
      <c r="J70" s="79">
        <v>1</v>
      </c>
      <c r="L70" t="s">
        <v>952</v>
      </c>
      <c r="M70" s="77" t="s">
        <v>1235</v>
      </c>
      <c r="N70" s="78">
        <v>21.636423639</v>
      </c>
      <c r="O70" s="79">
        <v>1</v>
      </c>
    </row>
    <row r="71" spans="1:15" hidden="1">
      <c r="A71" s="76" t="s">
        <v>950</v>
      </c>
      <c r="B71" s="77" t="s">
        <v>1066</v>
      </c>
      <c r="C71" s="78">
        <v>1.4842412840000001</v>
      </c>
      <c r="D71" s="79">
        <v>1</v>
      </c>
      <c r="G71" t="e">
        <f>VLOOKUP(H71,[1]EMPG!M:N,2,FALSE)</f>
        <v>#N/A</v>
      </c>
      <c r="H71" s="77" t="s">
        <v>1236</v>
      </c>
      <c r="I71" s="78">
        <v>26.424764</v>
      </c>
      <c r="J71" s="79">
        <v>0.16092287791103829</v>
      </c>
      <c r="L71" t="s">
        <v>952</v>
      </c>
      <c r="M71" s="77" t="s">
        <v>1236</v>
      </c>
      <c r="N71" s="78">
        <v>26.424764</v>
      </c>
      <c r="O71" s="79">
        <v>0.16092287791103829</v>
      </c>
    </row>
    <row r="72" spans="1:15" hidden="1">
      <c r="A72" s="76" t="s">
        <v>950</v>
      </c>
      <c r="B72" s="77" t="s">
        <v>1067</v>
      </c>
      <c r="C72" s="78">
        <v>21.103980400000001</v>
      </c>
      <c r="D72" s="79">
        <v>0.94325658632624576</v>
      </c>
      <c r="G72" t="e">
        <f>VLOOKUP(H72,[1]EMPG!M:N,2,FALSE)</f>
        <v>#N/A</v>
      </c>
      <c r="H72" s="83" t="s">
        <v>1237</v>
      </c>
      <c r="I72" s="84">
        <v>58.5</v>
      </c>
      <c r="J72" s="85">
        <v>3.0029848717948717E-3</v>
      </c>
      <c r="L72" t="s">
        <v>952</v>
      </c>
      <c r="M72" s="83" t="s">
        <v>1237</v>
      </c>
      <c r="N72" s="84">
        <v>58.5</v>
      </c>
      <c r="O72" s="85">
        <v>3.0029848717948717E-3</v>
      </c>
    </row>
    <row r="73" spans="1:15" hidden="1">
      <c r="A73" s="76" t="s">
        <v>950</v>
      </c>
      <c r="B73" s="77" t="s">
        <v>1068</v>
      </c>
      <c r="C73" s="78">
        <v>21.6</v>
      </c>
      <c r="D73" s="79">
        <v>0.38239592944444445</v>
      </c>
      <c r="G73" t="e">
        <f>VLOOKUP(H73,[1]EMPG!M:N,2,FALSE)</f>
        <v>#N/A</v>
      </c>
      <c r="H73" s="80" t="s">
        <v>1238</v>
      </c>
      <c r="I73" s="81">
        <v>1.4712773000000001</v>
      </c>
      <c r="J73" s="82">
        <v>0.85343097592819506</v>
      </c>
      <c r="L73" t="s">
        <v>952</v>
      </c>
      <c r="M73" s="80" t="s">
        <v>1238</v>
      </c>
      <c r="N73" s="81">
        <v>1.4712773000000001</v>
      </c>
      <c r="O73" s="82">
        <v>0.85343097592819506</v>
      </c>
    </row>
    <row r="74" spans="1:15" hidden="1">
      <c r="A74" s="76" t="s">
        <v>950</v>
      </c>
      <c r="B74" s="77" t="s">
        <v>1069</v>
      </c>
      <c r="C74" s="78">
        <v>24.4664599</v>
      </c>
      <c r="D74" s="79">
        <v>0.42686589758741522</v>
      </c>
      <c r="G74" t="e">
        <f>VLOOKUP(H74,[1]EMPG!M:N,2,FALSE)</f>
        <v>#N/A</v>
      </c>
      <c r="H74" s="77" t="s">
        <v>1239</v>
      </c>
      <c r="I74" s="78">
        <v>29.750743250999999</v>
      </c>
      <c r="J74" s="79">
        <v>0.84831430600147062</v>
      </c>
      <c r="L74" t="s">
        <v>952</v>
      </c>
      <c r="M74" s="77" t="s">
        <v>1239</v>
      </c>
      <c r="N74" s="78">
        <v>29.750743250999999</v>
      </c>
      <c r="O74" s="79">
        <v>0.84831430600147062</v>
      </c>
    </row>
    <row r="75" spans="1:15" hidden="1">
      <c r="A75" s="76" t="s">
        <v>950</v>
      </c>
      <c r="B75" s="77" t="s">
        <v>1070</v>
      </c>
      <c r="C75" s="78">
        <v>9.2538752999999989</v>
      </c>
      <c r="D75" s="79">
        <v>0.61182838318558286</v>
      </c>
      <c r="G75" t="e">
        <f>VLOOKUP(H75,[1]EMPG!M:N,2,FALSE)</f>
        <v>#N/A</v>
      </c>
      <c r="H75" s="77" t="s">
        <v>1240</v>
      </c>
      <c r="I75" s="78">
        <v>39.547229438999999</v>
      </c>
      <c r="J75" s="79">
        <v>0.87099749508700353</v>
      </c>
      <c r="L75" t="s">
        <v>952</v>
      </c>
      <c r="M75" s="77" t="s">
        <v>1240</v>
      </c>
      <c r="N75" s="78">
        <v>39.547229438999999</v>
      </c>
      <c r="O75" s="79">
        <v>0.87099749508700353</v>
      </c>
    </row>
    <row r="76" spans="1:15" hidden="1">
      <c r="A76" s="76" t="s">
        <v>950</v>
      </c>
      <c r="B76" s="77" t="s">
        <v>1071</v>
      </c>
      <c r="C76" s="78">
        <v>2.4044751999999998</v>
      </c>
      <c r="D76" s="79">
        <v>0.69141332004588774</v>
      </c>
      <c r="G76" t="e">
        <f>VLOOKUP(H76,[1]EMPG!M:N,2,FALSE)</f>
        <v>#N/A</v>
      </c>
      <c r="H76" s="77" t="s">
        <v>1241</v>
      </c>
      <c r="I76" s="78">
        <v>16.479968499999998</v>
      </c>
      <c r="J76" s="79">
        <v>0.83789735635720419</v>
      </c>
      <c r="L76" t="s">
        <v>952</v>
      </c>
      <c r="M76" s="77" t="s">
        <v>1241</v>
      </c>
      <c r="N76" s="78">
        <v>16.479968499999998</v>
      </c>
      <c r="O76" s="79">
        <v>0.83789735635720419</v>
      </c>
    </row>
    <row r="77" spans="1:15" hidden="1">
      <c r="A77" s="76" t="s">
        <v>950</v>
      </c>
      <c r="B77" s="77" t="s">
        <v>1072</v>
      </c>
      <c r="C77" s="78">
        <v>3.2713776399999999</v>
      </c>
      <c r="D77" s="79">
        <v>0.57234323427117395</v>
      </c>
      <c r="G77" t="e">
        <f>VLOOKUP(H77,[1]EMPG!M:N,2,FALSE)</f>
        <v>#N/A</v>
      </c>
      <c r="H77" s="77" t="s">
        <v>1242</v>
      </c>
      <c r="I77" s="78">
        <v>99.152542400000002</v>
      </c>
      <c r="J77" s="79">
        <v>9.8596866175768377E-2</v>
      </c>
      <c r="L77" t="s">
        <v>952</v>
      </c>
      <c r="M77" s="77" t="s">
        <v>1242</v>
      </c>
      <c r="N77" s="78">
        <v>99.152542400000002</v>
      </c>
      <c r="O77" s="79">
        <v>9.8596866175768377E-2</v>
      </c>
    </row>
    <row r="78" spans="1:15" hidden="1">
      <c r="A78" s="76" t="s">
        <v>950</v>
      </c>
      <c r="B78" s="77" t="s">
        <v>1073</v>
      </c>
      <c r="C78" s="78">
        <v>2.02</v>
      </c>
      <c r="D78" s="79">
        <v>0.69110604405940601</v>
      </c>
      <c r="G78" t="e">
        <f>VLOOKUP(H78,[1]EMPG!M:N,2,FALSE)</f>
        <v>#N/A</v>
      </c>
      <c r="H78" s="77" t="s">
        <v>1243</v>
      </c>
      <c r="I78" s="78">
        <v>7.2845612749999997</v>
      </c>
      <c r="J78" s="79">
        <v>0.65610765049127817</v>
      </c>
      <c r="L78" t="s">
        <v>952</v>
      </c>
      <c r="M78" s="77" t="s">
        <v>1243</v>
      </c>
      <c r="N78" s="78">
        <v>7.2845612749999997</v>
      </c>
      <c r="O78" s="79">
        <v>0.65610765049127817</v>
      </c>
    </row>
    <row r="79" spans="1:15" hidden="1">
      <c r="A79" s="76" t="s">
        <v>950</v>
      </c>
      <c r="B79" s="77" t="s">
        <v>1074</v>
      </c>
      <c r="C79" s="78">
        <v>50.000000019999995</v>
      </c>
      <c r="D79" s="79">
        <v>0.18272962416690816</v>
      </c>
      <c r="G79" t="e">
        <f>VLOOKUP(H79,[1]EMPG!M:N,2,FALSE)</f>
        <v>#N/A</v>
      </c>
      <c r="H79" s="77" t="s">
        <v>1244</v>
      </c>
      <c r="I79" s="78">
        <v>112.10615909800001</v>
      </c>
      <c r="J79" s="79">
        <v>0.69767941031346381</v>
      </c>
      <c r="L79" t="s">
        <v>952</v>
      </c>
      <c r="M79" s="77" t="s">
        <v>1244</v>
      </c>
      <c r="N79" s="78">
        <v>112.10615909800001</v>
      </c>
      <c r="O79" s="79">
        <v>0.69767941031346381</v>
      </c>
    </row>
    <row r="80" spans="1:15" hidden="1">
      <c r="A80" s="76" t="s">
        <v>950</v>
      </c>
      <c r="B80" s="77" t="s">
        <v>1075</v>
      </c>
      <c r="C80" s="78">
        <v>33.500000006</v>
      </c>
      <c r="D80" s="79">
        <v>3.982347035107639E-2</v>
      </c>
      <c r="G80" t="e">
        <f>VLOOKUP(H80,[1]EMPG!M:N,2,FALSE)</f>
        <v>#N/A</v>
      </c>
      <c r="H80" s="83" t="s">
        <v>1245</v>
      </c>
      <c r="I80" s="84">
        <v>56.121961800000001</v>
      </c>
      <c r="J80" s="85">
        <v>0.57428473984671013</v>
      </c>
      <c r="L80" t="s">
        <v>952</v>
      </c>
      <c r="M80" s="83" t="s">
        <v>1245</v>
      </c>
      <c r="N80" s="84">
        <v>56.121961800000001</v>
      </c>
      <c r="O80" s="85">
        <v>0.57428473984671013</v>
      </c>
    </row>
    <row r="81" spans="1:15" hidden="1">
      <c r="A81" s="76" t="s">
        <v>950</v>
      </c>
      <c r="B81" s="77" t="s">
        <v>961</v>
      </c>
      <c r="C81" s="78">
        <v>45.161226599000003</v>
      </c>
      <c r="D81" s="79">
        <v>6.6147420696189577E-2</v>
      </c>
      <c r="G81" t="e">
        <f>VLOOKUP(H81,[1]EMPG!M:N,2,FALSE)</f>
        <v>#N/A</v>
      </c>
      <c r="H81" s="80" t="s">
        <v>1246</v>
      </c>
      <c r="I81" s="81">
        <v>6.5361231880000004</v>
      </c>
      <c r="J81" s="82">
        <v>1</v>
      </c>
      <c r="L81" t="s">
        <v>952</v>
      </c>
      <c r="M81" s="80" t="s">
        <v>1246</v>
      </c>
      <c r="N81" s="81">
        <v>6.5361231880000004</v>
      </c>
      <c r="O81" s="82">
        <v>1</v>
      </c>
    </row>
    <row r="82" spans="1:15" hidden="1">
      <c r="A82" s="76" t="s">
        <v>950</v>
      </c>
      <c r="B82" s="77" t="s">
        <v>960</v>
      </c>
      <c r="C82" s="78">
        <v>44.838773379999999</v>
      </c>
      <c r="D82" s="79">
        <v>2.0665901877978624E-2</v>
      </c>
      <c r="G82" t="e">
        <f>VLOOKUP(H82,[1]EMPG!M:N,2,FALSE)</f>
        <v>#N/A</v>
      </c>
      <c r="H82" s="77" t="s">
        <v>1247</v>
      </c>
      <c r="I82" s="78">
        <v>20.166690898999999</v>
      </c>
      <c r="J82" s="79">
        <v>0.7943571875143064</v>
      </c>
      <c r="L82" t="s">
        <v>952</v>
      </c>
      <c r="M82" s="77" t="s">
        <v>1247</v>
      </c>
      <c r="N82" s="78">
        <v>20.166690898999999</v>
      </c>
      <c r="O82" s="79">
        <v>0.7943571875143064</v>
      </c>
    </row>
    <row r="83" spans="1:15" hidden="1">
      <c r="A83" s="76" t="s">
        <v>950</v>
      </c>
      <c r="B83" s="77" t="s">
        <v>1076</v>
      </c>
      <c r="C83" s="78">
        <v>3.6530547000000002</v>
      </c>
      <c r="D83" s="79">
        <v>1.9292005126558876E-3</v>
      </c>
      <c r="G83" t="e">
        <f>VLOOKUP(H83,[1]EMPG!M:N,2,FALSE)</f>
        <v>#N/A</v>
      </c>
      <c r="H83" s="77" t="s">
        <v>1248</v>
      </c>
      <c r="I83" s="78">
        <v>9.8414609849999994</v>
      </c>
      <c r="J83" s="79">
        <v>0.79375387068102066</v>
      </c>
      <c r="L83" t="s">
        <v>952</v>
      </c>
      <c r="M83" s="77" t="s">
        <v>1248</v>
      </c>
      <c r="N83" s="78">
        <v>9.8414609849999994</v>
      </c>
      <c r="O83" s="79">
        <v>0.79375387068102066</v>
      </c>
    </row>
    <row r="84" spans="1:15" hidden="1">
      <c r="A84" s="76" t="s">
        <v>950</v>
      </c>
      <c r="B84" s="77" t="s">
        <v>1077</v>
      </c>
      <c r="C84" s="78">
        <v>6.8669395</v>
      </c>
      <c r="D84" s="79">
        <v>0.98650005085962966</v>
      </c>
      <c r="G84" t="e">
        <f>VLOOKUP(H84,[1]EMPG!M:N,2,FALSE)</f>
        <v>#N/A</v>
      </c>
      <c r="H84" s="77" t="s">
        <v>1249</v>
      </c>
      <c r="I84" s="78">
        <v>2.4764646999999997</v>
      </c>
      <c r="J84" s="79">
        <v>0.99999996608067954</v>
      </c>
      <c r="L84" t="s">
        <v>1190</v>
      </c>
      <c r="M84" s="77" t="s">
        <v>1249</v>
      </c>
      <c r="N84" s="78">
        <v>2.4764646999999997</v>
      </c>
      <c r="O84" s="79">
        <v>0.99999996608067954</v>
      </c>
    </row>
    <row r="85" spans="1:15" hidden="1">
      <c r="A85" s="76" t="s">
        <v>950</v>
      </c>
      <c r="B85" s="77" t="s">
        <v>1078</v>
      </c>
      <c r="C85" s="78">
        <v>1.5525702509999999</v>
      </c>
      <c r="D85" s="79">
        <v>1</v>
      </c>
      <c r="G85" t="e">
        <f>VLOOKUP(H85,[1]EMPG!M:N,2,FALSE)</f>
        <v>#N/A</v>
      </c>
      <c r="H85" s="77" t="s">
        <v>1250</v>
      </c>
      <c r="I85" s="78">
        <v>14.295257128999999</v>
      </c>
      <c r="J85" s="79">
        <v>1</v>
      </c>
      <c r="L85" t="s">
        <v>1190</v>
      </c>
      <c r="M85" s="77" t="s">
        <v>1250</v>
      </c>
      <c r="N85" s="78">
        <v>14.295257128999999</v>
      </c>
      <c r="O85" s="79">
        <v>1</v>
      </c>
    </row>
    <row r="86" spans="1:15" hidden="1">
      <c r="A86" s="76" t="s">
        <v>950</v>
      </c>
      <c r="B86" s="77" t="s">
        <v>1079</v>
      </c>
      <c r="C86" s="78">
        <v>34.653079071000001</v>
      </c>
      <c r="D86" s="79">
        <v>0.81188225630271871</v>
      </c>
      <c r="G86" t="e">
        <f>VLOOKUP(H86,[1]EMPG!M:N,2,FALSE)</f>
        <v>#N/A</v>
      </c>
      <c r="H86" s="77" t="s">
        <v>1251</v>
      </c>
      <c r="I86" s="78">
        <v>19.394129294999999</v>
      </c>
      <c r="J86" s="79">
        <v>1</v>
      </c>
      <c r="L86" t="s">
        <v>1190</v>
      </c>
      <c r="M86" s="77" t="s">
        <v>1251</v>
      </c>
      <c r="N86" s="78">
        <v>19.394129294999999</v>
      </c>
      <c r="O86" s="79">
        <v>1</v>
      </c>
    </row>
    <row r="87" spans="1:15" hidden="1">
      <c r="A87" s="76" t="s">
        <v>950</v>
      </c>
      <c r="B87" s="77" t="s">
        <v>1080</v>
      </c>
      <c r="C87" s="78">
        <v>45.651579979999994</v>
      </c>
      <c r="D87" s="79">
        <v>0.76416821534508472</v>
      </c>
      <c r="G87" t="e">
        <f>VLOOKUP(H87,[1]EMPG!M:N,2,FALSE)</f>
        <v>#N/A</v>
      </c>
      <c r="H87" s="77" t="s">
        <v>1252</v>
      </c>
      <c r="I87" s="78">
        <v>4.1063040419999997</v>
      </c>
      <c r="J87" s="79">
        <v>0.96545212737561825</v>
      </c>
      <c r="L87" t="s">
        <v>1190</v>
      </c>
      <c r="M87" s="77" t="s">
        <v>1252</v>
      </c>
      <c r="N87" s="78">
        <v>4.1063040419999997</v>
      </c>
      <c r="O87" s="79">
        <v>0.96545212737561825</v>
      </c>
    </row>
    <row r="88" spans="1:15" hidden="1">
      <c r="A88" s="76" t="s">
        <v>950</v>
      </c>
      <c r="B88" s="77" t="s">
        <v>1081</v>
      </c>
      <c r="C88" s="78">
        <v>16.398563007</v>
      </c>
      <c r="D88" s="79">
        <v>0.75907894744719073</v>
      </c>
      <c r="G88" t="e">
        <f>VLOOKUP(H88,[1]EMPG!M:N,2,FALSE)</f>
        <v>#N/A</v>
      </c>
      <c r="H88" s="77" t="s">
        <v>1253</v>
      </c>
      <c r="I88" s="78">
        <v>10.612363462999999</v>
      </c>
      <c r="J88" s="79">
        <v>0.96658963583030455</v>
      </c>
      <c r="L88" t="s">
        <v>1190</v>
      </c>
      <c r="M88" s="77" t="s">
        <v>1253</v>
      </c>
      <c r="N88" s="78">
        <v>10.612363462999999</v>
      </c>
      <c r="O88" s="79">
        <v>0.96658963583030455</v>
      </c>
    </row>
    <row r="89" spans="1:15" hidden="1">
      <c r="A89" s="76" t="s">
        <v>950</v>
      </c>
      <c r="B89" s="77" t="s">
        <v>1082</v>
      </c>
      <c r="C89" s="78">
        <v>24.069647497999998</v>
      </c>
      <c r="D89" s="79">
        <v>0.82458748324624098</v>
      </c>
      <c r="G89" t="e">
        <f>VLOOKUP(H89,[1]EMPG!M:N,2,FALSE)</f>
        <v>#N/A</v>
      </c>
      <c r="H89" s="77" t="s">
        <v>1254</v>
      </c>
      <c r="I89" s="78">
        <v>2.5177667880000003</v>
      </c>
      <c r="J89" s="79">
        <v>1</v>
      </c>
      <c r="L89" t="s">
        <v>1190</v>
      </c>
      <c r="M89" s="77" t="s">
        <v>1254</v>
      </c>
      <c r="N89" s="78">
        <v>2.5177667880000003</v>
      </c>
      <c r="O89" s="79">
        <v>1</v>
      </c>
    </row>
    <row r="90" spans="1:15" hidden="1">
      <c r="A90" s="76" t="s">
        <v>950</v>
      </c>
      <c r="B90" s="77" t="s">
        <v>1083</v>
      </c>
      <c r="C90" s="78">
        <v>3.8298966000000001</v>
      </c>
      <c r="D90" s="79">
        <v>0.98379074176571757</v>
      </c>
      <c r="G90" t="e">
        <f>VLOOKUP(H90,[1]EMPG!M:N,2,FALSE)</f>
        <v>#N/A</v>
      </c>
      <c r="H90" s="77" t="s">
        <v>1255</v>
      </c>
      <c r="I90" s="78">
        <v>0.1015812</v>
      </c>
      <c r="J90" s="79">
        <v>0.63037706780388503</v>
      </c>
      <c r="L90" t="s">
        <v>1190</v>
      </c>
      <c r="M90" s="77" t="s">
        <v>1255</v>
      </c>
      <c r="N90" s="78">
        <v>0.1015812</v>
      </c>
      <c r="O90" s="79">
        <v>0.63037706780388503</v>
      </c>
    </row>
    <row r="91" spans="1:15" hidden="1">
      <c r="A91" s="76" t="s">
        <v>950</v>
      </c>
      <c r="B91" s="77" t="s">
        <v>1084</v>
      </c>
      <c r="C91" s="78">
        <v>10.6532377</v>
      </c>
      <c r="D91" s="79">
        <v>0.97794928728568598</v>
      </c>
      <c r="G91" t="e">
        <f>VLOOKUP(H91,[1]EMPG!M:N,2,FALSE)</f>
        <v>#N/A</v>
      </c>
      <c r="H91" s="77" t="s">
        <v>1256</v>
      </c>
      <c r="I91" s="78">
        <v>2.055580043</v>
      </c>
      <c r="J91" s="79">
        <v>1</v>
      </c>
      <c r="L91" t="s">
        <v>1190</v>
      </c>
      <c r="M91" s="77" t="s">
        <v>1256</v>
      </c>
      <c r="N91" s="78">
        <v>2.055580043</v>
      </c>
      <c r="O91" s="79">
        <v>1</v>
      </c>
    </row>
    <row r="92" spans="1:15" hidden="1">
      <c r="A92" s="76" t="s">
        <v>950</v>
      </c>
      <c r="B92" s="77" t="s">
        <v>1085</v>
      </c>
      <c r="C92" s="78">
        <v>44.270817252000001</v>
      </c>
      <c r="D92" s="79">
        <v>0.74649084011447786</v>
      </c>
      <c r="G92" t="e">
        <f>VLOOKUP(H92,[1]EMPG!M:N,2,FALSE)</f>
        <v>#N/A</v>
      </c>
      <c r="H92" s="77" t="s">
        <v>1257</v>
      </c>
      <c r="I92" s="78">
        <v>44.9</v>
      </c>
      <c r="J92" s="79">
        <v>0.4445409720044543</v>
      </c>
      <c r="L92" t="s">
        <v>1190</v>
      </c>
      <c r="M92" s="77" t="s">
        <v>1257</v>
      </c>
      <c r="N92" s="78">
        <v>44.9</v>
      </c>
      <c r="O92" s="79">
        <v>0.4445409720044543</v>
      </c>
    </row>
    <row r="93" spans="1:15" hidden="1">
      <c r="A93" s="76" t="s">
        <v>950</v>
      </c>
      <c r="B93" s="77" t="s">
        <v>1086</v>
      </c>
      <c r="C93" s="78">
        <v>55.616461624000003</v>
      </c>
      <c r="D93" s="79">
        <v>0.9911062171602345</v>
      </c>
      <c r="G93" t="e">
        <f>VLOOKUP(H93,[1]EMPG!M:N,2,FALSE)</f>
        <v>#N/A</v>
      </c>
      <c r="H93" s="77" t="s">
        <v>1258</v>
      </c>
      <c r="I93" s="78">
        <v>37.749999959999997</v>
      </c>
      <c r="J93" s="79">
        <v>1.9433848232512686E-3</v>
      </c>
      <c r="L93" t="s">
        <v>952</v>
      </c>
      <c r="M93" s="77" t="s">
        <v>1258</v>
      </c>
      <c r="N93" s="78">
        <v>37.749999959999997</v>
      </c>
      <c r="O93" s="79">
        <v>1.9433848232512686E-3</v>
      </c>
    </row>
    <row r="94" spans="1:15" hidden="1">
      <c r="A94" s="76" t="s">
        <v>950</v>
      </c>
      <c r="B94" s="77" t="s">
        <v>1087</v>
      </c>
      <c r="C94" s="78">
        <v>24.249015674999999</v>
      </c>
      <c r="D94" s="79">
        <v>1</v>
      </c>
      <c r="G94" t="e">
        <f>VLOOKUP(H94,[1]EMPG!M:N,2,FALSE)</f>
        <v>#N/A</v>
      </c>
      <c r="H94" s="77" t="s">
        <v>1259</v>
      </c>
      <c r="I94" s="78">
        <v>87.999999934000002</v>
      </c>
      <c r="J94" s="79">
        <v>5.168337844785344E-4</v>
      </c>
      <c r="L94" t="s">
        <v>952</v>
      </c>
      <c r="M94" s="77" t="s">
        <v>1259</v>
      </c>
      <c r="N94" s="78">
        <v>87.999999934000002</v>
      </c>
      <c r="O94" s="79">
        <v>5.168337844785344E-4</v>
      </c>
    </row>
    <row r="95" spans="1:15" hidden="1">
      <c r="A95" s="76" t="s">
        <v>950</v>
      </c>
      <c r="B95" s="77" t="s">
        <v>1088</v>
      </c>
      <c r="C95" s="78">
        <v>23.403577693000003</v>
      </c>
      <c r="D95" s="79">
        <v>0.95427880702530155</v>
      </c>
    </row>
    <row r="96" spans="1:15" hidden="1">
      <c r="A96" s="76" t="s">
        <v>950</v>
      </c>
      <c r="B96" s="77" t="s">
        <v>1089</v>
      </c>
      <c r="C96" s="78">
        <v>6.4353219900000003</v>
      </c>
      <c r="D96" s="79">
        <v>0.95848416576277651</v>
      </c>
    </row>
    <row r="97" spans="1:4" hidden="1">
      <c r="A97" s="76" t="s">
        <v>950</v>
      </c>
      <c r="B97" s="77" t="s">
        <v>1090</v>
      </c>
      <c r="C97" s="78">
        <v>43.525908418</v>
      </c>
      <c r="D97" s="79">
        <v>0.89757103074829148</v>
      </c>
    </row>
    <row r="98" spans="1:4" hidden="1">
      <c r="A98" s="76" t="s">
        <v>950</v>
      </c>
      <c r="B98" s="77" t="s">
        <v>1091</v>
      </c>
      <c r="C98" s="78">
        <v>24.207564585</v>
      </c>
      <c r="D98" s="79">
        <v>0.91603775882273453</v>
      </c>
    </row>
    <row r="99" spans="1:4" hidden="1">
      <c r="A99" s="76" t="s">
        <v>950</v>
      </c>
      <c r="B99" s="77" t="s">
        <v>1092</v>
      </c>
      <c r="C99" s="78">
        <v>29.532363707999998</v>
      </c>
      <c r="D99" s="79">
        <v>0.85842510012608986</v>
      </c>
    </row>
    <row r="100" spans="1:4" hidden="1">
      <c r="A100" s="76" t="s">
        <v>950</v>
      </c>
      <c r="B100" s="77" t="s">
        <v>1093</v>
      </c>
      <c r="C100" s="78">
        <v>26.019130297</v>
      </c>
      <c r="D100" s="79">
        <v>0.50220369277702603</v>
      </c>
    </row>
    <row r="101" spans="1:4" hidden="1">
      <c r="A101" s="76" t="s">
        <v>950</v>
      </c>
      <c r="B101" s="77" t="s">
        <v>1094</v>
      </c>
      <c r="C101" s="78">
        <v>29.858369498000002</v>
      </c>
      <c r="D101" s="79">
        <v>0.87740122794564523</v>
      </c>
    </row>
    <row r="102" spans="1:4" hidden="1">
      <c r="A102" s="76" t="s">
        <v>950</v>
      </c>
      <c r="B102" s="77" t="s">
        <v>1095</v>
      </c>
      <c r="C102" s="78">
        <v>40.366263869999997</v>
      </c>
      <c r="D102" s="79">
        <v>0.49801329565058905</v>
      </c>
    </row>
    <row r="103" spans="1:4" hidden="1">
      <c r="A103" s="76" t="s">
        <v>950</v>
      </c>
      <c r="B103" s="77" t="s">
        <v>1096</v>
      </c>
      <c r="C103" s="78">
        <v>15.993308150000001</v>
      </c>
      <c r="D103" s="79">
        <v>0.64669611771345759</v>
      </c>
    </row>
    <row r="104" spans="1:4" hidden="1">
      <c r="A104" s="76" t="s">
        <v>950</v>
      </c>
      <c r="B104" s="77" t="s">
        <v>1097</v>
      </c>
      <c r="C104" s="78">
        <v>18.458613933999999</v>
      </c>
      <c r="D104" s="79">
        <v>0.66491379731350964</v>
      </c>
    </row>
    <row r="105" spans="1:4" hidden="1">
      <c r="A105" s="76" t="s">
        <v>950</v>
      </c>
      <c r="B105" s="77" t="s">
        <v>1098</v>
      </c>
      <c r="C105" s="78">
        <v>2.9168738059999999</v>
      </c>
      <c r="D105" s="79">
        <v>0.45852740980732026</v>
      </c>
    </row>
    <row r="106" spans="1:4" hidden="1">
      <c r="A106" s="76" t="s">
        <v>950</v>
      </c>
      <c r="B106" s="77" t="s">
        <v>1099</v>
      </c>
      <c r="C106" s="78">
        <v>93.012430074999997</v>
      </c>
      <c r="D106" s="79">
        <v>0.24291488836257033</v>
      </c>
    </row>
    <row r="107" spans="1:4" hidden="1">
      <c r="A107" s="76" t="s">
        <v>950</v>
      </c>
      <c r="B107" s="77" t="s">
        <v>1100</v>
      </c>
      <c r="C107" s="78">
        <v>81.750729116000002</v>
      </c>
      <c r="D107" s="79">
        <v>0.64579649727756694</v>
      </c>
    </row>
    <row r="108" spans="1:4" hidden="1">
      <c r="A108" s="76" t="s">
        <v>950</v>
      </c>
      <c r="B108" s="77" t="s">
        <v>1101</v>
      </c>
      <c r="C108" s="78">
        <v>50.454440777999999</v>
      </c>
      <c r="D108" s="79">
        <v>0.87040761312231141</v>
      </c>
    </row>
    <row r="109" spans="1:4" hidden="1">
      <c r="A109" s="76" t="s">
        <v>950</v>
      </c>
      <c r="B109" s="77" t="s">
        <v>1102</v>
      </c>
      <c r="C109" s="78">
        <v>55.928513700000003</v>
      </c>
      <c r="D109" s="79">
        <v>0.89652381745664012</v>
      </c>
    </row>
    <row r="110" spans="1:4" hidden="1">
      <c r="A110" s="76" t="s">
        <v>950</v>
      </c>
      <c r="B110" s="77" t="s">
        <v>1103</v>
      </c>
      <c r="C110" s="78">
        <v>39.011033615000002</v>
      </c>
      <c r="D110" s="79">
        <v>1</v>
      </c>
    </row>
    <row r="111" spans="1:4" hidden="1">
      <c r="A111" s="76" t="s">
        <v>950</v>
      </c>
      <c r="B111" s="77" t="s">
        <v>1104</v>
      </c>
      <c r="C111" s="78">
        <v>49.601529290000002</v>
      </c>
      <c r="D111" s="79">
        <v>0.91973098972973222</v>
      </c>
    </row>
    <row r="112" spans="1:4" hidden="1">
      <c r="A112" s="76" t="s">
        <v>950</v>
      </c>
      <c r="B112" s="77" t="s">
        <v>1105</v>
      </c>
      <c r="C112" s="78">
        <v>11.323728353</v>
      </c>
      <c r="D112" s="79">
        <v>0.94047432753705873</v>
      </c>
    </row>
    <row r="113" spans="1:4" hidden="1">
      <c r="A113" s="76" t="s">
        <v>950</v>
      </c>
      <c r="B113" s="77" t="s">
        <v>1106</v>
      </c>
      <c r="C113" s="78">
        <v>7.143557919</v>
      </c>
      <c r="D113" s="79">
        <v>0.73691828255476899</v>
      </c>
    </row>
    <row r="114" spans="1:4" hidden="1">
      <c r="A114" s="76" t="s">
        <v>950</v>
      </c>
      <c r="B114" s="77" t="s">
        <v>1107</v>
      </c>
      <c r="C114" s="78">
        <v>48.033533709000004</v>
      </c>
      <c r="D114" s="79">
        <v>0.93533601769094843</v>
      </c>
    </row>
    <row r="115" spans="1:4" hidden="1">
      <c r="A115" s="76" t="s">
        <v>950</v>
      </c>
      <c r="B115" s="77" t="s">
        <v>1108</v>
      </c>
      <c r="C115" s="78">
        <v>14.801547858999999</v>
      </c>
      <c r="D115" s="79">
        <v>0.82611547633276483</v>
      </c>
    </row>
    <row r="116" spans="1:4" hidden="1">
      <c r="A116" s="76" t="s">
        <v>950</v>
      </c>
      <c r="B116" s="77" t="s">
        <v>1109</v>
      </c>
      <c r="C116" s="78">
        <v>0.74499081099999998</v>
      </c>
      <c r="D116" s="79">
        <v>1</v>
      </c>
    </row>
    <row r="117" spans="1:4" hidden="1">
      <c r="A117" s="76" t="s">
        <v>950</v>
      </c>
      <c r="B117" s="77" t="s">
        <v>1110</v>
      </c>
      <c r="C117" s="78">
        <v>12.540246936000001</v>
      </c>
      <c r="D117" s="79">
        <v>1</v>
      </c>
    </row>
    <row r="118" spans="1:4" hidden="1">
      <c r="A118" s="76" t="s">
        <v>950</v>
      </c>
      <c r="B118" s="77" t="s">
        <v>1111</v>
      </c>
      <c r="C118" s="78">
        <v>22.448084600000001</v>
      </c>
      <c r="D118" s="79">
        <v>0.89085805788525929</v>
      </c>
    </row>
    <row r="119" spans="1:4" hidden="1">
      <c r="A119" s="76" t="s">
        <v>950</v>
      </c>
      <c r="B119" s="77" t="s">
        <v>1112</v>
      </c>
      <c r="C119" s="78">
        <v>17.090053236999999</v>
      </c>
      <c r="D119" s="79">
        <v>1</v>
      </c>
    </row>
    <row r="120" spans="1:4" hidden="1">
      <c r="A120" s="76" t="s">
        <v>950</v>
      </c>
      <c r="B120" s="77" t="s">
        <v>1113</v>
      </c>
      <c r="C120" s="78">
        <v>26.430208593000003</v>
      </c>
      <c r="D120" s="79">
        <v>0.9999974952902938</v>
      </c>
    </row>
    <row r="121" spans="1:4" hidden="1">
      <c r="A121" s="76" t="s">
        <v>950</v>
      </c>
      <c r="B121" s="77" t="s">
        <v>1114</v>
      </c>
      <c r="C121" s="78">
        <v>75.065487820000001</v>
      </c>
      <c r="D121" s="79">
        <v>0.8375842868265263</v>
      </c>
    </row>
    <row r="122" spans="1:4" hidden="1">
      <c r="A122" s="76" t="s">
        <v>950</v>
      </c>
      <c r="B122" s="77" t="s">
        <v>1115</v>
      </c>
      <c r="C122" s="78">
        <v>24.382018229</v>
      </c>
      <c r="D122" s="79">
        <v>1</v>
      </c>
    </row>
    <row r="123" spans="1:4" hidden="1">
      <c r="A123" s="76" t="s">
        <v>950</v>
      </c>
      <c r="B123" s="77" t="s">
        <v>1116</v>
      </c>
      <c r="C123" s="78">
        <v>23.278129516</v>
      </c>
      <c r="D123" s="79">
        <v>0.75487423527401609</v>
      </c>
    </row>
    <row r="124" spans="1:4" hidden="1">
      <c r="A124" s="76" t="s">
        <v>950</v>
      </c>
      <c r="B124" s="77" t="s">
        <v>1117</v>
      </c>
      <c r="C124" s="78">
        <v>0.89771849999999997</v>
      </c>
      <c r="D124" s="79">
        <v>0</v>
      </c>
    </row>
    <row r="125" spans="1:4" hidden="1">
      <c r="A125" s="76" t="s">
        <v>950</v>
      </c>
      <c r="B125" s="77" t="s">
        <v>1118</v>
      </c>
      <c r="C125" s="78">
        <v>40.189110843000002</v>
      </c>
      <c r="D125" s="79">
        <v>0.73528448065048424</v>
      </c>
    </row>
    <row r="126" spans="1:4" hidden="1">
      <c r="A126" s="76" t="s">
        <v>950</v>
      </c>
      <c r="B126" s="77" t="s">
        <v>1119</v>
      </c>
      <c r="C126" s="78">
        <v>65.057007983999995</v>
      </c>
      <c r="D126" s="79">
        <v>0.79692712898433371</v>
      </c>
    </row>
    <row r="127" spans="1:4" hidden="1">
      <c r="A127" s="76" t="s">
        <v>950</v>
      </c>
      <c r="B127" s="77" t="s">
        <v>1120</v>
      </c>
      <c r="C127" s="78">
        <v>27.553021893</v>
      </c>
      <c r="D127" s="79">
        <v>0.4730755948519581</v>
      </c>
    </row>
    <row r="128" spans="1:4" hidden="1">
      <c r="A128" s="76" t="s">
        <v>950</v>
      </c>
      <c r="B128" s="77" t="s">
        <v>1121</v>
      </c>
      <c r="C128" s="78">
        <v>10.147897632999999</v>
      </c>
      <c r="D128" s="79">
        <v>0.90275933590509838</v>
      </c>
    </row>
    <row r="129" spans="1:4" hidden="1">
      <c r="A129" s="76" t="s">
        <v>950</v>
      </c>
      <c r="B129" s="77" t="s">
        <v>1122</v>
      </c>
      <c r="C129" s="78">
        <v>9.0727635669999991</v>
      </c>
      <c r="D129" s="79">
        <v>0.87429373348289308</v>
      </c>
    </row>
    <row r="130" spans="1:4" hidden="1">
      <c r="A130" s="76" t="s">
        <v>950</v>
      </c>
      <c r="B130" s="77" t="s">
        <v>1123</v>
      </c>
      <c r="C130" s="78">
        <v>47.254566853</v>
      </c>
      <c r="D130" s="79">
        <v>0.85915179481583903</v>
      </c>
    </row>
    <row r="131" spans="1:4" hidden="1">
      <c r="A131" s="76" t="s">
        <v>950</v>
      </c>
      <c r="B131" s="77" t="s">
        <v>1124</v>
      </c>
      <c r="C131" s="78">
        <v>64.434799999999996</v>
      </c>
      <c r="D131" s="79">
        <v>1.0095804280450937</v>
      </c>
    </row>
    <row r="132" spans="1:4" hidden="1">
      <c r="A132" s="76" t="s">
        <v>950</v>
      </c>
      <c r="B132" s="77" t="s">
        <v>1125</v>
      </c>
      <c r="C132" s="78">
        <v>3.75</v>
      </c>
      <c r="D132" s="79">
        <v>0.52634183786666666</v>
      </c>
    </row>
    <row r="133" spans="1:4" hidden="1">
      <c r="A133" s="76" t="s">
        <v>950</v>
      </c>
      <c r="B133" s="77" t="s">
        <v>1126</v>
      </c>
      <c r="C133" s="78">
        <v>10.870048500000001</v>
      </c>
      <c r="D133" s="79">
        <v>0.83248857068117033</v>
      </c>
    </row>
    <row r="134" spans="1:4" hidden="1">
      <c r="A134" s="76" t="s">
        <v>950</v>
      </c>
      <c r="B134" s="77" t="s">
        <v>1127</v>
      </c>
      <c r="C134" s="78">
        <v>9.8813341399999999</v>
      </c>
      <c r="D134" s="79">
        <v>1</v>
      </c>
    </row>
    <row r="135" spans="1:4" hidden="1">
      <c r="A135" s="76" t="s">
        <v>950</v>
      </c>
      <c r="B135" s="77" t="s">
        <v>1128</v>
      </c>
      <c r="C135" s="78">
        <v>24.871292011999998</v>
      </c>
      <c r="D135" s="79">
        <v>1</v>
      </c>
    </row>
    <row r="136" spans="1:4" hidden="1">
      <c r="A136" s="76" t="s">
        <v>950</v>
      </c>
      <c r="B136" s="77" t="s">
        <v>1129</v>
      </c>
      <c r="C136" s="78">
        <v>8.5234441000000007</v>
      </c>
      <c r="D136" s="79">
        <v>0.77178524136739513</v>
      </c>
    </row>
    <row r="137" spans="1:4" hidden="1">
      <c r="A137" s="76" t="s">
        <v>950</v>
      </c>
      <c r="B137" s="77" t="s">
        <v>1130</v>
      </c>
      <c r="C137" s="78">
        <v>6.9848002169999992</v>
      </c>
      <c r="D137" s="79">
        <v>1</v>
      </c>
    </row>
    <row r="138" spans="1:4" hidden="1">
      <c r="A138" s="76" t="s">
        <v>950</v>
      </c>
      <c r="B138" s="77" t="s">
        <v>1131</v>
      </c>
      <c r="C138" s="78">
        <v>26.005656438000003</v>
      </c>
      <c r="D138" s="79">
        <v>1</v>
      </c>
    </row>
    <row r="139" spans="1:4" hidden="1">
      <c r="A139" s="76" t="s">
        <v>950</v>
      </c>
      <c r="B139" s="77" t="s">
        <v>1132</v>
      </c>
      <c r="C139" s="78">
        <v>39.704776627999998</v>
      </c>
      <c r="D139" s="79">
        <v>1</v>
      </c>
    </row>
    <row r="140" spans="1:4" hidden="1">
      <c r="A140" s="76" t="s">
        <v>950</v>
      </c>
      <c r="B140" s="77" t="s">
        <v>1133</v>
      </c>
      <c r="C140" s="78">
        <v>5.6733684340000003</v>
      </c>
      <c r="D140" s="79">
        <v>0.99999998096369003</v>
      </c>
    </row>
    <row r="141" spans="1:4" hidden="1">
      <c r="A141" s="76" t="s">
        <v>950</v>
      </c>
      <c r="B141" s="77" t="s">
        <v>1134</v>
      </c>
      <c r="C141" s="78">
        <v>5.9590516449999997</v>
      </c>
      <c r="D141" s="79">
        <v>0.76743761196249882</v>
      </c>
    </row>
    <row r="142" spans="1:4" hidden="1">
      <c r="A142" s="76" t="s">
        <v>950</v>
      </c>
      <c r="B142" s="77" t="s">
        <v>1135</v>
      </c>
      <c r="C142" s="78">
        <v>14.397411213</v>
      </c>
      <c r="D142" s="79">
        <v>0.61311883590776761</v>
      </c>
    </row>
    <row r="143" spans="1:4" hidden="1">
      <c r="A143" s="76" t="s">
        <v>950</v>
      </c>
      <c r="B143" s="77" t="s">
        <v>1136</v>
      </c>
      <c r="C143" s="78">
        <v>9.1721054520000003</v>
      </c>
      <c r="D143" s="79">
        <v>0.81618187178251822</v>
      </c>
    </row>
    <row r="144" spans="1:4" hidden="1">
      <c r="A144" s="76" t="s">
        <v>950</v>
      </c>
      <c r="B144" s="77" t="s">
        <v>1137</v>
      </c>
      <c r="C144" s="78">
        <v>15.34952019</v>
      </c>
      <c r="D144" s="79">
        <v>0.55957564104158486</v>
      </c>
    </row>
    <row r="145" spans="1:15" hidden="1">
      <c r="A145" s="76" t="s">
        <v>950</v>
      </c>
      <c r="B145" s="77" t="s">
        <v>1138</v>
      </c>
      <c r="C145" s="78">
        <v>3.7426046999999998</v>
      </c>
      <c r="D145" s="79">
        <v>0.9625492034999048</v>
      </c>
    </row>
    <row r="146" spans="1:15" hidden="1">
      <c r="A146" s="76" t="s">
        <v>950</v>
      </c>
      <c r="B146" s="77" t="s">
        <v>1139</v>
      </c>
      <c r="C146" s="78">
        <v>3.552197</v>
      </c>
      <c r="D146" s="79">
        <v>0.96799826867710315</v>
      </c>
    </row>
    <row r="147" spans="1:15" hidden="1">
      <c r="A147" s="76" t="s">
        <v>950</v>
      </c>
      <c r="B147" s="77" t="s">
        <v>1140</v>
      </c>
      <c r="C147" s="78">
        <v>11.447799999999999</v>
      </c>
      <c r="D147" s="79">
        <v>0.96812974851063094</v>
      </c>
    </row>
    <row r="148" spans="1:15" hidden="1">
      <c r="A148" s="76" t="s">
        <v>950</v>
      </c>
      <c r="B148" s="77" t="s">
        <v>1141</v>
      </c>
      <c r="C148" s="78">
        <v>9.8125093999999997</v>
      </c>
      <c r="D148" s="79">
        <v>1.009285045882351</v>
      </c>
    </row>
    <row r="149" spans="1:15" hidden="1">
      <c r="A149" s="76" t="s">
        <v>950</v>
      </c>
      <c r="B149" s="77" t="s">
        <v>1142</v>
      </c>
      <c r="C149" s="78">
        <v>68.030000001999994</v>
      </c>
      <c r="D149" s="79">
        <v>0.80491681039820917</v>
      </c>
    </row>
    <row r="150" spans="1:15" hidden="1">
      <c r="A150" s="76" t="s">
        <v>950</v>
      </c>
      <c r="B150" s="77" t="s">
        <v>1143</v>
      </c>
      <c r="C150" s="78">
        <v>4.647423689</v>
      </c>
      <c r="D150" s="79">
        <v>1</v>
      </c>
    </row>
    <row r="151" spans="1:15">
      <c r="A151" s="76" t="s">
        <v>950</v>
      </c>
      <c r="B151" s="77" t="s">
        <v>1144</v>
      </c>
      <c r="C151" s="78">
        <v>44.827965063999997</v>
      </c>
      <c r="D151" s="79">
        <v>0.40588780425395576</v>
      </c>
    </row>
    <row r="152" spans="1:15">
      <c r="A152" s="76" t="s">
        <v>950</v>
      </c>
      <c r="B152" s="77" t="s">
        <v>1145</v>
      </c>
      <c r="C152" s="78">
        <v>10.1495929</v>
      </c>
      <c r="D152" s="79">
        <v>0.66152164014381298</v>
      </c>
    </row>
    <row r="153" spans="1:15">
      <c r="A153" s="76" t="s">
        <v>950</v>
      </c>
      <c r="B153" s="77" t="s">
        <v>1146</v>
      </c>
      <c r="C153" s="78">
        <v>0.52844647999999994</v>
      </c>
      <c r="D153" s="79">
        <v>1.0000377143206631</v>
      </c>
      <c r="G153" s="74" t="s">
        <v>904</v>
      </c>
      <c r="H153" s="74" t="s">
        <v>997</v>
      </c>
      <c r="I153" s="74" t="s">
        <v>998</v>
      </c>
      <c r="J153" s="75" t="s">
        <v>905</v>
      </c>
      <c r="L153" s="9" t="s">
        <v>904</v>
      </c>
      <c r="M153" s="9" t="s">
        <v>997</v>
      </c>
      <c r="N153" s="9" t="s">
        <v>998</v>
      </c>
      <c r="O153" s="86" t="s">
        <v>905</v>
      </c>
    </row>
    <row r="154" spans="1:15" hidden="1">
      <c r="A154" s="76" t="s">
        <v>950</v>
      </c>
      <c r="B154" s="77" t="s">
        <v>1147</v>
      </c>
      <c r="C154" s="78">
        <v>2.794328776</v>
      </c>
      <c r="D154" s="79">
        <v>1.04421655571141</v>
      </c>
      <c r="G154" s="10" t="s">
        <v>952</v>
      </c>
      <c r="H154" s="77" t="s">
        <v>1167</v>
      </c>
      <c r="I154" s="78">
        <v>7.4449905320000003</v>
      </c>
      <c r="J154" s="79">
        <v>1</v>
      </c>
      <c r="L154" s="4" t="s">
        <v>1260</v>
      </c>
      <c r="M154" s="10" t="s">
        <v>1261</v>
      </c>
      <c r="N154" s="12">
        <v>28.955539629</v>
      </c>
      <c r="O154" s="48">
        <v>0.96133076332383072</v>
      </c>
    </row>
    <row r="155" spans="1:15" hidden="1">
      <c r="A155" s="76" t="s">
        <v>950</v>
      </c>
      <c r="B155" s="77" t="s">
        <v>1148</v>
      </c>
      <c r="C155" s="78">
        <v>1.158895649</v>
      </c>
      <c r="D155" s="79">
        <v>1</v>
      </c>
      <c r="G155" s="10" t="s">
        <v>952</v>
      </c>
      <c r="H155" s="77" t="s">
        <v>1168</v>
      </c>
      <c r="I155" s="78">
        <v>3.5380834999999999</v>
      </c>
      <c r="J155" s="79">
        <v>1</v>
      </c>
      <c r="L155" s="4" t="s">
        <v>1260</v>
      </c>
      <c r="M155" s="10" t="s">
        <v>1262</v>
      </c>
      <c r="N155" s="12">
        <v>31.809344437999997</v>
      </c>
      <c r="O155" s="48">
        <v>0.93828741114655234</v>
      </c>
    </row>
    <row r="156" spans="1:15" hidden="1">
      <c r="A156" s="76" t="s">
        <v>950</v>
      </c>
      <c r="B156" s="77" t="s">
        <v>1149</v>
      </c>
      <c r="C156" s="78">
        <v>1.78</v>
      </c>
      <c r="D156" s="79">
        <v>1.1121781095505618</v>
      </c>
      <c r="G156" s="10" t="s">
        <v>952</v>
      </c>
      <c r="H156" s="77" t="s">
        <v>1169</v>
      </c>
      <c r="I156" s="78">
        <v>101.5159096</v>
      </c>
      <c r="J156" s="79">
        <v>0.81202477016469543</v>
      </c>
      <c r="L156" s="4" t="s">
        <v>1260</v>
      </c>
      <c r="M156" s="10" t="s">
        <v>1263</v>
      </c>
      <c r="N156" s="12">
        <v>29.691650738</v>
      </c>
      <c r="O156" s="48">
        <v>0.96253157112022081</v>
      </c>
    </row>
    <row r="157" spans="1:15" hidden="1">
      <c r="A157" s="76" t="s">
        <v>950</v>
      </c>
      <c r="B157" s="77" t="s">
        <v>1150</v>
      </c>
      <c r="C157" s="78">
        <v>0.42775158899999999</v>
      </c>
      <c r="D157" s="79">
        <v>0.99916007325457301</v>
      </c>
      <c r="G157" s="10" t="s">
        <v>952</v>
      </c>
      <c r="H157" s="77" t="s">
        <v>1170</v>
      </c>
      <c r="I157" s="78">
        <v>12.507340874</v>
      </c>
      <c r="J157" s="79">
        <v>1</v>
      </c>
      <c r="L157" s="4" t="s">
        <v>1260</v>
      </c>
      <c r="M157" s="10" t="s">
        <v>1264</v>
      </c>
      <c r="N157" s="12">
        <v>31.660673092000003</v>
      </c>
      <c r="O157" s="48">
        <v>0.96176663858400813</v>
      </c>
    </row>
    <row r="158" spans="1:15" hidden="1">
      <c r="A158" s="76" t="s">
        <v>950</v>
      </c>
      <c r="B158" s="77" t="s">
        <v>1151</v>
      </c>
      <c r="C158" s="78">
        <v>0.76745609999999997</v>
      </c>
      <c r="D158" s="79">
        <v>0.99710969005262962</v>
      </c>
      <c r="G158" s="10" t="s">
        <v>952</v>
      </c>
      <c r="H158" s="77" t="s">
        <v>1171</v>
      </c>
      <c r="I158" s="78">
        <v>11.000017740000001</v>
      </c>
      <c r="J158" s="79">
        <v>0.71656326628796863</v>
      </c>
      <c r="L158" s="4" t="s">
        <v>1260</v>
      </c>
      <c r="M158" s="10" t="s">
        <v>1265</v>
      </c>
      <c r="N158" s="12">
        <v>28.363124102</v>
      </c>
      <c r="O158" s="48">
        <v>0.95320833536435379</v>
      </c>
    </row>
    <row r="159" spans="1:15" hidden="1">
      <c r="A159" s="76" t="s">
        <v>950</v>
      </c>
      <c r="B159" s="77" t="s">
        <v>1152</v>
      </c>
      <c r="C159" s="78">
        <v>0.64466430000000008</v>
      </c>
      <c r="D159" s="79">
        <v>1.0000740897239075</v>
      </c>
      <c r="G159" s="10" t="s">
        <v>952</v>
      </c>
      <c r="H159" s="77" t="s">
        <v>1172</v>
      </c>
      <c r="I159" s="78">
        <v>19.9604441</v>
      </c>
      <c r="J159" s="79">
        <v>0.40878277056971896</v>
      </c>
      <c r="L159" s="4" t="s">
        <v>1260</v>
      </c>
      <c r="M159" s="10" t="s">
        <v>1266</v>
      </c>
      <c r="N159" s="12">
        <v>28.651831037000001</v>
      </c>
      <c r="O159" s="48">
        <v>0.94593891266496233</v>
      </c>
    </row>
    <row r="160" spans="1:15" hidden="1">
      <c r="A160" s="76" t="s">
        <v>950</v>
      </c>
      <c r="B160" s="77" t="s">
        <v>1153</v>
      </c>
      <c r="C160" s="78">
        <v>0.43189999999999995</v>
      </c>
      <c r="D160" s="79">
        <v>0.97311550590414453</v>
      </c>
      <c r="G160" s="10" t="s">
        <v>952</v>
      </c>
      <c r="H160" s="77" t="s">
        <v>1173</v>
      </c>
      <c r="I160" s="78">
        <v>40.907184375</v>
      </c>
      <c r="J160" s="79">
        <v>0.24417266858151979</v>
      </c>
      <c r="L160" s="4" t="s">
        <v>1260</v>
      </c>
      <c r="M160" s="10" t="s">
        <v>1267</v>
      </c>
      <c r="N160" s="12">
        <v>31.955711087000001</v>
      </c>
      <c r="O160" s="48">
        <v>0.93825819592533977</v>
      </c>
    </row>
    <row r="161" spans="1:15" hidden="1">
      <c r="A161" s="76" t="s">
        <v>950</v>
      </c>
      <c r="B161" s="77" t="s">
        <v>1154</v>
      </c>
      <c r="C161" s="78">
        <v>3.0840453000000001</v>
      </c>
      <c r="D161" s="79">
        <v>0.95784758511815637</v>
      </c>
      <c r="G161" s="10" t="s">
        <v>952</v>
      </c>
      <c r="H161" s="77" t="s">
        <v>1174</v>
      </c>
      <c r="I161" s="78">
        <v>11.474481969999999</v>
      </c>
      <c r="J161" s="79">
        <v>1</v>
      </c>
      <c r="L161" s="4" t="s">
        <v>1260</v>
      </c>
      <c r="M161" s="10" t="s">
        <v>1268</v>
      </c>
      <c r="N161" s="12">
        <v>28.285742724000002</v>
      </c>
      <c r="O161" s="48">
        <v>0.95214112380894322</v>
      </c>
    </row>
    <row r="162" spans="1:15" hidden="1">
      <c r="A162" s="76" t="s">
        <v>950</v>
      </c>
      <c r="B162" s="77" t="s">
        <v>1155</v>
      </c>
      <c r="C162" s="78">
        <v>3.2673330829999996</v>
      </c>
      <c r="D162" s="79">
        <v>1</v>
      </c>
      <c r="G162" s="10" t="s">
        <v>952</v>
      </c>
      <c r="H162" s="77" t="s">
        <v>1175</v>
      </c>
      <c r="I162" s="78">
        <v>272.66288837899998</v>
      </c>
      <c r="J162" s="79">
        <v>0.42930023725229233</v>
      </c>
      <c r="L162" s="4" t="s">
        <v>1260</v>
      </c>
      <c r="M162" s="10" t="s">
        <v>1269</v>
      </c>
      <c r="N162" s="12">
        <v>29.827688985999998</v>
      </c>
      <c r="O162" s="48">
        <v>0.95413911937186791</v>
      </c>
    </row>
    <row r="163" spans="1:15" hidden="1">
      <c r="A163" s="76" t="s">
        <v>950</v>
      </c>
      <c r="B163" s="77" t="s">
        <v>1148</v>
      </c>
      <c r="C163" s="78">
        <v>1.158895649</v>
      </c>
      <c r="D163" s="79">
        <v>1</v>
      </c>
      <c r="G163" s="10" t="s">
        <v>952</v>
      </c>
      <c r="H163" s="77" t="s">
        <v>1176</v>
      </c>
      <c r="I163" s="78">
        <v>267.6500001</v>
      </c>
      <c r="J163" s="79">
        <v>0.21716436731284725</v>
      </c>
      <c r="L163" s="4" t="s">
        <v>1260</v>
      </c>
      <c r="M163" s="10" t="s">
        <v>1270</v>
      </c>
      <c r="N163" s="12">
        <v>105.62609420000001</v>
      </c>
      <c r="O163" s="48">
        <v>0.91674127997814392</v>
      </c>
    </row>
    <row r="164" spans="1:15" hidden="1">
      <c r="A164" s="76" t="s">
        <v>950</v>
      </c>
      <c r="B164" s="77" t="s">
        <v>1149</v>
      </c>
      <c r="C164" s="78">
        <v>1.78</v>
      </c>
      <c r="D164" s="79">
        <v>1.1121781095505618</v>
      </c>
      <c r="G164" s="10" t="s">
        <v>952</v>
      </c>
      <c r="H164" s="77" t="s">
        <v>1177</v>
      </c>
      <c r="I164" s="78">
        <v>166.34546484800001</v>
      </c>
      <c r="J164" s="79">
        <v>0.87544147573284969</v>
      </c>
      <c r="L164" s="4" t="s">
        <v>1260</v>
      </c>
      <c r="M164" s="10" t="s">
        <v>1271</v>
      </c>
      <c r="N164" s="12">
        <v>195.19968044500001</v>
      </c>
      <c r="O164" s="48">
        <v>0.8855121903578278</v>
      </c>
    </row>
    <row r="165" spans="1:15" hidden="1">
      <c r="A165" s="76" t="s">
        <v>950</v>
      </c>
      <c r="B165" s="77" t="s">
        <v>1156</v>
      </c>
      <c r="C165" s="78">
        <v>5.6340043</v>
      </c>
      <c r="D165" s="79">
        <v>0.98869580468726292</v>
      </c>
      <c r="G165" s="10" t="s">
        <v>952</v>
      </c>
      <c r="H165" s="77" t="s">
        <v>1178</v>
      </c>
      <c r="I165" s="78">
        <v>267.37785816799999</v>
      </c>
      <c r="J165" s="79">
        <v>0.43483291494521609</v>
      </c>
      <c r="L165" s="4" t="s">
        <v>1260</v>
      </c>
      <c r="M165" s="10" t="s">
        <v>1272</v>
      </c>
      <c r="N165" s="12">
        <v>34.157077018000003</v>
      </c>
      <c r="O165" s="48">
        <v>1.0030630465231221</v>
      </c>
    </row>
    <row r="166" spans="1:15" hidden="1">
      <c r="A166" s="76" t="s">
        <v>950</v>
      </c>
      <c r="B166" s="77" t="s">
        <v>1157</v>
      </c>
      <c r="C166" s="78">
        <v>9.0521254710000001</v>
      </c>
      <c r="D166" s="79">
        <v>0.97704710096367597</v>
      </c>
      <c r="G166" s="10" t="s">
        <v>952</v>
      </c>
      <c r="H166" s="77" t="s">
        <v>1179</v>
      </c>
      <c r="I166" s="78">
        <v>22</v>
      </c>
      <c r="J166" s="79">
        <v>1.1968397272727274E-3</v>
      </c>
      <c r="L166" s="4" t="s">
        <v>1260</v>
      </c>
      <c r="M166" s="10" t="s">
        <v>1273</v>
      </c>
      <c r="N166" s="12">
        <v>4.152493003</v>
      </c>
      <c r="O166" s="48">
        <v>0.83117202256728284</v>
      </c>
    </row>
    <row r="167" spans="1:15" hidden="1">
      <c r="A167" s="76" t="s">
        <v>950</v>
      </c>
      <c r="B167" s="77" t="s">
        <v>1153</v>
      </c>
      <c r="C167" s="78">
        <v>0.43189999999999995</v>
      </c>
      <c r="D167" s="79">
        <v>0.97311550590414453</v>
      </c>
      <c r="G167" s="10" t="s">
        <v>952</v>
      </c>
      <c r="H167" s="77" t="s">
        <v>1180</v>
      </c>
      <c r="I167" s="78">
        <v>256.80802672099998</v>
      </c>
      <c r="J167" s="79">
        <v>1</v>
      </c>
      <c r="L167" s="4" t="s">
        <v>1260</v>
      </c>
      <c r="M167" s="10" t="s">
        <v>1274</v>
      </c>
      <c r="N167" s="12">
        <v>5.8278250219999999</v>
      </c>
      <c r="O167" s="48">
        <v>0.80621237447303717</v>
      </c>
    </row>
    <row r="168" spans="1:15" hidden="1">
      <c r="A168" s="76" t="s">
        <v>950</v>
      </c>
      <c r="B168" s="77" t="s">
        <v>1158</v>
      </c>
      <c r="C168" s="78">
        <v>32.4</v>
      </c>
      <c r="D168" s="79">
        <v>0.96533937638888878</v>
      </c>
      <c r="G168" s="10" t="s">
        <v>952</v>
      </c>
      <c r="H168" s="77" t="s">
        <v>1181</v>
      </c>
      <c r="I168" s="78">
        <v>111.2771942</v>
      </c>
      <c r="J168" s="79">
        <v>1</v>
      </c>
      <c r="L168" s="4" t="s">
        <v>1260</v>
      </c>
      <c r="M168" s="10" t="s">
        <v>1275</v>
      </c>
      <c r="N168" s="12">
        <v>8.8692649550000002</v>
      </c>
      <c r="O168" s="48">
        <v>0.66800301987370281</v>
      </c>
    </row>
    <row r="169" spans="1:15" hidden="1">
      <c r="A169" s="76" t="s">
        <v>950</v>
      </c>
      <c r="B169" s="77" t="s">
        <v>1159</v>
      </c>
      <c r="C169" s="78">
        <v>14.210923001999999</v>
      </c>
      <c r="D169" s="79">
        <v>0.85700561218198057</v>
      </c>
      <c r="G169" s="10" t="s">
        <v>952</v>
      </c>
      <c r="H169" s="77" t="s">
        <v>1182</v>
      </c>
      <c r="I169" s="78">
        <v>163.39619619199999</v>
      </c>
      <c r="J169" s="79">
        <v>1.0000324036123447</v>
      </c>
      <c r="L169" s="4" t="s">
        <v>1260</v>
      </c>
      <c r="M169" s="10" t="s">
        <v>1276</v>
      </c>
      <c r="N169" s="12">
        <v>3.8299908060000001</v>
      </c>
      <c r="O169" s="48">
        <v>1.0524786633130105</v>
      </c>
    </row>
    <row r="170" spans="1:15" hidden="1">
      <c r="A170" s="76" t="s">
        <v>950</v>
      </c>
      <c r="B170" s="77" t="s">
        <v>1160</v>
      </c>
      <c r="C170" s="78">
        <v>6.3691081919999997</v>
      </c>
      <c r="D170" s="79">
        <v>1</v>
      </c>
      <c r="G170" s="10" t="s">
        <v>952</v>
      </c>
      <c r="H170" s="77" t="s">
        <v>1183</v>
      </c>
      <c r="I170" s="78">
        <v>158.22659698800001</v>
      </c>
      <c r="J170" s="79">
        <v>0.65489665540780584</v>
      </c>
      <c r="L170" s="4" t="s">
        <v>1260</v>
      </c>
      <c r="M170" s="10" t="s">
        <v>1277</v>
      </c>
      <c r="N170" s="12">
        <v>6.8027731100000004</v>
      </c>
      <c r="O170" s="48">
        <v>0.88746710280919539</v>
      </c>
    </row>
    <row r="171" spans="1:15" hidden="1">
      <c r="A171" s="76" t="s">
        <v>950</v>
      </c>
      <c r="B171" s="77" t="s">
        <v>1161</v>
      </c>
      <c r="C171" s="78">
        <v>6.8988219600000003</v>
      </c>
      <c r="D171" s="79">
        <v>1</v>
      </c>
      <c r="G171" s="10" t="s">
        <v>952</v>
      </c>
      <c r="H171" s="77" t="s">
        <v>1184</v>
      </c>
      <c r="I171" s="78">
        <v>48.545248000000001</v>
      </c>
      <c r="J171" s="79">
        <v>0.42888866599260134</v>
      </c>
      <c r="L171" s="4" t="s">
        <v>1260</v>
      </c>
      <c r="M171" s="10" t="s">
        <v>1278</v>
      </c>
      <c r="N171" s="12">
        <v>0.9254057229999999</v>
      </c>
      <c r="O171" s="48">
        <v>0.15527654025541401</v>
      </c>
    </row>
    <row r="172" spans="1:15" hidden="1">
      <c r="A172" s="76" t="s">
        <v>950</v>
      </c>
      <c r="B172" s="77" t="s">
        <v>1162</v>
      </c>
      <c r="C172" s="78">
        <v>12.754483866000001</v>
      </c>
      <c r="D172" s="79">
        <v>1</v>
      </c>
      <c r="G172" s="10" t="s">
        <v>952</v>
      </c>
      <c r="H172" s="77" t="s">
        <v>1185</v>
      </c>
      <c r="I172" s="78">
        <v>31.01780625</v>
      </c>
      <c r="J172" s="79">
        <v>1</v>
      </c>
      <c r="L172" s="4" t="s">
        <v>1260</v>
      </c>
      <c r="M172" s="10" t="s">
        <v>1279</v>
      </c>
      <c r="N172" s="12">
        <v>4.1086892519999996</v>
      </c>
      <c r="O172" s="48">
        <v>0.98644025975610583</v>
      </c>
    </row>
    <row r="173" spans="1:15" hidden="1">
      <c r="A173" s="76" t="s">
        <v>950</v>
      </c>
      <c r="B173" s="77" t="s">
        <v>1163</v>
      </c>
      <c r="C173" s="78">
        <v>18.499621858999998</v>
      </c>
      <c r="D173" s="79">
        <v>0.90597743720076118</v>
      </c>
      <c r="G173" s="10" t="s">
        <v>952</v>
      </c>
      <c r="H173" s="77" t="s">
        <v>1186</v>
      </c>
      <c r="I173" s="78">
        <v>12.422436199</v>
      </c>
      <c r="J173" s="79">
        <v>1</v>
      </c>
      <c r="L173" s="4" t="s">
        <v>1260</v>
      </c>
      <c r="M173" s="10" t="s">
        <v>1280</v>
      </c>
      <c r="N173" s="12">
        <v>6.06108431</v>
      </c>
      <c r="O173" s="48">
        <v>1.1032516330398974</v>
      </c>
    </row>
    <row r="174" spans="1:15" hidden="1">
      <c r="A174" s="76" t="s">
        <v>950</v>
      </c>
      <c r="B174" s="77" t="s">
        <v>1164</v>
      </c>
      <c r="C174" s="78">
        <v>29.859999999000003</v>
      </c>
      <c r="D174" s="79">
        <v>0.64806644858164986</v>
      </c>
      <c r="G174" s="10" t="s">
        <v>952</v>
      </c>
      <c r="H174" s="77" t="s">
        <v>1187</v>
      </c>
      <c r="I174" s="78">
        <v>167.532802549</v>
      </c>
      <c r="J174" s="79">
        <v>0.65925896908276393</v>
      </c>
      <c r="L174" s="4" t="s">
        <v>1260</v>
      </c>
      <c r="M174" s="10" t="s">
        <v>1281</v>
      </c>
      <c r="N174" s="12">
        <v>16.476708326999997</v>
      </c>
      <c r="O174" s="48">
        <v>0.7774066013543508</v>
      </c>
    </row>
    <row r="175" spans="1:15" hidden="1">
      <c r="A175" s="76" t="s">
        <v>950</v>
      </c>
      <c r="B175" s="77" t="s">
        <v>1165</v>
      </c>
      <c r="C175" s="78">
        <v>14.9067173</v>
      </c>
      <c r="D175" s="79">
        <v>1</v>
      </c>
      <c r="G175" s="10" t="s">
        <v>952</v>
      </c>
      <c r="H175" s="77" t="s">
        <v>1188</v>
      </c>
      <c r="I175" s="78">
        <v>5.2433695069999997</v>
      </c>
      <c r="J175" s="79">
        <v>1</v>
      </c>
      <c r="L175" s="4" t="s">
        <v>1260</v>
      </c>
      <c r="M175" s="10" t="s">
        <v>1282</v>
      </c>
      <c r="N175" s="12">
        <v>26.110598175</v>
      </c>
      <c r="O175" s="48">
        <v>1.0493998080149307</v>
      </c>
    </row>
    <row r="176" spans="1:15" hidden="1">
      <c r="A176" s="76" t="s">
        <v>950</v>
      </c>
      <c r="B176" s="77" t="s">
        <v>1166</v>
      </c>
      <c r="C176" s="78">
        <v>24.587887519000002</v>
      </c>
      <c r="D176" s="79">
        <v>0.98442292564971123</v>
      </c>
      <c r="G176" s="10" t="s">
        <v>952</v>
      </c>
      <c r="H176" s="77" t="s">
        <v>1189</v>
      </c>
      <c r="I176" s="78">
        <v>5.1711809200000003</v>
      </c>
      <c r="J176" s="79">
        <v>1</v>
      </c>
      <c r="L176" s="4" t="s">
        <v>1260</v>
      </c>
      <c r="M176" s="10" t="s">
        <v>1283</v>
      </c>
      <c r="N176" s="12">
        <v>12.538264602</v>
      </c>
      <c r="O176" s="48">
        <v>1.0640216893230947</v>
      </c>
    </row>
    <row r="177" spans="7:15" hidden="1">
      <c r="G177" s="10" t="s">
        <v>1190</v>
      </c>
      <c r="H177" s="77" t="s">
        <v>1191</v>
      </c>
      <c r="I177" s="78">
        <v>43.511299999999999</v>
      </c>
      <c r="J177" s="79">
        <v>0.9389746801865263</v>
      </c>
      <c r="L177" s="4" t="s">
        <v>1260</v>
      </c>
      <c r="M177" s="10" t="s">
        <v>1284</v>
      </c>
      <c r="N177" s="12">
        <v>18.333434728</v>
      </c>
      <c r="O177" s="48">
        <v>0.91280867934917609</v>
      </c>
    </row>
    <row r="178" spans="7:15" hidden="1">
      <c r="G178" s="10" t="s">
        <v>1190</v>
      </c>
      <c r="H178" s="77" t="s">
        <v>1192</v>
      </c>
      <c r="I178" s="78">
        <v>40.074255344000001</v>
      </c>
      <c r="J178" s="79">
        <v>1</v>
      </c>
      <c r="L178" s="4" t="s">
        <v>1260</v>
      </c>
      <c r="M178" s="10" t="s">
        <v>1285</v>
      </c>
      <c r="N178" s="12">
        <v>1.5164245729999999</v>
      </c>
      <c r="O178" s="48">
        <v>0.69932500295878552</v>
      </c>
    </row>
    <row r="179" spans="7:15" hidden="1">
      <c r="G179" s="10" t="s">
        <v>1190</v>
      </c>
      <c r="H179" s="77" t="s">
        <v>1193</v>
      </c>
      <c r="I179" s="78">
        <v>95.189590683000006</v>
      </c>
      <c r="J179" s="79">
        <v>0.6878296517845317</v>
      </c>
      <c r="L179" s="4" t="s">
        <v>1260</v>
      </c>
      <c r="M179" s="10" t="s">
        <v>1286</v>
      </c>
      <c r="N179" s="12">
        <v>15.871114962</v>
      </c>
      <c r="O179" s="48">
        <v>1.0794181218533097</v>
      </c>
    </row>
    <row r="180" spans="7:15" hidden="1">
      <c r="G180" s="10" t="s">
        <v>952</v>
      </c>
      <c r="H180" s="77" t="s">
        <v>1194</v>
      </c>
      <c r="I180" s="78">
        <v>6.0485312330000003</v>
      </c>
      <c r="J180" s="79">
        <v>1</v>
      </c>
      <c r="L180" s="4" t="s">
        <v>1260</v>
      </c>
      <c r="M180" s="10" t="s">
        <v>1287</v>
      </c>
      <c r="N180" s="12">
        <v>13.343080175000001</v>
      </c>
      <c r="O180" s="48">
        <v>0.38877940347832768</v>
      </c>
    </row>
    <row r="181" spans="7:15" hidden="1">
      <c r="G181" s="10" t="s">
        <v>952</v>
      </c>
      <c r="H181" s="77" t="s">
        <v>1195</v>
      </c>
      <c r="I181" s="78">
        <v>89.902566100000001</v>
      </c>
      <c r="J181" s="79">
        <v>0.99999999948833496</v>
      </c>
      <c r="L181" s="4" t="s">
        <v>1260</v>
      </c>
      <c r="M181" s="10" t="s">
        <v>1288</v>
      </c>
      <c r="N181" s="12">
        <v>1.353429969</v>
      </c>
      <c r="O181" s="48">
        <v>0.75069519019938291</v>
      </c>
    </row>
    <row r="182" spans="7:15" hidden="1">
      <c r="G182" s="10" t="s">
        <v>952</v>
      </c>
      <c r="H182" s="77" t="s">
        <v>1196</v>
      </c>
      <c r="I182" s="78">
        <v>104.227000553</v>
      </c>
      <c r="J182" s="79">
        <v>1</v>
      </c>
      <c r="L182" s="4" t="s">
        <v>1260</v>
      </c>
      <c r="M182" s="10" t="s">
        <v>1289</v>
      </c>
      <c r="N182" s="12">
        <v>1.771444923</v>
      </c>
      <c r="O182" s="48">
        <v>0.76672413483780677</v>
      </c>
    </row>
    <row r="183" spans="7:15" hidden="1">
      <c r="G183" s="10" t="s">
        <v>952</v>
      </c>
      <c r="H183" s="77" t="s">
        <v>1197</v>
      </c>
      <c r="I183" s="78">
        <v>89.555176082000003</v>
      </c>
      <c r="J183" s="79">
        <v>0.43236255336649965</v>
      </c>
      <c r="L183" s="4" t="s">
        <v>1260</v>
      </c>
      <c r="M183" s="10" t="s">
        <v>1290</v>
      </c>
      <c r="N183" s="12">
        <v>2.2330940350000001</v>
      </c>
      <c r="O183" s="48">
        <v>0.75013366152312522</v>
      </c>
    </row>
    <row r="184" spans="7:15" hidden="1">
      <c r="G184" s="10" t="s">
        <v>952</v>
      </c>
      <c r="H184" s="77" t="s">
        <v>1198</v>
      </c>
      <c r="I184" s="78">
        <v>17.818948892999998</v>
      </c>
      <c r="J184" s="79">
        <v>1</v>
      </c>
      <c r="L184" s="4" t="s">
        <v>1260</v>
      </c>
      <c r="M184" s="10" t="s">
        <v>1291</v>
      </c>
      <c r="N184" s="12">
        <v>1.5979911430000002</v>
      </c>
      <c r="O184" s="48">
        <v>0.79107525629132969</v>
      </c>
    </row>
    <row r="185" spans="7:15" hidden="1">
      <c r="G185" s="10" t="s">
        <v>952</v>
      </c>
      <c r="H185" s="77" t="s">
        <v>1199</v>
      </c>
      <c r="I185" s="78">
        <v>44.497935888000001</v>
      </c>
      <c r="J185" s="79">
        <v>0.43194088308674311</v>
      </c>
      <c r="L185" s="4" t="s">
        <v>1260</v>
      </c>
      <c r="M185" s="10" t="s">
        <v>1292</v>
      </c>
      <c r="N185" s="12">
        <v>2.2144434959999999</v>
      </c>
      <c r="O185" s="48">
        <v>0.95846692174980641</v>
      </c>
    </row>
    <row r="186" spans="7:15" hidden="1">
      <c r="G186" s="10" t="s">
        <v>952</v>
      </c>
      <c r="H186" s="77" t="s">
        <v>1200</v>
      </c>
      <c r="I186" s="78">
        <v>12.280390877</v>
      </c>
      <c r="J186" s="79">
        <v>1</v>
      </c>
      <c r="L186" s="4" t="s">
        <v>1260</v>
      </c>
      <c r="M186" s="10" t="s">
        <v>1293</v>
      </c>
      <c r="N186" s="12">
        <v>0.37198090100000003</v>
      </c>
      <c r="O186" s="48">
        <v>0.71359313418083248</v>
      </c>
    </row>
    <row r="187" spans="7:15" hidden="1">
      <c r="G187" s="10" t="s">
        <v>952</v>
      </c>
      <c r="H187" s="77" t="s">
        <v>1201</v>
      </c>
      <c r="I187" s="78">
        <v>28.554728933</v>
      </c>
      <c r="J187" s="79">
        <v>1</v>
      </c>
      <c r="L187" s="4" t="s">
        <v>1260</v>
      </c>
      <c r="M187" s="10" t="s">
        <v>1294</v>
      </c>
      <c r="N187" s="12">
        <v>1.5723410069999999</v>
      </c>
      <c r="O187" s="48">
        <v>0.57249083563461367</v>
      </c>
    </row>
    <row r="188" spans="7:15" hidden="1">
      <c r="G188" s="10" t="s">
        <v>952</v>
      </c>
      <c r="H188" s="77" t="s">
        <v>1202</v>
      </c>
      <c r="I188" s="78">
        <v>13.178930264999998</v>
      </c>
      <c r="J188" s="79">
        <v>1</v>
      </c>
      <c r="L188" s="4" t="s">
        <v>1260</v>
      </c>
      <c r="M188" s="10" t="s">
        <v>1295</v>
      </c>
      <c r="N188" s="12">
        <v>1.873967022</v>
      </c>
      <c r="O188" s="48">
        <v>0.59524108850619895</v>
      </c>
    </row>
    <row r="189" spans="7:15" hidden="1">
      <c r="G189" s="10" t="s">
        <v>952</v>
      </c>
      <c r="H189" s="77" t="s">
        <v>1203</v>
      </c>
      <c r="I189" s="78">
        <v>21.314924928</v>
      </c>
      <c r="J189" s="79">
        <v>0.60095433121480435</v>
      </c>
      <c r="L189" s="4" t="s">
        <v>1260</v>
      </c>
      <c r="M189" s="10" t="s">
        <v>1296</v>
      </c>
      <c r="N189" s="12">
        <v>2.0734763869999999</v>
      </c>
      <c r="O189" s="48">
        <v>0.93693749259947567</v>
      </c>
    </row>
    <row r="190" spans="7:15" hidden="1">
      <c r="G190" s="10" t="s">
        <v>952</v>
      </c>
      <c r="H190" s="77" t="s">
        <v>1204</v>
      </c>
      <c r="I190" s="78">
        <v>23.788630962999999</v>
      </c>
      <c r="J190" s="79">
        <v>0.75686006319589483</v>
      </c>
      <c r="L190" s="4" t="s">
        <v>1260</v>
      </c>
      <c r="M190" s="10" t="s">
        <v>1297</v>
      </c>
      <c r="N190" s="12">
        <v>1.7780283189999999</v>
      </c>
      <c r="O190" s="48">
        <v>0.52818288829515547</v>
      </c>
    </row>
    <row r="191" spans="7:15" hidden="1">
      <c r="G191" s="10" t="s">
        <v>952</v>
      </c>
      <c r="H191" s="77" t="s">
        <v>1205</v>
      </c>
      <c r="I191" s="78">
        <v>24.4999392</v>
      </c>
      <c r="J191" s="79">
        <v>0.38201943166454883</v>
      </c>
      <c r="L191" s="4" t="s">
        <v>1260</v>
      </c>
      <c r="M191" s="10" t="s">
        <v>1298</v>
      </c>
      <c r="N191" s="12">
        <v>2.1594636019999998</v>
      </c>
      <c r="O191" s="48">
        <v>0.5853500303636977</v>
      </c>
    </row>
    <row r="192" spans="7:15" hidden="1">
      <c r="G192" s="10" t="s">
        <v>952</v>
      </c>
      <c r="H192" s="77" t="s">
        <v>1206</v>
      </c>
      <c r="I192" s="78">
        <v>21.900648649000001</v>
      </c>
      <c r="J192" s="79">
        <v>1</v>
      </c>
      <c r="L192" s="4" t="s">
        <v>1260</v>
      </c>
      <c r="M192" s="10" t="s">
        <v>1299</v>
      </c>
      <c r="N192" s="12">
        <v>0.90480392499999995</v>
      </c>
      <c r="O192" s="48">
        <v>6.7295879601760131E-2</v>
      </c>
    </row>
    <row r="193" spans="7:15" hidden="1">
      <c r="G193" s="10" t="s">
        <v>952</v>
      </c>
      <c r="H193" s="77" t="s">
        <v>1207</v>
      </c>
      <c r="I193" s="78">
        <v>31.645309400999999</v>
      </c>
      <c r="J193" s="79">
        <v>1</v>
      </c>
      <c r="L193" s="4" t="s">
        <v>1260</v>
      </c>
      <c r="M193" s="10" t="s">
        <v>1300</v>
      </c>
      <c r="N193" s="12">
        <v>2.6574216649999998</v>
      </c>
      <c r="O193" s="48">
        <v>1.016791119221947</v>
      </c>
    </row>
    <row r="194" spans="7:15" hidden="1">
      <c r="G194" s="10" t="s">
        <v>952</v>
      </c>
      <c r="H194" s="77" t="s">
        <v>1208</v>
      </c>
      <c r="I194" s="78">
        <v>28.618006303000001</v>
      </c>
      <c r="J194" s="79">
        <v>1</v>
      </c>
      <c r="L194" s="4" t="s">
        <v>1260</v>
      </c>
      <c r="M194" s="10" t="s">
        <v>1301</v>
      </c>
      <c r="N194" s="12">
        <v>1.493747267</v>
      </c>
      <c r="O194" s="48">
        <v>0.81242338165898054</v>
      </c>
    </row>
    <row r="195" spans="7:15" hidden="1">
      <c r="G195" s="10" t="s">
        <v>1190</v>
      </c>
      <c r="H195" s="77" t="s">
        <v>1209</v>
      </c>
      <c r="I195" s="78">
        <v>5</v>
      </c>
      <c r="J195" s="79">
        <v>0.81766134699999993</v>
      </c>
      <c r="L195" s="4" t="s">
        <v>1260</v>
      </c>
      <c r="M195" s="10" t="s">
        <v>1302</v>
      </c>
      <c r="N195" s="12">
        <v>3.0295092240000003</v>
      </c>
      <c r="O195" s="48">
        <v>0.98272294317992137</v>
      </c>
    </row>
    <row r="196" spans="7:15" hidden="1">
      <c r="G196" s="10" t="s">
        <v>1190</v>
      </c>
      <c r="H196" s="77" t="s">
        <v>1210</v>
      </c>
      <c r="I196" s="78">
        <v>63.796377769999999</v>
      </c>
      <c r="J196" s="79">
        <v>0.75055215552561616</v>
      </c>
      <c r="L196" s="4" t="s">
        <v>1260</v>
      </c>
      <c r="M196" s="10" t="s">
        <v>1303</v>
      </c>
      <c r="N196" s="12">
        <v>3.1267983020000001</v>
      </c>
      <c r="O196" s="48">
        <v>0.95552006155592428</v>
      </c>
    </row>
    <row r="197" spans="7:15" hidden="1">
      <c r="G197" s="10" t="s">
        <v>952</v>
      </c>
      <c r="H197" s="77" t="s">
        <v>1211</v>
      </c>
      <c r="I197" s="78">
        <v>51.367850752999999</v>
      </c>
      <c r="J197" s="79">
        <v>1</v>
      </c>
      <c r="L197" s="4" t="s">
        <v>1260</v>
      </c>
      <c r="M197" s="10" t="s">
        <v>1304</v>
      </c>
      <c r="N197" s="12">
        <v>1.6995230889999999</v>
      </c>
      <c r="O197" s="48">
        <v>0.8204363200622572</v>
      </c>
    </row>
    <row r="198" spans="7:15" hidden="1">
      <c r="G198" s="10" t="s">
        <v>952</v>
      </c>
      <c r="H198" s="77" t="s">
        <v>1212</v>
      </c>
      <c r="I198" s="78">
        <v>26.983990294999998</v>
      </c>
      <c r="J198" s="79">
        <v>1</v>
      </c>
      <c r="L198" s="4" t="s">
        <v>1260</v>
      </c>
      <c r="M198" s="10" t="s">
        <v>1305</v>
      </c>
      <c r="N198" s="12">
        <v>3.1565314899999999</v>
      </c>
      <c r="O198" s="48">
        <v>0.9521737861705919</v>
      </c>
    </row>
    <row r="199" spans="7:15" hidden="1">
      <c r="G199" s="10" t="s">
        <v>952</v>
      </c>
      <c r="H199" s="77" t="s">
        <v>1213</v>
      </c>
      <c r="I199" s="78">
        <v>13.288316334999999</v>
      </c>
      <c r="J199" s="79">
        <v>1.0002838366355009</v>
      </c>
      <c r="L199" s="4" t="s">
        <v>1260</v>
      </c>
      <c r="M199" s="10" t="s">
        <v>1306</v>
      </c>
      <c r="N199" s="12">
        <v>1.020230491</v>
      </c>
      <c r="O199" s="48">
        <v>0.91806468760008864</v>
      </c>
    </row>
    <row r="200" spans="7:15" hidden="1">
      <c r="G200" s="10" t="s">
        <v>952</v>
      </c>
      <c r="H200" s="77" t="s">
        <v>1214</v>
      </c>
      <c r="I200" s="78">
        <v>49.243833001000006</v>
      </c>
      <c r="J200" s="79">
        <v>1.0000803439285466</v>
      </c>
      <c r="L200" s="4" t="s">
        <v>1260</v>
      </c>
      <c r="M200" s="10" t="s">
        <v>1307</v>
      </c>
      <c r="N200" s="12">
        <v>0.20444327999999998</v>
      </c>
      <c r="O200" s="48">
        <v>0.38397481198697264</v>
      </c>
    </row>
    <row r="201" spans="7:15" hidden="1">
      <c r="G201" s="10" t="s">
        <v>952</v>
      </c>
      <c r="H201" s="77" t="s">
        <v>1215</v>
      </c>
      <c r="I201" s="78">
        <v>47.895094534999998</v>
      </c>
      <c r="J201" s="79">
        <v>1.0000227550652228</v>
      </c>
      <c r="L201" s="4" t="s">
        <v>1260</v>
      </c>
      <c r="M201" s="10" t="s">
        <v>1308</v>
      </c>
      <c r="N201" s="12">
        <v>0.110146963</v>
      </c>
      <c r="O201" s="48">
        <v>0.6997994306933365</v>
      </c>
    </row>
    <row r="202" spans="7:15" hidden="1">
      <c r="G202" s="10" t="s">
        <v>952</v>
      </c>
      <c r="H202" s="77" t="s">
        <v>1216</v>
      </c>
      <c r="I202" s="78">
        <v>28.930611098999996</v>
      </c>
      <c r="J202" s="79">
        <v>0.99997499136822499</v>
      </c>
      <c r="L202" s="4" t="s">
        <v>1260</v>
      </c>
      <c r="M202" s="10" t="s">
        <v>1309</v>
      </c>
      <c r="N202" s="12">
        <v>0.72938946900000001</v>
      </c>
      <c r="O202" s="48">
        <v>0.9316605543149129</v>
      </c>
    </row>
    <row r="203" spans="7:15">
      <c r="G203" s="10" t="s">
        <v>952</v>
      </c>
      <c r="H203" s="77" t="s">
        <v>1217</v>
      </c>
      <c r="I203" s="78">
        <v>26.334776144000003</v>
      </c>
      <c r="J203" s="79">
        <v>1.0000150060892046</v>
      </c>
      <c r="L203" s="4" t="s">
        <v>1260</v>
      </c>
      <c r="M203" s="10" t="s">
        <v>1310</v>
      </c>
      <c r="N203" s="12">
        <v>0.103190143</v>
      </c>
      <c r="O203" s="48">
        <v>0.14390354125199731</v>
      </c>
    </row>
    <row r="204" spans="7:15">
      <c r="G204" s="10" t="s">
        <v>952</v>
      </c>
      <c r="H204" s="77" t="s">
        <v>1218</v>
      </c>
      <c r="I204" s="78">
        <v>2.3656761980000001</v>
      </c>
      <c r="J204" s="79">
        <v>1</v>
      </c>
      <c r="L204" s="4" t="s">
        <v>1260</v>
      </c>
      <c r="M204" s="10" t="s">
        <v>1311</v>
      </c>
      <c r="N204" s="12">
        <v>0.113567743</v>
      </c>
      <c r="O204" s="48">
        <v>0.95635773971487659</v>
      </c>
    </row>
    <row r="205" spans="7:15">
      <c r="G205" s="10" t="s">
        <v>952</v>
      </c>
      <c r="H205" s="77" t="s">
        <v>1219</v>
      </c>
      <c r="I205" s="78">
        <v>0.93379850000000009</v>
      </c>
      <c r="J205" s="79">
        <v>1</v>
      </c>
      <c r="L205" s="4" t="s">
        <v>1260</v>
      </c>
      <c r="M205" s="10" t="s">
        <v>1312</v>
      </c>
      <c r="N205" s="12">
        <v>0.116074125</v>
      </c>
      <c r="O205" s="48">
        <v>0.84334383739700802</v>
      </c>
    </row>
    <row r="206" spans="7:15">
      <c r="G206" s="10" t="s">
        <v>952</v>
      </c>
      <c r="H206" s="77" t="s">
        <v>1220</v>
      </c>
      <c r="I206" s="78">
        <v>35.000000020000002</v>
      </c>
      <c r="J206" s="79">
        <v>0.47710171589879902</v>
      </c>
      <c r="L206" s="4" t="s">
        <v>1260</v>
      </c>
      <c r="M206" s="10" t="s">
        <v>1313</v>
      </c>
      <c r="N206" s="12">
        <v>0.144656855</v>
      </c>
      <c r="O206" s="48">
        <v>0.88167178112644584</v>
      </c>
    </row>
    <row r="207" spans="7:15">
      <c r="G207" s="10" t="s">
        <v>952</v>
      </c>
      <c r="H207" s="77" t="s">
        <v>1221</v>
      </c>
      <c r="I207" s="78">
        <v>21.844745458000002</v>
      </c>
      <c r="J207" s="79">
        <v>1</v>
      </c>
      <c r="L207" s="4" t="s">
        <v>1260</v>
      </c>
      <c r="M207" s="10" t="s">
        <v>1314</v>
      </c>
      <c r="N207" s="12">
        <v>0.121483139</v>
      </c>
      <c r="O207" s="48">
        <v>1.0375512852034554</v>
      </c>
    </row>
    <row r="208" spans="7:15">
      <c r="G208" s="10" t="s">
        <v>952</v>
      </c>
      <c r="H208" s="77" t="s">
        <v>1222</v>
      </c>
      <c r="I208" s="78">
        <v>25.093255396</v>
      </c>
      <c r="J208" s="79">
        <v>1</v>
      </c>
      <c r="L208" s="4" t="s">
        <v>1260</v>
      </c>
      <c r="M208" s="10" t="s">
        <v>1315</v>
      </c>
      <c r="N208" s="12">
        <v>0.13271355099999999</v>
      </c>
      <c r="O208" s="48">
        <v>0.79312205277364634</v>
      </c>
    </row>
    <row r="209" spans="7:15">
      <c r="G209" s="10" t="s">
        <v>952</v>
      </c>
      <c r="H209" s="77" t="s">
        <v>1223</v>
      </c>
      <c r="I209" s="78">
        <v>6.8561292319999998</v>
      </c>
      <c r="J209" s="79">
        <v>1.0003431904388584</v>
      </c>
      <c r="L209" s="4" t="s">
        <v>1260</v>
      </c>
      <c r="M209" s="10" t="s">
        <v>1316</v>
      </c>
      <c r="N209" s="12">
        <v>1.9467381999999998E-2</v>
      </c>
      <c r="O209" s="48">
        <v>1.0522335258022883</v>
      </c>
    </row>
    <row r="210" spans="7:15">
      <c r="G210" s="10" t="s">
        <v>952</v>
      </c>
      <c r="H210" s="77" t="s">
        <v>1224</v>
      </c>
      <c r="I210" s="78">
        <v>15.698670856000001</v>
      </c>
      <c r="J210" s="79">
        <v>1</v>
      </c>
      <c r="L210" s="4" t="s">
        <v>1260</v>
      </c>
      <c r="M210" s="10" t="s">
        <v>1317</v>
      </c>
      <c r="N210" s="12">
        <v>0.14927781800000001</v>
      </c>
      <c r="O210" s="48">
        <v>0.50218426960126117</v>
      </c>
    </row>
    <row r="211" spans="7:15">
      <c r="G211" s="10" t="s">
        <v>952</v>
      </c>
      <c r="H211" s="77" t="s">
        <v>1225</v>
      </c>
      <c r="I211" s="78">
        <v>11.866033766000001</v>
      </c>
      <c r="J211" s="79">
        <v>1</v>
      </c>
      <c r="L211" s="4" t="s">
        <v>1260</v>
      </c>
      <c r="M211" s="10" t="s">
        <v>1318</v>
      </c>
      <c r="N211" s="12">
        <v>9.7119000000000007E-3</v>
      </c>
      <c r="O211" s="48">
        <v>0</v>
      </c>
    </row>
    <row r="212" spans="7:15">
      <c r="G212" s="10" t="s">
        <v>952</v>
      </c>
      <c r="H212" s="77" t="s">
        <v>1226</v>
      </c>
      <c r="I212" s="78">
        <v>140.83917669799999</v>
      </c>
      <c r="J212" s="79">
        <v>0.66758246115432718</v>
      </c>
      <c r="L212" s="4" t="s">
        <v>1260</v>
      </c>
      <c r="M212" s="10" t="s">
        <v>1319</v>
      </c>
      <c r="N212" s="12">
        <v>9.5936299999999988E-2</v>
      </c>
      <c r="O212" s="48">
        <v>1.5767534395218494</v>
      </c>
    </row>
    <row r="213" spans="7:15">
      <c r="G213" s="10" t="s">
        <v>952</v>
      </c>
      <c r="H213" s="77" t="s">
        <v>1227</v>
      </c>
      <c r="I213" s="78">
        <v>9.65</v>
      </c>
      <c r="J213" s="79">
        <v>0.36882430746113987</v>
      </c>
      <c r="L213" s="4" t="s">
        <v>1260</v>
      </c>
      <c r="M213" s="10" t="s">
        <v>1320</v>
      </c>
      <c r="N213" s="12">
        <v>15.1407069</v>
      </c>
      <c r="O213" s="48">
        <v>1.6856154014182785</v>
      </c>
    </row>
    <row r="214" spans="7:15">
      <c r="G214" s="10" t="s">
        <v>1190</v>
      </c>
      <c r="H214" s="77" t="s">
        <v>1228</v>
      </c>
      <c r="I214" s="78">
        <v>40.138310930999999</v>
      </c>
      <c r="J214" s="79">
        <v>1</v>
      </c>
      <c r="L214" s="4" t="s">
        <v>1260</v>
      </c>
      <c r="M214" s="10" t="s">
        <v>1321</v>
      </c>
      <c r="N214" s="12">
        <v>8.953856451</v>
      </c>
      <c r="O214" s="48">
        <v>0.97467913035676612</v>
      </c>
    </row>
    <row r="215" spans="7:15">
      <c r="G215" s="10" t="s">
        <v>1190</v>
      </c>
      <c r="H215" s="77" t="s">
        <v>1229</v>
      </c>
      <c r="I215" s="78">
        <v>7.4090299789999996</v>
      </c>
      <c r="J215" s="79">
        <v>1</v>
      </c>
      <c r="L215" s="4" t="s">
        <v>1260</v>
      </c>
      <c r="M215" s="10" t="s">
        <v>1322</v>
      </c>
      <c r="N215" s="12">
        <v>6.6855767349999997</v>
      </c>
      <c r="O215" s="48">
        <v>1</v>
      </c>
    </row>
    <row r="216" spans="7:15">
      <c r="G216" s="10" t="s">
        <v>952</v>
      </c>
      <c r="H216" s="77" t="s">
        <v>1230</v>
      </c>
      <c r="I216" s="78">
        <v>20.3038609</v>
      </c>
      <c r="J216" s="79">
        <v>1</v>
      </c>
      <c r="L216" s="4" t="s">
        <v>1260</v>
      </c>
      <c r="M216" s="10" t="s">
        <v>1323</v>
      </c>
      <c r="N216" s="12">
        <v>6.135321501</v>
      </c>
      <c r="O216" s="48">
        <v>1</v>
      </c>
    </row>
    <row r="217" spans="7:15">
      <c r="G217" s="10" t="s">
        <v>952</v>
      </c>
      <c r="H217" s="77" t="s">
        <v>1231</v>
      </c>
      <c r="I217" s="78">
        <v>7.3930335579999999</v>
      </c>
      <c r="J217" s="79">
        <v>1</v>
      </c>
      <c r="L217" s="4" t="s">
        <v>1260</v>
      </c>
      <c r="M217" s="10" t="s">
        <v>1324</v>
      </c>
      <c r="N217" s="12">
        <v>13.976331454</v>
      </c>
      <c r="O217" s="48">
        <v>0.99999999899830638</v>
      </c>
    </row>
    <row r="218" spans="7:15">
      <c r="G218" s="10" t="s">
        <v>952</v>
      </c>
      <c r="H218" s="77" t="s">
        <v>772</v>
      </c>
      <c r="I218" s="78">
        <v>16.315608775000001</v>
      </c>
      <c r="J218" s="79">
        <v>0.53893904562565109</v>
      </c>
      <c r="L218" s="4" t="s">
        <v>1260</v>
      </c>
      <c r="M218" s="10" t="s">
        <v>1325</v>
      </c>
      <c r="N218" s="12">
        <v>20.296716</v>
      </c>
      <c r="O218" s="48">
        <v>1.0000000006404977</v>
      </c>
    </row>
    <row r="219" spans="7:15">
      <c r="G219" s="10" t="s">
        <v>952</v>
      </c>
      <c r="H219" s="77" t="s">
        <v>1232</v>
      </c>
      <c r="I219" s="78">
        <v>108.17612151900001</v>
      </c>
      <c r="J219" s="79">
        <v>0.63171063479103828</v>
      </c>
      <c r="L219" s="4" t="s">
        <v>1260</v>
      </c>
      <c r="M219" s="10" t="s">
        <v>1326</v>
      </c>
      <c r="N219" s="12">
        <v>116.373278587</v>
      </c>
      <c r="O219" s="48">
        <v>1</v>
      </c>
    </row>
    <row r="220" spans="7:15">
      <c r="G220" s="10" t="s">
        <v>952</v>
      </c>
      <c r="H220" s="77" t="s">
        <v>1233</v>
      </c>
      <c r="I220" s="78">
        <v>93.040578194999995</v>
      </c>
      <c r="J220" s="79">
        <v>0.52857921807973995</v>
      </c>
      <c r="L220" s="4" t="s">
        <v>1260</v>
      </c>
      <c r="M220" s="10" t="s">
        <v>1327</v>
      </c>
      <c r="N220" s="12">
        <v>134.52185113499999</v>
      </c>
      <c r="O220" s="48">
        <v>1.0000000002899159</v>
      </c>
    </row>
    <row r="221" spans="7:15">
      <c r="G221" s="10" t="s">
        <v>952</v>
      </c>
      <c r="H221" s="77" t="s">
        <v>1234</v>
      </c>
      <c r="I221" s="78">
        <v>7.6281799479999997</v>
      </c>
      <c r="J221" s="79">
        <v>1</v>
      </c>
      <c r="L221" s="4" t="s">
        <v>1260</v>
      </c>
      <c r="M221" s="10" t="s">
        <v>1328</v>
      </c>
      <c r="N221" s="12">
        <v>19.027794224000001</v>
      </c>
      <c r="O221" s="48">
        <v>0.99226494961699985</v>
      </c>
    </row>
    <row r="222" spans="7:15">
      <c r="G222" s="10" t="s">
        <v>952</v>
      </c>
      <c r="H222" s="77" t="s">
        <v>1235</v>
      </c>
      <c r="I222" s="78">
        <v>21.636423639</v>
      </c>
      <c r="J222" s="79">
        <v>1</v>
      </c>
      <c r="L222" s="4" t="s">
        <v>1260</v>
      </c>
      <c r="M222" s="10" t="s">
        <v>1329</v>
      </c>
      <c r="N222" s="12">
        <v>86.877186722000005</v>
      </c>
      <c r="O222" s="48">
        <v>0.16265154431412621</v>
      </c>
    </row>
    <row r="223" spans="7:15">
      <c r="G223" s="10" t="s">
        <v>952</v>
      </c>
      <c r="H223" s="77" t="s">
        <v>1236</v>
      </c>
      <c r="I223" s="78">
        <v>26.424764</v>
      </c>
      <c r="J223" s="79">
        <v>0.16092287791103829</v>
      </c>
      <c r="L223" s="4" t="s">
        <v>1260</v>
      </c>
      <c r="M223" s="10" t="s">
        <v>1330</v>
      </c>
      <c r="N223" s="12">
        <v>4.3435953999999999</v>
      </c>
      <c r="O223" s="48">
        <v>8.1817133105905757E-2</v>
      </c>
    </row>
    <row r="224" spans="7:15">
      <c r="G224" s="10" t="s">
        <v>952</v>
      </c>
      <c r="H224" s="77" t="s">
        <v>1237</v>
      </c>
      <c r="I224" s="78">
        <v>58.5</v>
      </c>
      <c r="J224" s="79">
        <v>3.0029848717948717E-3</v>
      </c>
      <c r="L224" s="4" t="s">
        <v>1260</v>
      </c>
      <c r="M224" s="10" t="s">
        <v>1331</v>
      </c>
      <c r="N224" s="12">
        <v>90.210284231999992</v>
      </c>
      <c r="O224" s="48">
        <v>9.8043463517462348E-2</v>
      </c>
    </row>
    <row r="225" spans="7:15">
      <c r="G225" s="10" t="s">
        <v>952</v>
      </c>
      <c r="H225" s="77" t="s">
        <v>1238</v>
      </c>
      <c r="I225" s="78">
        <v>1.4712773000000001</v>
      </c>
      <c r="J225" s="79">
        <v>0.85343097592819506</v>
      </c>
      <c r="L225" s="4" t="s">
        <v>1260</v>
      </c>
      <c r="M225" s="10" t="s">
        <v>1332</v>
      </c>
      <c r="N225" s="12">
        <v>66.491101241999999</v>
      </c>
      <c r="O225" s="48">
        <v>0.93433612782093434</v>
      </c>
    </row>
    <row r="226" spans="7:15">
      <c r="G226" s="10" t="s">
        <v>952</v>
      </c>
      <c r="H226" s="77" t="s">
        <v>1239</v>
      </c>
      <c r="I226" s="78">
        <v>29.750743250999999</v>
      </c>
      <c r="J226" s="79">
        <v>0.84831430600147062</v>
      </c>
      <c r="L226" s="4" t="s">
        <v>1260</v>
      </c>
      <c r="M226" s="10" t="s">
        <v>1333</v>
      </c>
      <c r="N226" s="12">
        <v>218.20651171699998</v>
      </c>
      <c r="O226" s="48">
        <v>0.76110862185631634</v>
      </c>
    </row>
    <row r="227" spans="7:15">
      <c r="G227" s="10" t="s">
        <v>952</v>
      </c>
      <c r="H227" s="77" t="s">
        <v>1240</v>
      </c>
      <c r="I227" s="78">
        <v>39.547229438999999</v>
      </c>
      <c r="J227" s="79">
        <v>0.87099749508700353</v>
      </c>
      <c r="L227" s="4" t="s">
        <v>1260</v>
      </c>
      <c r="M227" s="10" t="s">
        <v>1334</v>
      </c>
      <c r="N227" s="12">
        <v>214.84548981</v>
      </c>
      <c r="O227" s="48">
        <v>0.69655552291251521</v>
      </c>
    </row>
    <row r="228" spans="7:15">
      <c r="G228" s="10" t="s">
        <v>952</v>
      </c>
      <c r="H228" s="77" t="s">
        <v>1241</v>
      </c>
      <c r="I228" s="78">
        <v>16.479968499999998</v>
      </c>
      <c r="J228" s="79">
        <v>0.83789735635720419</v>
      </c>
      <c r="L228" s="4" t="s">
        <v>1260</v>
      </c>
      <c r="M228" s="10" t="s">
        <v>1335</v>
      </c>
      <c r="N228" s="12">
        <v>182.79882684500001</v>
      </c>
      <c r="O228" s="48">
        <v>0.67350334204493012</v>
      </c>
    </row>
    <row r="229" spans="7:15">
      <c r="G229" s="10" t="s">
        <v>952</v>
      </c>
      <c r="H229" s="77" t="s">
        <v>1242</v>
      </c>
      <c r="I229" s="78">
        <v>99.152542400000002</v>
      </c>
      <c r="J229" s="79">
        <v>9.8596866175768377E-2</v>
      </c>
      <c r="L229" s="4" t="s">
        <v>1336</v>
      </c>
      <c r="M229" s="10" t="s">
        <v>1337</v>
      </c>
      <c r="N229" s="12">
        <v>542.23766447900005</v>
      </c>
      <c r="O229" s="48">
        <v>0.57399621813444479</v>
      </c>
    </row>
    <row r="230" spans="7:15">
      <c r="G230" s="10" t="s">
        <v>952</v>
      </c>
      <c r="H230" s="77" t="s">
        <v>1243</v>
      </c>
      <c r="I230" s="78">
        <v>7.2845612749999997</v>
      </c>
      <c r="J230" s="79">
        <v>0.65610765049127817</v>
      </c>
      <c r="L230" s="4" t="s">
        <v>1336</v>
      </c>
      <c r="M230" s="10" t="s">
        <v>1338</v>
      </c>
      <c r="N230" s="12">
        <v>188.76743798200002</v>
      </c>
      <c r="O230" s="48">
        <v>0.71926323872630371</v>
      </c>
    </row>
    <row r="231" spans="7:15">
      <c r="G231" s="10" t="s">
        <v>952</v>
      </c>
      <c r="H231" s="77" t="s">
        <v>1244</v>
      </c>
      <c r="I231" s="78">
        <v>112.10615909800001</v>
      </c>
      <c r="J231" s="79">
        <v>0.69767941031346381</v>
      </c>
      <c r="L231" s="4" t="s">
        <v>1336</v>
      </c>
      <c r="M231" s="10" t="s">
        <v>1339</v>
      </c>
      <c r="N231" s="12">
        <v>136.96188190000001</v>
      </c>
      <c r="O231" s="48">
        <v>0.75581307230855155</v>
      </c>
    </row>
    <row r="232" spans="7:15">
      <c r="G232" s="10" t="s">
        <v>952</v>
      </c>
      <c r="H232" s="77" t="s">
        <v>1245</v>
      </c>
      <c r="I232" s="78">
        <v>56.121961800000001</v>
      </c>
      <c r="J232" s="79">
        <v>0.57428473984671013</v>
      </c>
      <c r="L232" s="4" t="s">
        <v>1336</v>
      </c>
      <c r="M232" s="10" t="s">
        <v>1340</v>
      </c>
      <c r="N232" s="12">
        <v>62.712117799999994</v>
      </c>
      <c r="O232" s="48">
        <v>0.62977215017605426</v>
      </c>
    </row>
    <row r="233" spans="7:15">
      <c r="G233" s="10" t="s">
        <v>952</v>
      </c>
      <c r="H233" s="77" t="s">
        <v>1246</v>
      </c>
      <c r="I233" s="78">
        <v>6.5361231880000004</v>
      </c>
      <c r="J233" s="79">
        <v>1</v>
      </c>
      <c r="L233" s="4" t="s">
        <v>1341</v>
      </c>
      <c r="M233" s="10" t="s">
        <v>1342</v>
      </c>
      <c r="N233" s="12">
        <v>52.446299164000003</v>
      </c>
      <c r="O233" s="48">
        <v>0.93686939958057702</v>
      </c>
    </row>
    <row r="234" spans="7:15">
      <c r="G234" s="10" t="s">
        <v>952</v>
      </c>
      <c r="H234" s="77" t="s">
        <v>1247</v>
      </c>
      <c r="I234" s="78">
        <v>20.166690898999999</v>
      </c>
      <c r="J234" s="79">
        <v>0.7943571875143064</v>
      </c>
      <c r="L234" s="4" t="s">
        <v>1341</v>
      </c>
      <c r="M234" s="10" t="s">
        <v>1343</v>
      </c>
      <c r="N234" s="12">
        <v>167.74847837799999</v>
      </c>
      <c r="O234" s="48">
        <v>0.8514500695389432</v>
      </c>
    </row>
    <row r="235" spans="7:15">
      <c r="G235" s="10" t="s">
        <v>952</v>
      </c>
      <c r="H235" s="77" t="s">
        <v>1248</v>
      </c>
      <c r="I235" s="78">
        <v>9.8414609849999994</v>
      </c>
      <c r="J235" s="79">
        <v>0.79375387068102066</v>
      </c>
      <c r="L235" s="4" t="s">
        <v>1341</v>
      </c>
      <c r="M235" s="10" t="s">
        <v>1344</v>
      </c>
      <c r="N235" s="12">
        <v>139.432853155</v>
      </c>
      <c r="O235" s="48">
        <v>0.89509015493831312</v>
      </c>
    </row>
    <row r="236" spans="7:15">
      <c r="G236" s="10" t="s">
        <v>1190</v>
      </c>
      <c r="H236" s="77" t="s">
        <v>1249</v>
      </c>
      <c r="I236" s="78">
        <v>2.4764646999999997</v>
      </c>
      <c r="J236" s="79">
        <v>0.99999996608067954</v>
      </c>
      <c r="L236" s="4" t="s">
        <v>1341</v>
      </c>
      <c r="M236" s="10" t="s">
        <v>1345</v>
      </c>
      <c r="N236" s="12">
        <v>25.935286574999999</v>
      </c>
      <c r="O236" s="48">
        <v>0.92083893840683351</v>
      </c>
    </row>
    <row r="237" spans="7:15">
      <c r="G237" s="10" t="s">
        <v>1190</v>
      </c>
      <c r="H237" s="77" t="s">
        <v>1250</v>
      </c>
      <c r="I237" s="78">
        <v>14.295257128999999</v>
      </c>
      <c r="J237" s="79">
        <v>1</v>
      </c>
      <c r="L237" s="4" t="s">
        <v>1341</v>
      </c>
      <c r="M237" s="10" t="s">
        <v>1346</v>
      </c>
      <c r="N237" s="12">
        <v>53.385136748000008</v>
      </c>
      <c r="O237" s="48">
        <v>0.52646747716822007</v>
      </c>
    </row>
    <row r="238" spans="7:15">
      <c r="G238" s="10" t="s">
        <v>1190</v>
      </c>
      <c r="H238" s="77" t="s">
        <v>1251</v>
      </c>
      <c r="I238" s="78">
        <v>19.394129294999999</v>
      </c>
      <c r="J238" s="79">
        <v>1</v>
      </c>
      <c r="L238" s="4" t="s">
        <v>1341</v>
      </c>
      <c r="M238" s="10" t="s">
        <v>1347</v>
      </c>
      <c r="N238" s="12">
        <v>9.4515343810000001</v>
      </c>
      <c r="O238" s="48">
        <v>0.64754680841064161</v>
      </c>
    </row>
    <row r="239" spans="7:15">
      <c r="G239" s="10" t="s">
        <v>1190</v>
      </c>
      <c r="H239" s="77" t="s">
        <v>1252</v>
      </c>
      <c r="I239" s="78">
        <v>4.1063040419999997</v>
      </c>
      <c r="J239" s="79">
        <v>0.96545212737561825</v>
      </c>
      <c r="L239" s="4" t="s">
        <v>1341</v>
      </c>
      <c r="M239" s="10" t="s">
        <v>1348</v>
      </c>
      <c r="N239" s="12">
        <v>121.38547540100001</v>
      </c>
      <c r="O239" s="48">
        <v>0.59860074472634472</v>
      </c>
    </row>
    <row r="240" spans="7:15">
      <c r="G240" s="10" t="s">
        <v>1190</v>
      </c>
      <c r="H240" s="77" t="s">
        <v>1253</v>
      </c>
      <c r="I240" s="78">
        <v>10.612363462999999</v>
      </c>
      <c r="J240" s="79">
        <v>0.96658963583030455</v>
      </c>
    </row>
    <row r="241" spans="7:10">
      <c r="G241" s="10" t="s">
        <v>1190</v>
      </c>
      <c r="H241" s="77" t="s">
        <v>1254</v>
      </c>
      <c r="I241" s="78">
        <v>2.5177667880000003</v>
      </c>
      <c r="J241" s="79">
        <v>1</v>
      </c>
    </row>
    <row r="242" spans="7:10">
      <c r="G242" s="10" t="s">
        <v>1190</v>
      </c>
      <c r="H242" s="77" t="s">
        <v>1255</v>
      </c>
      <c r="I242" s="78">
        <v>0.1015812</v>
      </c>
      <c r="J242" s="79">
        <v>0.63037706780388503</v>
      </c>
    </row>
    <row r="243" spans="7:10">
      <c r="G243" s="10" t="s">
        <v>1190</v>
      </c>
      <c r="H243" s="77" t="s">
        <v>1256</v>
      </c>
      <c r="I243" s="78">
        <v>2.055580043</v>
      </c>
      <c r="J243" s="79">
        <v>1</v>
      </c>
    </row>
    <row r="244" spans="7:10">
      <c r="G244" s="10" t="s">
        <v>1190</v>
      </c>
      <c r="H244" s="77" t="s">
        <v>1257</v>
      </c>
      <c r="I244" s="78">
        <v>44.9</v>
      </c>
      <c r="J244" s="79">
        <v>0.4445409720044543</v>
      </c>
    </row>
    <row r="245" spans="7:10">
      <c r="G245" s="10" t="s">
        <v>952</v>
      </c>
      <c r="H245" s="77" t="s">
        <v>1258</v>
      </c>
      <c r="I245" s="78">
        <v>37.749999959999997</v>
      </c>
      <c r="J245" s="79">
        <v>1.9433848232512686E-3</v>
      </c>
    </row>
    <row r="246" spans="7:10">
      <c r="G246" s="10" t="s">
        <v>952</v>
      </c>
      <c r="H246" s="77" t="s">
        <v>1259</v>
      </c>
      <c r="I246" s="78">
        <v>87.999999934000002</v>
      </c>
      <c r="J246" s="79">
        <v>5.168337844785344E-4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BA51-E93B-4BFC-ACD0-8180D50AC9AA}">
  <dimension ref="A3:AA26"/>
  <sheetViews>
    <sheetView topLeftCell="R16" workbookViewId="0">
      <selection activeCell="AA5" sqref="AA5"/>
    </sheetView>
  </sheetViews>
  <sheetFormatPr defaultRowHeight="14.5"/>
  <cols>
    <col min="1" max="1" width="38.1796875" bestFit="1" customWidth="1"/>
    <col min="2" max="2" width="15.26953125" bestFit="1" customWidth="1"/>
    <col min="3" max="3" width="10" bestFit="1" customWidth="1"/>
    <col min="4" max="9" width="11.81640625" bestFit="1" customWidth="1"/>
    <col min="10" max="10" width="6.81640625" bestFit="1" customWidth="1"/>
    <col min="11" max="11" width="8.81640625" bestFit="1" customWidth="1"/>
    <col min="12" max="13" width="11.81640625" bestFit="1" customWidth="1"/>
    <col min="14" max="14" width="9.81640625" bestFit="1" customWidth="1"/>
    <col min="15" max="15" width="11.81640625" bestFit="1" customWidth="1"/>
    <col min="16" max="16" width="8.81640625" bestFit="1" customWidth="1"/>
    <col min="17" max="17" width="11.81640625" bestFit="1" customWidth="1"/>
    <col min="18" max="18" width="17.90625" bestFit="1" customWidth="1"/>
    <col min="19" max="19" width="9.81640625" bestFit="1" customWidth="1"/>
    <col min="20" max="22" width="11.81640625" bestFit="1" customWidth="1"/>
    <col min="23" max="23" width="9.81640625" bestFit="1" customWidth="1"/>
    <col min="24" max="24" width="11.81640625" bestFit="1" customWidth="1"/>
    <col min="25" max="26" width="10.81640625" bestFit="1" customWidth="1"/>
    <col min="27" max="28" width="11.81640625" bestFit="1" customWidth="1"/>
    <col min="29" max="29" width="7.81640625" bestFit="1" customWidth="1"/>
    <col min="30" max="30" width="11.81640625" bestFit="1" customWidth="1"/>
    <col min="31" max="31" width="9.81640625" bestFit="1" customWidth="1"/>
    <col min="32" max="32" width="11.81640625" bestFit="1" customWidth="1"/>
    <col min="33" max="33" width="10.81640625" bestFit="1" customWidth="1"/>
    <col min="34" max="34" width="8.81640625" bestFit="1" customWidth="1"/>
    <col min="35" max="35" width="11.81640625" bestFit="1" customWidth="1"/>
    <col min="36" max="36" width="10.81640625" bestFit="1" customWidth="1"/>
    <col min="37" max="37" width="8.81640625" bestFit="1" customWidth="1"/>
    <col min="38" max="38" width="9.81640625" bestFit="1" customWidth="1"/>
    <col min="39" max="39" width="11.81640625" bestFit="1" customWidth="1"/>
    <col min="40" max="40" width="8.81640625" bestFit="1" customWidth="1"/>
    <col min="41" max="41" width="9.81640625" bestFit="1" customWidth="1"/>
    <col min="42" max="42" width="7.81640625" bestFit="1" customWidth="1"/>
    <col min="43" max="43" width="8.81640625" bestFit="1" customWidth="1"/>
    <col min="44" max="44" width="9.81640625" bestFit="1" customWidth="1"/>
    <col min="45" max="45" width="10.81640625" bestFit="1" customWidth="1"/>
    <col min="46" max="48" width="11.81640625" bestFit="1" customWidth="1"/>
    <col min="49" max="50" width="9.81640625" bestFit="1" customWidth="1"/>
    <col min="51" max="54" width="11.81640625" bestFit="1" customWidth="1"/>
    <col min="55" max="55" width="9.81640625" bestFit="1" customWidth="1"/>
    <col min="56" max="56" width="10.81640625" bestFit="1" customWidth="1"/>
    <col min="57" max="57" width="8.81640625" bestFit="1" customWidth="1"/>
    <col min="58" max="59" width="9.81640625" bestFit="1" customWidth="1"/>
    <col min="60" max="62" width="11.81640625" bestFit="1" customWidth="1"/>
    <col min="63" max="63" width="10.81640625" bestFit="1" customWidth="1"/>
    <col min="64" max="65" width="8.81640625" bestFit="1" customWidth="1"/>
    <col min="66" max="66" width="7.81640625" bestFit="1" customWidth="1"/>
    <col min="67" max="68" width="9.81640625" bestFit="1" customWidth="1"/>
    <col min="69" max="69" width="10.81640625" bestFit="1" customWidth="1"/>
    <col min="70" max="73" width="9.81640625" bestFit="1" customWidth="1"/>
    <col min="74" max="75" width="11.81640625" bestFit="1" customWidth="1"/>
    <col min="76" max="77" width="9.81640625" bestFit="1" customWidth="1"/>
    <col min="78" max="80" width="11.81640625" bestFit="1" customWidth="1"/>
    <col min="81" max="81" width="10.81640625" bestFit="1" customWidth="1"/>
    <col min="82" max="82" width="11.81640625" bestFit="1" customWidth="1"/>
    <col min="83" max="85" width="9.81640625" bestFit="1" customWidth="1"/>
    <col min="86" max="86" width="11.81640625" bestFit="1" customWidth="1"/>
    <col min="87" max="88" width="9.81640625" bestFit="1" customWidth="1"/>
    <col min="89" max="89" width="11.81640625" bestFit="1" customWidth="1"/>
    <col min="90" max="91" width="8.81640625" bestFit="1" customWidth="1"/>
    <col min="92" max="96" width="11.81640625" bestFit="1" customWidth="1"/>
    <col min="97" max="97" width="10.81640625" bestFit="1" customWidth="1"/>
    <col min="98" max="98" width="8.81640625" bestFit="1" customWidth="1"/>
    <col min="99" max="99" width="11.81640625" bestFit="1" customWidth="1"/>
    <col min="100" max="100" width="10.81640625" bestFit="1" customWidth="1"/>
    <col min="101" max="101" width="9.81640625" bestFit="1" customWidth="1"/>
    <col min="102" max="102" width="10.81640625" bestFit="1" customWidth="1"/>
    <col min="103" max="104" width="11.81640625" bestFit="1" customWidth="1"/>
    <col min="105" max="105" width="9.81640625" bestFit="1" customWidth="1"/>
    <col min="106" max="106" width="8.81640625" bestFit="1" customWidth="1"/>
    <col min="107" max="107" width="9.81640625" bestFit="1" customWidth="1"/>
    <col min="108" max="108" width="11.81640625" bestFit="1" customWidth="1"/>
    <col min="109" max="111" width="9.81640625" bestFit="1" customWidth="1"/>
    <col min="112" max="113" width="10.81640625" bestFit="1" customWidth="1"/>
    <col min="114" max="115" width="8.81640625" bestFit="1" customWidth="1"/>
    <col min="116" max="116" width="10.81640625" bestFit="1" customWidth="1"/>
    <col min="117" max="117" width="9.81640625" bestFit="1" customWidth="1"/>
    <col min="118" max="118" width="8.81640625" bestFit="1" customWidth="1"/>
    <col min="119" max="119" width="11.81640625" bestFit="1" customWidth="1"/>
    <col min="120" max="121" width="9.81640625" bestFit="1" customWidth="1"/>
    <col min="122" max="122" width="8.81640625" bestFit="1" customWidth="1"/>
    <col min="123" max="123" width="7.81640625" bestFit="1" customWidth="1"/>
    <col min="124" max="125" width="11.81640625" bestFit="1" customWidth="1"/>
    <col min="126" max="126" width="7.81640625" bestFit="1" customWidth="1"/>
    <col min="127" max="127" width="9.81640625" bestFit="1" customWidth="1"/>
    <col min="128" max="129" width="11.81640625" bestFit="1" customWidth="1"/>
    <col min="130" max="130" width="10.81640625" bestFit="1" customWidth="1"/>
    <col min="131" max="132" width="9.81640625" bestFit="1" customWidth="1"/>
    <col min="133" max="133" width="8.81640625" bestFit="1" customWidth="1"/>
    <col min="134" max="134" width="7.81640625" bestFit="1" customWidth="1"/>
    <col min="135" max="136" width="8.81640625" bestFit="1" customWidth="1"/>
    <col min="137" max="137" width="10.81640625" bestFit="1" customWidth="1"/>
    <col min="138" max="139" width="9.81640625" bestFit="1" customWidth="1"/>
    <col min="140" max="140" width="11.81640625" bestFit="1" customWidth="1"/>
    <col min="141" max="142" width="9.81640625" bestFit="1" customWidth="1"/>
    <col min="143" max="143" width="8.81640625" bestFit="1" customWidth="1"/>
    <col min="144" max="144" width="10.81640625" bestFit="1" customWidth="1"/>
    <col min="145" max="145" width="11.81640625" bestFit="1" customWidth="1"/>
    <col min="146" max="146" width="10.81640625" bestFit="1" customWidth="1"/>
    <col min="147" max="147" width="9.81640625" bestFit="1" customWidth="1"/>
    <col min="148" max="148" width="8.81640625" bestFit="1" customWidth="1"/>
    <col min="149" max="149" width="10.81640625" bestFit="1" customWidth="1"/>
    <col min="150" max="151" width="9.81640625" bestFit="1" customWidth="1"/>
    <col min="152" max="152" width="8.81640625" bestFit="1" customWidth="1"/>
    <col min="153" max="153" width="6.81640625" bestFit="1" customWidth="1"/>
    <col min="154" max="154" width="10.81640625" bestFit="1" customWidth="1"/>
    <col min="155" max="155" width="11.81640625" bestFit="1" customWidth="1"/>
    <col min="156" max="156" width="9.81640625" bestFit="1" customWidth="1"/>
    <col min="157" max="157" width="10.81640625" bestFit="1" customWidth="1"/>
    <col min="158" max="159" width="11.81640625" bestFit="1" customWidth="1"/>
    <col min="160" max="160" width="8.81640625" bestFit="1" customWidth="1"/>
    <col min="161" max="161" width="11.81640625" bestFit="1" customWidth="1"/>
    <col min="162" max="162" width="7.81640625" bestFit="1" customWidth="1"/>
    <col min="163" max="163" width="10.81640625" bestFit="1" customWidth="1"/>
    <col min="164" max="168" width="9.81640625" bestFit="1" customWidth="1"/>
    <col min="169" max="169" width="7.81640625" bestFit="1" customWidth="1"/>
    <col min="170" max="171" width="10.81640625" bestFit="1" customWidth="1"/>
    <col min="172" max="173" width="8.81640625" bestFit="1" customWidth="1"/>
    <col min="174" max="174" width="7.81640625" bestFit="1" customWidth="1"/>
    <col min="175" max="175" width="6.81640625" bestFit="1" customWidth="1"/>
    <col min="176" max="176" width="7.81640625" bestFit="1" customWidth="1"/>
    <col min="177" max="177" width="8.81640625" bestFit="1" customWidth="1"/>
    <col min="178" max="178" width="9.81640625" bestFit="1" customWidth="1"/>
    <col min="179" max="179" width="11.81640625" bestFit="1" customWidth="1"/>
    <col min="180" max="180" width="7.81640625" bestFit="1" customWidth="1"/>
    <col min="181" max="181" width="9.81640625" bestFit="1" customWidth="1"/>
    <col min="182" max="182" width="11.81640625" bestFit="1" customWidth="1"/>
    <col min="183" max="183" width="5.81640625" bestFit="1" customWidth="1"/>
    <col min="184" max="184" width="9.81640625" bestFit="1" customWidth="1"/>
    <col min="185" max="185" width="10.81640625" bestFit="1" customWidth="1"/>
    <col min="186" max="188" width="9.81640625" bestFit="1" customWidth="1"/>
    <col min="189" max="189" width="11.81640625" bestFit="1" customWidth="1"/>
    <col min="190" max="192" width="9.81640625" bestFit="1" customWidth="1"/>
    <col min="193" max="193" width="11.81640625" bestFit="1" customWidth="1"/>
    <col min="194" max="194" width="8.81640625" bestFit="1" customWidth="1"/>
    <col min="195" max="195" width="11.81640625" bestFit="1" customWidth="1"/>
    <col min="196" max="197" width="9.81640625" bestFit="1" customWidth="1"/>
    <col min="198" max="198" width="11.81640625" bestFit="1" customWidth="1"/>
    <col min="199" max="199" width="8.81640625" bestFit="1" customWidth="1"/>
    <col min="200" max="201" width="9.81640625" bestFit="1" customWidth="1"/>
    <col min="202" max="202" width="8.81640625" bestFit="1" customWidth="1"/>
    <col min="203" max="203" width="9.81640625" bestFit="1" customWidth="1"/>
    <col min="204" max="204" width="8.81640625" bestFit="1" customWidth="1"/>
    <col min="205" max="205" width="6.81640625" bestFit="1" customWidth="1"/>
    <col min="206" max="206" width="8.81640625" bestFit="1" customWidth="1"/>
    <col min="207" max="207" width="10.81640625" bestFit="1" customWidth="1"/>
    <col min="208" max="208" width="11.81640625" bestFit="1" customWidth="1"/>
    <col min="209" max="209" width="9.81640625" bestFit="1" customWidth="1"/>
    <col min="210" max="210" width="11.81640625" bestFit="1" customWidth="1"/>
    <col min="211" max="211" width="8.81640625" bestFit="1" customWidth="1"/>
    <col min="212" max="212" width="11.81640625" bestFit="1" customWidth="1"/>
    <col min="213" max="213" width="10.81640625" bestFit="1" customWidth="1"/>
    <col min="214" max="214" width="8.81640625" bestFit="1" customWidth="1"/>
    <col min="215" max="215" width="10.81640625" bestFit="1" customWidth="1"/>
    <col min="216" max="216" width="11.81640625" bestFit="1" customWidth="1"/>
    <col min="217" max="217" width="9.81640625" bestFit="1" customWidth="1"/>
    <col min="218" max="218" width="10.81640625" bestFit="1" customWidth="1"/>
    <col min="219" max="220" width="9.81640625" bestFit="1" customWidth="1"/>
    <col min="221" max="221" width="7.81640625" bestFit="1" customWidth="1"/>
    <col min="222" max="222" width="8.81640625" bestFit="1" customWidth="1"/>
    <col min="223" max="223" width="10.81640625" bestFit="1" customWidth="1"/>
    <col min="224" max="225" width="9.81640625" bestFit="1" customWidth="1"/>
    <col min="226" max="226" width="10.81640625" bestFit="1" customWidth="1"/>
    <col min="227" max="228" width="9.81640625" bestFit="1" customWidth="1"/>
    <col min="229" max="229" width="6.81640625" bestFit="1" customWidth="1"/>
    <col min="230" max="230" width="7.81640625" bestFit="1" customWidth="1"/>
    <col min="231" max="231" width="11.81640625" bestFit="1" customWidth="1"/>
    <col min="232" max="232" width="9.81640625" bestFit="1" customWidth="1"/>
    <col min="233" max="233" width="11.81640625" bestFit="1" customWidth="1"/>
    <col min="234" max="234" width="9.81640625" bestFit="1" customWidth="1"/>
    <col min="235" max="235" width="11.81640625" bestFit="1" customWidth="1"/>
    <col min="236" max="236" width="10.81640625" bestFit="1" customWidth="1"/>
    <col min="237" max="237" width="9.81640625" bestFit="1" customWidth="1"/>
    <col min="238" max="238" width="11.81640625" bestFit="1" customWidth="1"/>
    <col min="239" max="240" width="9.81640625" bestFit="1" customWidth="1"/>
    <col min="241" max="241" width="10.81640625" bestFit="1" customWidth="1"/>
    <col min="242" max="242" width="9.81640625" bestFit="1" customWidth="1"/>
    <col min="243" max="245" width="8.81640625" bestFit="1" customWidth="1"/>
    <col min="246" max="246" width="7.81640625" bestFit="1" customWidth="1"/>
    <col min="247" max="250" width="9.81640625" bestFit="1" customWidth="1"/>
    <col min="251" max="251" width="8.81640625" bestFit="1" customWidth="1"/>
    <col min="252" max="252" width="10.81640625" bestFit="1" customWidth="1"/>
    <col min="253" max="253" width="11.81640625" bestFit="1" customWidth="1"/>
    <col min="254" max="255" width="7.81640625" bestFit="1" customWidth="1"/>
    <col min="256" max="256" width="8.81640625" bestFit="1" customWidth="1"/>
    <col min="257" max="257" width="9.81640625" bestFit="1" customWidth="1"/>
    <col min="258" max="258" width="11.81640625" bestFit="1" customWidth="1"/>
    <col min="259" max="259" width="10.81640625" bestFit="1" customWidth="1"/>
    <col min="260" max="260" width="8.81640625" bestFit="1" customWidth="1"/>
    <col min="261" max="261" width="9.81640625" bestFit="1" customWidth="1"/>
    <col min="262" max="262" width="10.81640625" bestFit="1" customWidth="1"/>
    <col min="263" max="263" width="8.81640625" bestFit="1" customWidth="1"/>
    <col min="264" max="264" width="9.81640625" bestFit="1" customWidth="1"/>
    <col min="265" max="265" width="8.81640625" bestFit="1" customWidth="1"/>
    <col min="266" max="266" width="11.81640625" bestFit="1" customWidth="1"/>
    <col min="267" max="267" width="7.81640625" bestFit="1" customWidth="1"/>
    <col min="268" max="269" width="9.81640625" bestFit="1" customWidth="1"/>
    <col min="270" max="270" width="11.81640625" bestFit="1" customWidth="1"/>
    <col min="271" max="271" width="7.81640625" bestFit="1" customWidth="1"/>
    <col min="272" max="275" width="11.81640625" bestFit="1" customWidth="1"/>
    <col min="276" max="276" width="9.81640625" bestFit="1" customWidth="1"/>
    <col min="277" max="277" width="11.81640625" bestFit="1" customWidth="1"/>
    <col min="278" max="278" width="7.81640625" bestFit="1" customWidth="1"/>
    <col min="279" max="279" width="10.81640625" bestFit="1" customWidth="1"/>
    <col min="280" max="280" width="8.81640625" bestFit="1" customWidth="1"/>
    <col min="281" max="281" width="6.81640625" bestFit="1" customWidth="1"/>
    <col min="282" max="282" width="7.81640625" bestFit="1" customWidth="1"/>
    <col min="283" max="283" width="9.81640625" bestFit="1" customWidth="1"/>
    <col min="284" max="284" width="8.81640625" bestFit="1" customWidth="1"/>
    <col min="285" max="286" width="9.81640625" bestFit="1" customWidth="1"/>
    <col min="287" max="287" width="7.81640625" bestFit="1" customWidth="1"/>
    <col min="288" max="288" width="8.81640625" bestFit="1" customWidth="1"/>
    <col min="289" max="289" width="9.81640625" bestFit="1" customWidth="1"/>
    <col min="290" max="290" width="11.81640625" bestFit="1" customWidth="1"/>
    <col min="291" max="292" width="9.81640625" bestFit="1" customWidth="1"/>
    <col min="293" max="293" width="11.81640625" bestFit="1" customWidth="1"/>
    <col min="294" max="294" width="6.81640625" bestFit="1" customWidth="1"/>
    <col min="295" max="295" width="11.81640625" bestFit="1" customWidth="1"/>
    <col min="296" max="296" width="8.81640625" bestFit="1" customWidth="1"/>
    <col min="297" max="297" width="9.81640625" bestFit="1" customWidth="1"/>
    <col min="298" max="298" width="8.81640625" bestFit="1" customWidth="1"/>
    <col min="299" max="299" width="10.81640625" bestFit="1" customWidth="1"/>
    <col min="300" max="300" width="8.81640625" bestFit="1" customWidth="1"/>
    <col min="301" max="301" width="9.81640625" bestFit="1" customWidth="1"/>
    <col min="302" max="302" width="10.81640625" bestFit="1" customWidth="1"/>
    <col min="303" max="303" width="9.81640625" bestFit="1" customWidth="1"/>
    <col min="304" max="304" width="10.81640625" bestFit="1" customWidth="1"/>
    <col min="305" max="305" width="9.81640625" bestFit="1" customWidth="1"/>
    <col min="306" max="306" width="7.81640625" bestFit="1" customWidth="1"/>
    <col min="307" max="307" width="8.81640625" bestFit="1" customWidth="1"/>
    <col min="308" max="308" width="9.81640625" bestFit="1" customWidth="1"/>
    <col min="309" max="309" width="8.81640625" bestFit="1" customWidth="1"/>
    <col min="310" max="310" width="10.81640625" bestFit="1" customWidth="1"/>
    <col min="311" max="311" width="9.81640625" bestFit="1" customWidth="1"/>
    <col min="312" max="312" width="7.81640625" bestFit="1" customWidth="1"/>
    <col min="313" max="313" width="10.81640625" bestFit="1" customWidth="1"/>
    <col min="314" max="314" width="11.81640625" bestFit="1" customWidth="1"/>
    <col min="315" max="315" width="9.81640625" bestFit="1" customWidth="1"/>
    <col min="316" max="316" width="8.81640625" bestFit="1" customWidth="1"/>
    <col min="317" max="317" width="9.81640625" bestFit="1" customWidth="1"/>
    <col min="318" max="318" width="11.81640625" bestFit="1" customWidth="1"/>
    <col min="319" max="319" width="6.81640625" bestFit="1" customWidth="1"/>
    <col min="320" max="320" width="7.81640625" bestFit="1" customWidth="1"/>
    <col min="321" max="322" width="9.81640625" bestFit="1" customWidth="1"/>
    <col min="323" max="323" width="6.81640625" bestFit="1" customWidth="1"/>
    <col min="324" max="324" width="9.81640625" bestFit="1" customWidth="1"/>
    <col min="325" max="326" width="11.81640625" bestFit="1" customWidth="1"/>
    <col min="327" max="327" width="9.81640625" bestFit="1" customWidth="1"/>
    <col min="328" max="328" width="11.81640625" bestFit="1" customWidth="1"/>
    <col min="329" max="329" width="8.81640625" bestFit="1" customWidth="1"/>
    <col min="330" max="330" width="11.81640625" bestFit="1" customWidth="1"/>
    <col min="331" max="331" width="9.81640625" bestFit="1" customWidth="1"/>
    <col min="332" max="332" width="8.81640625" bestFit="1" customWidth="1"/>
    <col min="333" max="333" width="11.81640625" bestFit="1" customWidth="1"/>
    <col min="334" max="334" width="10.81640625" bestFit="1" customWidth="1"/>
    <col min="335" max="335" width="7.81640625" bestFit="1" customWidth="1"/>
    <col min="336" max="336" width="9.81640625" bestFit="1" customWidth="1"/>
    <col min="337" max="337" width="8.81640625" bestFit="1" customWidth="1"/>
    <col min="338" max="338" width="11.81640625" bestFit="1" customWidth="1"/>
    <col min="339" max="339" width="8.81640625" bestFit="1" customWidth="1"/>
    <col min="340" max="340" width="11.81640625" bestFit="1" customWidth="1"/>
    <col min="341" max="341" width="9.81640625" bestFit="1" customWidth="1"/>
    <col min="342" max="342" width="8.81640625" bestFit="1" customWidth="1"/>
    <col min="343" max="343" width="10.81640625" bestFit="1" customWidth="1"/>
    <col min="344" max="344" width="7.81640625" bestFit="1" customWidth="1"/>
    <col min="345" max="345" width="11.81640625" bestFit="1" customWidth="1"/>
    <col min="346" max="346" width="8.81640625" bestFit="1" customWidth="1"/>
    <col min="347" max="348" width="9.81640625" bestFit="1" customWidth="1"/>
    <col min="349" max="349" width="11.81640625" bestFit="1" customWidth="1"/>
    <col min="350" max="350" width="6.81640625" bestFit="1" customWidth="1"/>
    <col min="351" max="351" width="9.81640625" bestFit="1" customWidth="1"/>
    <col min="352" max="352" width="8.81640625" bestFit="1" customWidth="1"/>
    <col min="353" max="353" width="7.81640625" bestFit="1" customWidth="1"/>
    <col min="354" max="354" width="9.81640625" bestFit="1" customWidth="1"/>
    <col min="355" max="355" width="7.81640625" bestFit="1" customWidth="1"/>
    <col min="356" max="356" width="11.81640625" bestFit="1" customWidth="1"/>
    <col min="357" max="357" width="8.81640625" bestFit="1" customWidth="1"/>
    <col min="358" max="359" width="9.81640625" bestFit="1" customWidth="1"/>
    <col min="360" max="360" width="8.81640625" bestFit="1" customWidth="1"/>
    <col min="361" max="361" width="11.81640625" bestFit="1" customWidth="1"/>
    <col min="362" max="362" width="8.81640625" bestFit="1" customWidth="1"/>
    <col min="363" max="363" width="11.81640625" bestFit="1" customWidth="1"/>
    <col min="364" max="364" width="7.81640625" bestFit="1" customWidth="1"/>
    <col min="365" max="365" width="9.81640625" bestFit="1" customWidth="1"/>
    <col min="366" max="366" width="10.81640625" bestFit="1" customWidth="1"/>
    <col min="367" max="368" width="9.81640625" bestFit="1" customWidth="1"/>
    <col min="369" max="369" width="8.81640625" bestFit="1" customWidth="1"/>
    <col min="370" max="370" width="9.81640625" bestFit="1" customWidth="1"/>
    <col min="371" max="371" width="8.81640625" bestFit="1" customWidth="1"/>
    <col min="372" max="372" width="7.81640625" bestFit="1" customWidth="1"/>
    <col min="373" max="373" width="6.81640625" bestFit="1" customWidth="1"/>
    <col min="374" max="374" width="9.81640625" bestFit="1" customWidth="1"/>
    <col min="375" max="375" width="8.81640625" bestFit="1" customWidth="1"/>
    <col min="376" max="376" width="11.81640625" bestFit="1" customWidth="1"/>
    <col min="377" max="377" width="8.81640625" bestFit="1" customWidth="1"/>
    <col min="378" max="378" width="11.81640625" bestFit="1" customWidth="1"/>
    <col min="379" max="381" width="9.81640625" bestFit="1" customWidth="1"/>
    <col min="382" max="382" width="11.81640625" bestFit="1" customWidth="1"/>
    <col min="383" max="383" width="9.81640625" bestFit="1" customWidth="1"/>
    <col min="384" max="384" width="11.81640625" bestFit="1" customWidth="1"/>
    <col min="385" max="385" width="8.81640625" bestFit="1" customWidth="1"/>
    <col min="386" max="386" width="11.81640625" bestFit="1" customWidth="1"/>
    <col min="387" max="387" width="10.81640625" bestFit="1" customWidth="1"/>
    <col min="388" max="388" width="9.81640625" bestFit="1" customWidth="1"/>
    <col min="389" max="389" width="11.81640625" bestFit="1" customWidth="1"/>
    <col min="390" max="390" width="9.81640625" bestFit="1" customWidth="1"/>
    <col min="391" max="391" width="7.81640625" bestFit="1" customWidth="1"/>
    <col min="392" max="392" width="10.81640625" bestFit="1" customWidth="1"/>
    <col min="393" max="393" width="11.81640625" bestFit="1" customWidth="1"/>
    <col min="394" max="396" width="9.81640625" bestFit="1" customWidth="1"/>
    <col min="397" max="398" width="11.81640625" bestFit="1" customWidth="1"/>
    <col min="399" max="400" width="8.81640625" bestFit="1" customWidth="1"/>
    <col min="401" max="401" width="9.81640625" bestFit="1" customWidth="1"/>
    <col min="402" max="403" width="8.81640625" bestFit="1" customWidth="1"/>
    <col min="404" max="404" width="9.81640625" bestFit="1" customWidth="1"/>
    <col min="405" max="407" width="11.81640625" bestFit="1" customWidth="1"/>
    <col min="408" max="408" width="9.81640625" bestFit="1" customWidth="1"/>
    <col min="409" max="410" width="6.81640625" bestFit="1" customWidth="1"/>
    <col min="411" max="412" width="9.81640625" bestFit="1" customWidth="1"/>
    <col min="413" max="413" width="8.81640625" bestFit="1" customWidth="1"/>
    <col min="414" max="414" width="11.81640625" bestFit="1" customWidth="1"/>
    <col min="415" max="415" width="9.81640625" bestFit="1" customWidth="1"/>
    <col min="416" max="416" width="8.81640625" bestFit="1" customWidth="1"/>
    <col min="417" max="417" width="6.81640625" bestFit="1" customWidth="1"/>
    <col min="418" max="422" width="9.81640625" bestFit="1" customWidth="1"/>
    <col min="423" max="423" width="11.81640625" bestFit="1" customWidth="1"/>
    <col min="424" max="424" width="9.81640625" bestFit="1" customWidth="1"/>
    <col min="425" max="425" width="11.81640625" bestFit="1" customWidth="1"/>
    <col min="426" max="426" width="9.81640625" bestFit="1" customWidth="1"/>
    <col min="427" max="427" width="6.81640625" bestFit="1" customWidth="1"/>
    <col min="428" max="428" width="9.81640625" bestFit="1" customWidth="1"/>
    <col min="429" max="429" width="8.81640625" bestFit="1" customWidth="1"/>
    <col min="430" max="430" width="7.81640625" bestFit="1" customWidth="1"/>
    <col min="431" max="431" width="11.81640625" bestFit="1" customWidth="1"/>
    <col min="432" max="432" width="8.81640625" bestFit="1" customWidth="1"/>
    <col min="433" max="433" width="11.81640625" bestFit="1" customWidth="1"/>
    <col min="434" max="434" width="9.81640625" bestFit="1" customWidth="1"/>
    <col min="435" max="435" width="6.81640625" bestFit="1" customWidth="1"/>
    <col min="436" max="436" width="10.81640625" bestFit="1" customWidth="1"/>
    <col min="437" max="438" width="11.81640625" bestFit="1" customWidth="1"/>
    <col min="439" max="439" width="6.81640625" bestFit="1" customWidth="1"/>
    <col min="440" max="440" width="10.81640625" bestFit="1" customWidth="1"/>
    <col min="441" max="441" width="11.81640625" bestFit="1" customWidth="1"/>
    <col min="442" max="443" width="9.81640625" bestFit="1" customWidth="1"/>
    <col min="444" max="444" width="8.81640625" bestFit="1" customWidth="1"/>
    <col min="445" max="446" width="11.81640625" bestFit="1" customWidth="1"/>
    <col min="447" max="447" width="10.81640625" bestFit="1" customWidth="1"/>
    <col min="448" max="448" width="11.81640625" bestFit="1" customWidth="1"/>
    <col min="449" max="450" width="8.81640625" bestFit="1" customWidth="1"/>
    <col min="451" max="451" width="9.81640625" bestFit="1" customWidth="1"/>
    <col min="452" max="452" width="6.81640625" bestFit="1" customWidth="1"/>
    <col min="453" max="453" width="7.81640625" bestFit="1" customWidth="1"/>
    <col min="454" max="456" width="11.81640625" bestFit="1" customWidth="1"/>
    <col min="457" max="457" width="10.81640625" bestFit="1" customWidth="1"/>
    <col min="458" max="459" width="7.81640625" bestFit="1" customWidth="1"/>
    <col min="460" max="460" width="10.81640625" bestFit="1" customWidth="1"/>
    <col min="461" max="463" width="11.81640625" bestFit="1" customWidth="1"/>
    <col min="464" max="464" width="6.81640625" bestFit="1" customWidth="1"/>
    <col min="465" max="465" width="11.81640625" bestFit="1" customWidth="1"/>
    <col min="466" max="467" width="9.81640625" bestFit="1" customWidth="1"/>
    <col min="468" max="468" width="7.81640625" bestFit="1" customWidth="1"/>
    <col min="469" max="469" width="11.81640625" bestFit="1" customWidth="1"/>
    <col min="470" max="470" width="5.81640625" bestFit="1" customWidth="1"/>
    <col min="471" max="471" width="11.81640625" bestFit="1" customWidth="1"/>
    <col min="472" max="472" width="9.81640625" bestFit="1" customWidth="1"/>
    <col min="473" max="473" width="5.81640625" bestFit="1" customWidth="1"/>
    <col min="474" max="474" width="6.81640625" bestFit="1" customWidth="1"/>
    <col min="475" max="475" width="8.81640625" bestFit="1" customWidth="1"/>
    <col min="476" max="476" width="6.81640625" bestFit="1" customWidth="1"/>
    <col min="477" max="477" width="10.81640625" bestFit="1" customWidth="1"/>
    <col min="478" max="478" width="7.81640625" bestFit="1" customWidth="1"/>
    <col min="479" max="480" width="11.81640625" bestFit="1" customWidth="1"/>
    <col min="481" max="481" width="8.81640625" bestFit="1" customWidth="1"/>
    <col min="482" max="482" width="11.81640625" bestFit="1" customWidth="1"/>
    <col min="483" max="483" width="9.81640625" bestFit="1" customWidth="1"/>
    <col min="484" max="484" width="8.81640625" bestFit="1" customWidth="1"/>
    <col min="485" max="485" width="5.81640625" bestFit="1" customWidth="1"/>
    <col min="486" max="486" width="8.81640625" bestFit="1" customWidth="1"/>
    <col min="487" max="487" width="5.81640625" bestFit="1" customWidth="1"/>
    <col min="488" max="488" width="8.81640625" bestFit="1" customWidth="1"/>
    <col min="489" max="489" width="5.81640625" bestFit="1" customWidth="1"/>
    <col min="490" max="490" width="8.81640625" bestFit="1" customWidth="1"/>
    <col min="491" max="492" width="5.81640625" bestFit="1" customWidth="1"/>
    <col min="493" max="493" width="8.81640625" bestFit="1" customWidth="1"/>
    <col min="494" max="494" width="5.81640625" bestFit="1" customWidth="1"/>
    <col min="495" max="496" width="8.81640625" bestFit="1" customWidth="1"/>
    <col min="497" max="497" width="5.81640625" bestFit="1" customWidth="1"/>
    <col min="498" max="498" width="9.81640625" bestFit="1" customWidth="1"/>
    <col min="499" max="499" width="5.81640625" bestFit="1" customWidth="1"/>
    <col min="500" max="500" width="7.81640625" bestFit="1" customWidth="1"/>
    <col min="501" max="501" width="5.81640625" bestFit="1" customWidth="1"/>
    <col min="502" max="503" width="6.81640625" bestFit="1" customWidth="1"/>
    <col min="504" max="504" width="8.81640625" bestFit="1" customWidth="1"/>
    <col min="505" max="506" width="6.81640625" bestFit="1" customWidth="1"/>
    <col min="507" max="507" width="9.81640625" bestFit="1" customWidth="1"/>
    <col min="508" max="508" width="6.81640625" bestFit="1" customWidth="1"/>
    <col min="509" max="509" width="8.81640625" bestFit="1" customWidth="1"/>
    <col min="510" max="510" width="7.81640625" bestFit="1" customWidth="1"/>
    <col min="511" max="511" width="6.7265625" bestFit="1" customWidth="1"/>
    <col min="512" max="512" width="10.7265625" bestFit="1" customWidth="1"/>
  </cols>
  <sheetData>
    <row r="3" spans="1:27">
      <c r="A3" s="43" t="s">
        <v>903</v>
      </c>
      <c r="B3" s="43" t="s">
        <v>994</v>
      </c>
    </row>
    <row r="4" spans="1:27">
      <c r="A4" s="43" t="s">
        <v>993</v>
      </c>
      <c r="B4" t="s">
        <v>899</v>
      </c>
      <c r="C4" t="s">
        <v>1355</v>
      </c>
      <c r="D4" t="s">
        <v>986</v>
      </c>
      <c r="E4" t="s">
        <v>977</v>
      </c>
      <c r="F4" t="s">
        <v>721</v>
      </c>
      <c r="G4" t="s">
        <v>988</v>
      </c>
      <c r="H4" t="s">
        <v>979</v>
      </c>
      <c r="I4" t="s">
        <v>1354</v>
      </c>
      <c r="J4" t="s">
        <v>1356</v>
      </c>
      <c r="K4" t="s">
        <v>1359</v>
      </c>
      <c r="L4" t="s">
        <v>984</v>
      </c>
      <c r="M4" t="s">
        <v>985</v>
      </c>
      <c r="N4" t="s">
        <v>288</v>
      </c>
      <c r="O4" t="s">
        <v>897</v>
      </c>
      <c r="P4" t="s">
        <v>896</v>
      </c>
      <c r="Q4" t="s">
        <v>895</v>
      </c>
      <c r="R4" t="s">
        <v>991</v>
      </c>
      <c r="S4" t="s">
        <v>1358</v>
      </c>
      <c r="T4" t="s">
        <v>978</v>
      </c>
      <c r="U4" t="s">
        <v>716</v>
      </c>
      <c r="V4" t="s">
        <v>862</v>
      </c>
      <c r="W4" t="s">
        <v>1353</v>
      </c>
      <c r="X4" t="s">
        <v>1357</v>
      </c>
      <c r="Y4" t="s">
        <v>987</v>
      </c>
      <c r="Z4" t="s">
        <v>901</v>
      </c>
      <c r="AA4" t="s">
        <v>902</v>
      </c>
    </row>
    <row r="5" spans="1:27">
      <c r="A5" s="69" t="s">
        <v>772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>
        <v>2.6783999999999999E-2</v>
      </c>
      <c r="P5" s="122"/>
      <c r="Q5" s="122">
        <v>8.6999999999999994E-3</v>
      </c>
      <c r="R5" s="122"/>
      <c r="S5" s="122">
        <v>3.7283400000000001E-2</v>
      </c>
      <c r="T5" s="122"/>
      <c r="U5" s="122"/>
      <c r="V5" s="122"/>
      <c r="W5" s="122"/>
      <c r="X5" s="122"/>
      <c r="Y5" s="122"/>
      <c r="Z5" s="122"/>
      <c r="AA5" s="122">
        <v>7.276740000000001E-2</v>
      </c>
    </row>
    <row r="6" spans="1:27">
      <c r="A6" s="69" t="s">
        <v>18</v>
      </c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>
        <v>2.8419E-2</v>
      </c>
      <c r="Q6" s="122"/>
      <c r="R6" s="122"/>
      <c r="S6" s="122"/>
      <c r="T6" s="122"/>
      <c r="U6" s="122"/>
      <c r="V6" s="122"/>
      <c r="W6" s="122">
        <v>0.59885290000000002</v>
      </c>
      <c r="X6" s="122"/>
      <c r="Y6" s="122"/>
      <c r="Z6" s="122"/>
      <c r="AA6" s="122">
        <v>0.62727189999999999</v>
      </c>
    </row>
    <row r="7" spans="1:27">
      <c r="A7" s="69" t="s">
        <v>211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>
        <v>4.2416499999999996E-3</v>
      </c>
      <c r="P7" s="122"/>
      <c r="Q7" s="122"/>
      <c r="R7" s="122"/>
      <c r="S7" s="122"/>
      <c r="T7" s="122"/>
      <c r="U7" s="122"/>
      <c r="V7" s="122">
        <v>1.2852499999999999E-2</v>
      </c>
      <c r="W7" s="122"/>
      <c r="X7" s="122"/>
      <c r="Y7" s="122"/>
      <c r="Z7" s="122"/>
      <c r="AA7" s="122">
        <v>1.7094149999999999E-2</v>
      </c>
    </row>
    <row r="8" spans="1:27">
      <c r="A8" s="69" t="s">
        <v>893</v>
      </c>
      <c r="B8" s="122"/>
      <c r="C8" s="122"/>
      <c r="D8" s="122"/>
      <c r="E8" s="122"/>
      <c r="F8" s="122">
        <v>5.82523E-2</v>
      </c>
      <c r="G8" s="122"/>
      <c r="H8" s="122">
        <v>2.8759699999999999E-2</v>
      </c>
      <c r="I8" s="122"/>
      <c r="J8" s="122"/>
      <c r="K8" s="122"/>
      <c r="L8" s="122"/>
      <c r="M8" s="122"/>
      <c r="N8" s="122"/>
      <c r="O8" s="122">
        <v>3.7523899999999999E-2</v>
      </c>
      <c r="P8" s="122"/>
      <c r="Q8" s="122">
        <v>9.0665999999999993E-3</v>
      </c>
      <c r="R8" s="122"/>
      <c r="S8" s="122"/>
      <c r="T8" s="122"/>
      <c r="U8" s="122"/>
      <c r="V8" s="122">
        <v>3.18313E-2</v>
      </c>
      <c r="W8" s="122"/>
      <c r="X8" s="122"/>
      <c r="Y8" s="122"/>
      <c r="Z8" s="122"/>
      <c r="AA8" s="122">
        <v>0.16543380000000002</v>
      </c>
    </row>
    <row r="9" spans="1:27">
      <c r="A9" s="69" t="s">
        <v>254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>
        <v>9.7644999999999989E-3</v>
      </c>
      <c r="P9" s="122"/>
      <c r="Q9" s="122">
        <v>1.08249E-2</v>
      </c>
      <c r="R9" s="122"/>
      <c r="S9" s="122"/>
      <c r="T9" s="122"/>
      <c r="U9" s="122"/>
      <c r="V9" s="122">
        <v>4.8912400000000002E-2</v>
      </c>
      <c r="W9" s="122"/>
      <c r="X9" s="122"/>
      <c r="Y9" s="122"/>
      <c r="Z9" s="122"/>
      <c r="AA9" s="122">
        <v>6.9501800000000002E-2</v>
      </c>
    </row>
    <row r="10" spans="1:27">
      <c r="A10" s="69" t="s">
        <v>871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>
        <v>6.0504664999999999E-2</v>
      </c>
      <c r="P10" s="122"/>
      <c r="Q10" s="122"/>
      <c r="R10" s="122"/>
      <c r="S10" s="122"/>
      <c r="T10" s="122"/>
      <c r="U10" s="122"/>
      <c r="V10" s="122">
        <v>9.1649599999999998E-3</v>
      </c>
      <c r="W10" s="122"/>
      <c r="X10" s="122"/>
      <c r="Y10" s="122"/>
      <c r="Z10" s="122"/>
      <c r="AA10" s="122">
        <v>6.9669624999999999E-2</v>
      </c>
    </row>
    <row r="11" spans="1:27">
      <c r="A11" s="69" t="s">
        <v>439</v>
      </c>
      <c r="B11" s="122">
        <v>3.5568925000000001E-2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>
        <v>8.0034999999999995E-2</v>
      </c>
      <c r="P11" s="122"/>
      <c r="Q11" s="122">
        <v>2.9899200000000001E-2</v>
      </c>
      <c r="R11" s="122"/>
      <c r="S11" s="122"/>
      <c r="T11" s="122"/>
      <c r="U11" s="122"/>
      <c r="V11" s="122"/>
      <c r="W11" s="122"/>
      <c r="X11" s="122"/>
      <c r="Y11" s="122"/>
      <c r="Z11" s="122"/>
      <c r="AA11" s="122">
        <v>0.14550312500000001</v>
      </c>
    </row>
    <row r="12" spans="1:27">
      <c r="A12" s="69" t="s">
        <v>340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>
        <v>1.05015E-2</v>
      </c>
      <c r="P12" s="122"/>
      <c r="Q12" s="122"/>
      <c r="R12" s="122"/>
      <c r="S12" s="122"/>
      <c r="T12" s="122"/>
      <c r="U12" s="122"/>
      <c r="V12" s="122">
        <v>1.0510100000000001E-2</v>
      </c>
      <c r="W12" s="122"/>
      <c r="X12" s="122"/>
      <c r="Y12" s="122"/>
      <c r="Z12" s="122"/>
      <c r="AA12" s="122">
        <v>2.1011600000000002E-2</v>
      </c>
    </row>
    <row r="13" spans="1:27">
      <c r="A13" s="69" t="s">
        <v>758</v>
      </c>
      <c r="B13" s="122">
        <v>0.1280097</v>
      </c>
      <c r="C13" s="122">
        <v>3.0218899999999996E-2</v>
      </c>
      <c r="D13" s="122"/>
      <c r="E13" s="122"/>
      <c r="F13" s="122">
        <v>4.0542499999999997E-3</v>
      </c>
      <c r="G13" s="122"/>
      <c r="H13" s="122"/>
      <c r="I13" s="122"/>
      <c r="J13" s="122">
        <v>3.3999999999999998E-3</v>
      </c>
      <c r="K13" s="122"/>
      <c r="L13" s="122">
        <v>1.8816975000000003E-3</v>
      </c>
      <c r="M13" s="122"/>
      <c r="N13" s="122">
        <v>0</v>
      </c>
      <c r="O13" s="122">
        <v>0.20263265600000002</v>
      </c>
      <c r="P13" s="122"/>
      <c r="Q13" s="122">
        <v>7.6923720000000001E-2</v>
      </c>
      <c r="R13" s="122"/>
      <c r="S13" s="122"/>
      <c r="T13" s="122"/>
      <c r="U13" s="122">
        <v>9.6143449999999991E-2</v>
      </c>
      <c r="V13" s="122">
        <v>2.24291E-2</v>
      </c>
      <c r="W13" s="122"/>
      <c r="X13" s="122">
        <v>7.1520975999999998E-3</v>
      </c>
      <c r="Y13" s="122"/>
      <c r="Z13" s="122"/>
      <c r="AA13" s="122">
        <v>0.57284557110000001</v>
      </c>
    </row>
    <row r="14" spans="1:27">
      <c r="A14" s="69" t="s">
        <v>590</v>
      </c>
      <c r="B14" s="122">
        <v>4.9405611999999995E-2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>
        <v>7.3499040000000002E-2</v>
      </c>
      <c r="P14" s="122"/>
      <c r="Q14" s="122">
        <v>9.4013399999999997E-2</v>
      </c>
      <c r="R14" s="122"/>
      <c r="S14" s="122"/>
      <c r="T14" s="122"/>
      <c r="U14" s="122"/>
      <c r="V14" s="122"/>
      <c r="W14" s="122"/>
      <c r="X14" s="122"/>
      <c r="Y14" s="122"/>
      <c r="Z14" s="122"/>
      <c r="AA14" s="122">
        <v>0.216918052</v>
      </c>
    </row>
    <row r="15" spans="1:27">
      <c r="A15" s="69" t="s">
        <v>323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>
        <v>5.2628999999999992E-3</v>
      </c>
      <c r="O15" s="122">
        <v>2.8024157000000001E-2</v>
      </c>
      <c r="P15" s="122"/>
      <c r="Q15" s="122">
        <v>0.14846000000000001</v>
      </c>
      <c r="R15" s="122"/>
      <c r="S15" s="122"/>
      <c r="T15" s="122"/>
      <c r="U15" s="122"/>
      <c r="V15" s="122"/>
      <c r="W15" s="122"/>
      <c r="X15" s="122"/>
      <c r="Y15" s="122"/>
      <c r="Z15" s="122"/>
      <c r="AA15" s="122">
        <v>0.18174705700000002</v>
      </c>
    </row>
    <row r="16" spans="1:27">
      <c r="A16" s="69" t="s">
        <v>947</v>
      </c>
      <c r="B16" s="122"/>
      <c r="C16" s="122"/>
      <c r="D16" s="122">
        <v>5.57648E-4</v>
      </c>
      <c r="E16" s="122"/>
      <c r="F16" s="122"/>
      <c r="G16" s="122"/>
      <c r="H16" s="122"/>
      <c r="I16" s="122"/>
      <c r="J16" s="122"/>
      <c r="K16" s="122">
        <v>1.4800000000000001E-2</v>
      </c>
      <c r="L16" s="122"/>
      <c r="M16" s="122"/>
      <c r="N16" s="122"/>
      <c r="O16" s="122">
        <v>9.4918899999999991E-4</v>
      </c>
      <c r="P16" s="122"/>
      <c r="Q16" s="122">
        <v>1.575E-5</v>
      </c>
      <c r="R16" s="122">
        <v>1.6348000000000003E-4</v>
      </c>
      <c r="S16" s="122"/>
      <c r="T16" s="122"/>
      <c r="U16" s="122"/>
      <c r="V16" s="122"/>
      <c r="W16" s="122"/>
      <c r="X16" s="122"/>
      <c r="Y16" s="122"/>
      <c r="Z16" s="122"/>
      <c r="AA16" s="122">
        <v>1.6486067E-2</v>
      </c>
    </row>
    <row r="17" spans="1:27">
      <c r="A17" s="69" t="s">
        <v>421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>
        <v>7.2099999999999997E-2</v>
      </c>
      <c r="W17" s="122"/>
      <c r="X17" s="122"/>
      <c r="Y17" s="122"/>
      <c r="Z17" s="122"/>
      <c r="AA17" s="122">
        <v>7.2099999999999997E-2</v>
      </c>
    </row>
    <row r="18" spans="1:27">
      <c r="A18" s="69" t="s">
        <v>11</v>
      </c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>
        <v>8.2799999999999999E-2</v>
      </c>
      <c r="R18" s="122"/>
      <c r="S18" s="122"/>
      <c r="T18" s="122"/>
      <c r="U18" s="122"/>
      <c r="V18" s="122"/>
      <c r="W18" s="122"/>
      <c r="X18" s="122"/>
      <c r="Y18" s="122"/>
      <c r="Z18" s="122"/>
      <c r="AA18" s="122">
        <v>8.2799999999999999E-2</v>
      </c>
    </row>
    <row r="19" spans="1:27">
      <c r="A19" s="69" t="s">
        <v>417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>
        <v>3.4265760000000002E-3</v>
      </c>
      <c r="P19" s="122"/>
      <c r="Q19" s="122">
        <v>5.3518739999999995E-3</v>
      </c>
      <c r="R19" s="122"/>
      <c r="S19" s="122"/>
      <c r="T19" s="122"/>
      <c r="U19" s="122"/>
      <c r="V19" s="122"/>
      <c r="W19" s="122"/>
      <c r="X19" s="122"/>
      <c r="Y19" s="122"/>
      <c r="Z19" s="122"/>
      <c r="AA19" s="122">
        <v>8.7784500000000001E-3</v>
      </c>
    </row>
    <row r="20" spans="1:27">
      <c r="A20" s="69" t="s">
        <v>408</v>
      </c>
      <c r="B20" s="122">
        <v>4.5661085000000004E-2</v>
      </c>
      <c r="C20" s="122"/>
      <c r="D20" s="122"/>
      <c r="E20" s="122"/>
      <c r="F20" s="122">
        <v>3.1915600000000002E-4</v>
      </c>
      <c r="G20" s="122"/>
      <c r="H20" s="122">
        <v>1.0593800000000001E-4</v>
      </c>
      <c r="I20" s="122"/>
      <c r="J20" s="122"/>
      <c r="K20" s="122"/>
      <c r="L20" s="122"/>
      <c r="M20" s="122"/>
      <c r="N20" s="122"/>
      <c r="O20" s="122">
        <v>7.3276226999999999E-2</v>
      </c>
      <c r="P20" s="122"/>
      <c r="Q20" s="122">
        <v>2.3772351000000004E-2</v>
      </c>
      <c r="R20" s="122"/>
      <c r="S20" s="122"/>
      <c r="T20" s="122">
        <v>1.3210990000000001E-3</v>
      </c>
      <c r="U20" s="122"/>
      <c r="V20" s="122">
        <v>8.3394699999999992E-4</v>
      </c>
      <c r="W20" s="122"/>
      <c r="X20" s="122"/>
      <c r="Y20" s="122"/>
      <c r="Z20" s="122"/>
      <c r="AA20" s="122">
        <v>0.145289803</v>
      </c>
    </row>
    <row r="21" spans="1:27">
      <c r="A21" s="69" t="s">
        <v>621</v>
      </c>
      <c r="B21" s="122">
        <v>0.46576364900000011</v>
      </c>
      <c r="C21" s="122">
        <v>0.132629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>
        <v>0.59839264900000011</v>
      </c>
    </row>
    <row r="22" spans="1:27">
      <c r="A22" s="69" t="s">
        <v>829</v>
      </c>
      <c r="B22" s="122">
        <v>6.8937449999999997E-2</v>
      </c>
      <c r="C22" s="122"/>
      <c r="D22" s="122">
        <v>2.8979999999999999E-2</v>
      </c>
      <c r="E22" s="122"/>
      <c r="F22" s="122"/>
      <c r="G22" s="122">
        <v>1.2815999999999999E-2</v>
      </c>
      <c r="H22" s="122"/>
      <c r="I22" s="122"/>
      <c r="J22" s="122"/>
      <c r="K22" s="122">
        <v>1.7919999999999998E-2</v>
      </c>
      <c r="L22" s="122"/>
      <c r="M22" s="122">
        <v>5.9748718499999999E-2</v>
      </c>
      <c r="N22" s="122">
        <v>1.021E-2</v>
      </c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>
        <v>0.16619534999999999</v>
      </c>
      <c r="Z22" s="122"/>
      <c r="AA22" s="122">
        <v>0.36480751849999993</v>
      </c>
    </row>
    <row r="23" spans="1:27">
      <c r="A23" s="69" t="s">
        <v>852</v>
      </c>
      <c r="B23" s="122">
        <v>1.4874800000000001E-2</v>
      </c>
      <c r="C23" s="122"/>
      <c r="D23" s="122"/>
      <c r="E23" s="122"/>
      <c r="F23" s="122"/>
      <c r="G23" s="122">
        <v>1.7202949000000002E-2</v>
      </c>
      <c r="H23" s="122"/>
      <c r="I23" s="122"/>
      <c r="J23" s="122"/>
      <c r="K23" s="122">
        <v>2.9696E-2</v>
      </c>
      <c r="L23" s="122"/>
      <c r="M23" s="122">
        <v>9.7812475159999995E-2</v>
      </c>
      <c r="N23" s="122"/>
      <c r="O23" s="122">
        <v>0</v>
      </c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>
        <v>0.15958622416000001</v>
      </c>
    </row>
    <row r="24" spans="1:27">
      <c r="A24" s="69" t="s">
        <v>39</v>
      </c>
      <c r="B24" s="122"/>
      <c r="C24" s="122"/>
      <c r="D24" s="122"/>
      <c r="E24" s="122">
        <v>0.68848211800000003</v>
      </c>
      <c r="F24" s="122">
        <v>0.12796195099999999</v>
      </c>
      <c r="G24" s="122"/>
      <c r="H24" s="122"/>
      <c r="I24" s="122">
        <v>6.1237395999999999E-2</v>
      </c>
      <c r="J24" s="122"/>
      <c r="K24" s="122"/>
      <c r="L24" s="122"/>
      <c r="M24" s="122"/>
      <c r="N24" s="122"/>
      <c r="O24" s="122">
        <v>0.10892567499999999</v>
      </c>
      <c r="P24" s="122"/>
      <c r="Q24" s="122">
        <v>6.6656340000000008E-2</v>
      </c>
      <c r="R24" s="122"/>
      <c r="S24" s="122"/>
      <c r="T24" s="122">
        <v>0.28853438399999998</v>
      </c>
      <c r="U24" s="122">
        <v>7.7900434000000018E-2</v>
      </c>
      <c r="V24" s="122"/>
      <c r="W24" s="122"/>
      <c r="X24" s="122"/>
      <c r="Y24" s="122"/>
      <c r="Z24" s="122"/>
      <c r="AA24" s="122">
        <v>1.4196982980000001</v>
      </c>
    </row>
    <row r="25" spans="1:27">
      <c r="A25" s="69" t="s">
        <v>901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>
        <v>5.0277030897600001</v>
      </c>
      <c r="AA25" s="122">
        <v>5.0277030897600001</v>
      </c>
    </row>
    <row r="26" spans="1:27">
      <c r="A26" s="69" t="s">
        <v>902</v>
      </c>
      <c r="B26" s="122">
        <v>0.80822122100000005</v>
      </c>
      <c r="C26" s="122">
        <v>0.16284789999999999</v>
      </c>
      <c r="D26" s="122">
        <v>2.9537648E-2</v>
      </c>
      <c r="E26" s="122">
        <v>0.68848211800000003</v>
      </c>
      <c r="F26" s="122">
        <v>0.19058765699999999</v>
      </c>
      <c r="G26" s="122">
        <v>3.0018949000000003E-2</v>
      </c>
      <c r="H26" s="122">
        <v>2.8865637999999999E-2</v>
      </c>
      <c r="I26" s="122">
        <v>6.1237395999999999E-2</v>
      </c>
      <c r="J26" s="122">
        <v>3.3999999999999998E-3</v>
      </c>
      <c r="K26" s="122">
        <v>6.2415999999999999E-2</v>
      </c>
      <c r="L26" s="122">
        <v>1.8816975000000003E-3</v>
      </c>
      <c r="M26" s="122">
        <v>0.15756119365999999</v>
      </c>
      <c r="N26" s="122">
        <v>1.54729E-2</v>
      </c>
      <c r="O26" s="122">
        <v>0.72008873499999992</v>
      </c>
      <c r="P26" s="122">
        <v>2.8419E-2</v>
      </c>
      <c r="Q26" s="122">
        <v>0.55648413499999994</v>
      </c>
      <c r="R26" s="122">
        <v>1.6348000000000003E-4</v>
      </c>
      <c r="S26" s="122">
        <v>3.7283400000000001E-2</v>
      </c>
      <c r="T26" s="122">
        <v>0.28985548299999997</v>
      </c>
      <c r="U26" s="122">
        <v>0.17404388400000001</v>
      </c>
      <c r="V26" s="122">
        <v>0.20863430699999999</v>
      </c>
      <c r="W26" s="122">
        <v>0.59885290000000002</v>
      </c>
      <c r="X26" s="122">
        <v>7.1520975999999998E-3</v>
      </c>
      <c r="Y26" s="122">
        <v>0.16619534999999999</v>
      </c>
      <c r="Z26" s="122">
        <v>5.0277030897600001</v>
      </c>
      <c r="AA26" s="122">
        <v>10.05540617952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E452-19F1-4111-A784-26F9995D2BE6}">
  <dimension ref="A1:AD62"/>
  <sheetViews>
    <sheetView topLeftCell="N7" workbookViewId="0">
      <selection activeCell="E22" sqref="E22:AB22"/>
    </sheetView>
  </sheetViews>
  <sheetFormatPr defaultRowHeight="14.5"/>
  <cols>
    <col min="1" max="1" width="10.7265625" bestFit="1" customWidth="1"/>
    <col min="2" max="2" width="38.1796875" bestFit="1" customWidth="1"/>
    <col min="3" max="3" width="8.81640625" bestFit="1" customWidth="1"/>
    <col min="4" max="4" width="6.26953125" bestFit="1" customWidth="1"/>
    <col min="6" max="6" width="10" bestFit="1" customWidth="1"/>
    <col min="7" max="7" width="9.6328125" bestFit="1" customWidth="1"/>
    <col min="28" max="28" width="10.36328125" bestFit="1" customWidth="1"/>
    <col min="29" max="30" width="11.81640625" bestFit="1" customWidth="1"/>
  </cols>
  <sheetData>
    <row r="1" spans="1:30" ht="58">
      <c r="A1" s="44" t="s">
        <v>904</v>
      </c>
      <c r="B1" s="44" t="s">
        <v>1360</v>
      </c>
      <c r="C1" s="44" t="s">
        <v>948</v>
      </c>
      <c r="D1" s="44" t="s">
        <v>905</v>
      </c>
      <c r="E1" s="44" t="s">
        <v>899</v>
      </c>
      <c r="F1" s="44" t="s">
        <v>1355</v>
      </c>
      <c r="G1" s="44" t="s">
        <v>986</v>
      </c>
      <c r="H1" s="44" t="s">
        <v>977</v>
      </c>
      <c r="I1" s="44" t="s">
        <v>721</v>
      </c>
      <c r="J1" s="44" t="s">
        <v>988</v>
      </c>
      <c r="K1" s="44" t="s">
        <v>979</v>
      </c>
      <c r="L1" s="44" t="s">
        <v>1354</v>
      </c>
      <c r="M1" s="44" t="s">
        <v>1356</v>
      </c>
      <c r="N1" s="44" t="s">
        <v>1359</v>
      </c>
      <c r="O1" s="44" t="s">
        <v>984</v>
      </c>
      <c r="P1" s="44" t="s">
        <v>985</v>
      </c>
      <c r="Q1" s="44" t="s">
        <v>288</v>
      </c>
      <c r="R1" s="44" t="s">
        <v>897</v>
      </c>
      <c r="S1" s="44" t="s">
        <v>896</v>
      </c>
      <c r="T1" s="44" t="s">
        <v>895</v>
      </c>
      <c r="U1" s="44" t="s">
        <v>991</v>
      </c>
      <c r="V1" s="44" t="s">
        <v>1358</v>
      </c>
      <c r="W1" s="44" t="s">
        <v>978</v>
      </c>
      <c r="X1" s="44" t="s">
        <v>716</v>
      </c>
      <c r="Y1" s="44" t="s">
        <v>862</v>
      </c>
      <c r="Z1" s="44" t="s">
        <v>1353</v>
      </c>
      <c r="AA1" s="44" t="s">
        <v>1357</v>
      </c>
      <c r="AB1" s="44" t="s">
        <v>987</v>
      </c>
      <c r="AC1" s="68" t="s">
        <v>1362</v>
      </c>
      <c r="AD1" s="68" t="s">
        <v>976</v>
      </c>
    </row>
    <row r="2" spans="1:30">
      <c r="B2" s="130" t="s">
        <v>1361</v>
      </c>
      <c r="C2" s="112">
        <v>108.18</v>
      </c>
      <c r="D2" s="48">
        <v>0.63</v>
      </c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>
        <v>2.6783999999999999E-2</v>
      </c>
      <c r="S2" s="112"/>
      <c r="T2" s="112">
        <v>8.6999999999999994E-3</v>
      </c>
      <c r="U2" s="112"/>
      <c r="V2" s="112">
        <v>3.7283400000000001E-2</v>
      </c>
      <c r="W2" s="112"/>
      <c r="X2" s="112"/>
      <c r="Y2" s="112"/>
      <c r="Z2" s="112"/>
      <c r="AA2" s="112"/>
      <c r="AB2" s="112"/>
      <c r="AC2" s="112">
        <v>7.276740000000001E-2</v>
      </c>
      <c r="AD2" s="124">
        <f>AC2/C2</f>
        <v>6.726511369938991E-4</v>
      </c>
    </row>
    <row r="3" spans="1:30">
      <c r="B3" s="109" t="s">
        <v>18</v>
      </c>
      <c r="C3" s="112">
        <v>80.020537508999993</v>
      </c>
      <c r="D3" s="48">
        <v>0.57012690328240878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>
        <v>2.8419E-2</v>
      </c>
      <c r="T3" s="112"/>
      <c r="U3" s="112"/>
      <c r="V3" s="112"/>
      <c r="W3" s="112"/>
      <c r="X3" s="112"/>
      <c r="Y3" s="112"/>
      <c r="Z3" s="112">
        <v>0.59885290000000002</v>
      </c>
      <c r="AA3" s="112"/>
      <c r="AB3" s="112"/>
      <c r="AC3" s="112">
        <v>0.62727189999999999</v>
      </c>
      <c r="AD3" s="124">
        <f t="shared" ref="AD3:AD21" si="0">AC3/C3</f>
        <v>7.8388863600103928E-3</v>
      </c>
    </row>
    <row r="4" spans="1:30">
      <c r="B4" s="109" t="s">
        <v>211</v>
      </c>
      <c r="C4" s="112">
        <v>18.179332232</v>
      </c>
      <c r="D4" s="48">
        <v>1</v>
      </c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>
        <v>4.2416499999999996E-3</v>
      </c>
      <c r="S4" s="112"/>
      <c r="T4" s="112"/>
      <c r="U4" s="112"/>
      <c r="V4" s="112"/>
      <c r="W4" s="112"/>
      <c r="X4" s="112"/>
      <c r="Y4" s="112">
        <v>1.2852499999999999E-2</v>
      </c>
      <c r="Z4" s="112"/>
      <c r="AA4" s="112"/>
      <c r="AB4" s="112"/>
      <c r="AC4" s="112">
        <v>1.7094149999999999E-2</v>
      </c>
      <c r="AD4" s="124">
        <f t="shared" si="0"/>
        <v>9.4030681555564409E-4</v>
      </c>
    </row>
    <row r="5" spans="1:30">
      <c r="B5" s="109" t="s">
        <v>893</v>
      </c>
      <c r="C5" s="112">
        <v>101.73</v>
      </c>
      <c r="D5" s="48">
        <v>0.91</v>
      </c>
      <c r="E5" s="112"/>
      <c r="F5" s="112"/>
      <c r="G5" s="112"/>
      <c r="H5" s="112"/>
      <c r="I5" s="112">
        <v>5.82523E-2</v>
      </c>
      <c r="J5" s="112"/>
      <c r="K5" s="112">
        <v>2.8759699999999999E-2</v>
      </c>
      <c r="L5" s="112"/>
      <c r="M5" s="112"/>
      <c r="N5" s="112"/>
      <c r="O5" s="112"/>
      <c r="P5" s="112"/>
      <c r="Q5" s="112"/>
      <c r="R5" s="112">
        <v>3.7523899999999999E-2</v>
      </c>
      <c r="S5" s="112"/>
      <c r="T5" s="112">
        <v>9.0665999999999993E-3</v>
      </c>
      <c r="U5" s="112"/>
      <c r="V5" s="112"/>
      <c r="W5" s="112"/>
      <c r="X5" s="112"/>
      <c r="Y5" s="112">
        <v>3.18313E-2</v>
      </c>
      <c r="Z5" s="112"/>
      <c r="AA5" s="112"/>
      <c r="AB5" s="112"/>
      <c r="AC5" s="112">
        <v>0.16543380000000002</v>
      </c>
      <c r="AD5" s="124">
        <f t="shared" si="0"/>
        <v>1.6262046593925098E-3</v>
      </c>
    </row>
    <row r="6" spans="1:30">
      <c r="B6" s="109" t="s">
        <v>254</v>
      </c>
      <c r="C6" s="112">
        <v>33.072287428000003</v>
      </c>
      <c r="D6" s="48">
        <v>0.78</v>
      </c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>
        <v>9.7644999999999989E-3</v>
      </c>
      <c r="S6" s="112"/>
      <c r="T6" s="112">
        <v>1.08249E-2</v>
      </c>
      <c r="U6" s="112"/>
      <c r="V6" s="112"/>
      <c r="W6" s="112"/>
      <c r="X6" s="112"/>
      <c r="Y6" s="112">
        <v>4.8912400000000002E-2</v>
      </c>
      <c r="Z6" s="112"/>
      <c r="AA6" s="112"/>
      <c r="AB6" s="112"/>
      <c r="AC6" s="112">
        <v>6.9501800000000002E-2</v>
      </c>
      <c r="AD6" s="124">
        <f t="shared" si="0"/>
        <v>2.1015117309714014E-3</v>
      </c>
    </row>
    <row r="7" spans="1:30">
      <c r="B7" s="109" t="s">
        <v>871</v>
      </c>
      <c r="C7" s="112">
        <v>33.840000000000003</v>
      </c>
      <c r="D7" s="48">
        <v>0.88</v>
      </c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>
        <v>6.0504664999999999E-2</v>
      </c>
      <c r="S7" s="112"/>
      <c r="T7" s="112"/>
      <c r="U7" s="112"/>
      <c r="V7" s="112"/>
      <c r="W7" s="112"/>
      <c r="X7" s="112"/>
      <c r="Y7" s="112">
        <v>9.1649599999999998E-3</v>
      </c>
      <c r="Z7" s="112"/>
      <c r="AA7" s="112"/>
      <c r="AB7" s="112"/>
      <c r="AC7" s="112">
        <v>6.9669624999999999E-2</v>
      </c>
      <c r="AD7" s="124">
        <f t="shared" si="0"/>
        <v>2.0587950650118201E-3</v>
      </c>
    </row>
    <row r="8" spans="1:30">
      <c r="B8" s="109" t="s">
        <v>439</v>
      </c>
      <c r="C8" s="112">
        <v>74.7</v>
      </c>
      <c r="D8" s="48">
        <v>0.56000000000000005</v>
      </c>
      <c r="E8" s="112">
        <v>3.5568925000000001E-2</v>
      </c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>
        <v>8.0034999999999995E-2</v>
      </c>
      <c r="S8" s="112"/>
      <c r="T8" s="112">
        <v>2.9899200000000001E-2</v>
      </c>
      <c r="U8" s="112"/>
      <c r="V8" s="112"/>
      <c r="W8" s="112"/>
      <c r="X8" s="112"/>
      <c r="Y8" s="112"/>
      <c r="Z8" s="112"/>
      <c r="AA8" s="112"/>
      <c r="AB8" s="112"/>
      <c r="AC8" s="112">
        <v>0.14550312500000001</v>
      </c>
      <c r="AD8" s="124">
        <f t="shared" si="0"/>
        <v>1.9478329986613119E-3</v>
      </c>
    </row>
    <row r="9" spans="1:30">
      <c r="B9" s="109" t="s">
        <v>340</v>
      </c>
      <c r="C9" s="112">
        <v>33.42</v>
      </c>
      <c r="D9" s="48">
        <v>1</v>
      </c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>
        <v>1.05015E-2</v>
      </c>
      <c r="S9" s="112"/>
      <c r="T9" s="112"/>
      <c r="U9" s="112"/>
      <c r="V9" s="112"/>
      <c r="W9" s="112"/>
      <c r="X9" s="112"/>
      <c r="Y9" s="112">
        <v>1.0510100000000001E-2</v>
      </c>
      <c r="Z9" s="112"/>
      <c r="AA9" s="112"/>
      <c r="AB9" s="112"/>
      <c r="AC9" s="112">
        <v>2.1011600000000002E-2</v>
      </c>
      <c r="AD9" s="124">
        <f t="shared" si="0"/>
        <v>6.2871334530221427E-4</v>
      </c>
    </row>
    <row r="10" spans="1:30">
      <c r="B10" s="109" t="s">
        <v>758</v>
      </c>
      <c r="C10" s="112">
        <v>55.1</v>
      </c>
      <c r="D10" s="48">
        <v>0.67</v>
      </c>
      <c r="E10" s="112">
        <v>0.1280097</v>
      </c>
      <c r="F10" s="112">
        <v>3.0218899999999996E-2</v>
      </c>
      <c r="G10" s="112"/>
      <c r="H10" s="112"/>
      <c r="I10" s="112">
        <v>4.0542499999999997E-3</v>
      </c>
      <c r="J10" s="112"/>
      <c r="K10" s="112"/>
      <c r="L10" s="112"/>
      <c r="M10" s="112">
        <v>3.3999999999999998E-3</v>
      </c>
      <c r="N10" s="112"/>
      <c r="O10" s="112">
        <v>1.8816975000000003E-3</v>
      </c>
      <c r="P10" s="112"/>
      <c r="Q10" s="112">
        <v>0</v>
      </c>
      <c r="R10" s="112">
        <v>0.20263265600000002</v>
      </c>
      <c r="S10" s="112"/>
      <c r="T10" s="112">
        <v>7.6923720000000001E-2</v>
      </c>
      <c r="U10" s="112"/>
      <c r="V10" s="112"/>
      <c r="W10" s="112"/>
      <c r="X10" s="112">
        <v>9.6143449999999991E-2</v>
      </c>
      <c r="Y10" s="112">
        <v>2.24291E-2</v>
      </c>
      <c r="Z10" s="112"/>
      <c r="AA10" s="112">
        <v>7.1520975999999998E-3</v>
      </c>
      <c r="AB10" s="112"/>
      <c r="AC10" s="112">
        <v>0.57284557110000001</v>
      </c>
      <c r="AD10" s="124">
        <f t="shared" si="0"/>
        <v>1.0396471344827586E-2</v>
      </c>
    </row>
    <row r="11" spans="1:30">
      <c r="B11" s="109" t="s">
        <v>590</v>
      </c>
      <c r="C11" s="112">
        <v>97.37</v>
      </c>
      <c r="D11" s="48">
        <v>0.56999999999999995</v>
      </c>
      <c r="E11" s="112">
        <v>4.9405611999999995E-2</v>
      </c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>
        <v>7.3499040000000002E-2</v>
      </c>
      <c r="S11" s="112"/>
      <c r="T11" s="112">
        <v>9.4013399999999997E-2</v>
      </c>
      <c r="U11" s="112"/>
      <c r="V11" s="112"/>
      <c r="W11" s="112"/>
      <c r="X11" s="112"/>
      <c r="Y11" s="112"/>
      <c r="Z11" s="112"/>
      <c r="AA11" s="112"/>
      <c r="AB11" s="112"/>
      <c r="AC11" s="112">
        <v>0.216918052</v>
      </c>
      <c r="AD11" s="124">
        <f t="shared" si="0"/>
        <v>2.2277708945260344E-3</v>
      </c>
    </row>
    <row r="12" spans="1:30">
      <c r="B12" s="109" t="s">
        <v>323</v>
      </c>
      <c r="C12" s="112">
        <v>14.36</v>
      </c>
      <c r="D12" s="48">
        <v>0.6</v>
      </c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>
        <v>5.2628999999999992E-3</v>
      </c>
      <c r="R12" s="112">
        <v>2.8024157000000001E-2</v>
      </c>
      <c r="S12" s="112"/>
      <c r="T12" s="112">
        <v>0.14846000000000001</v>
      </c>
      <c r="U12" s="112"/>
      <c r="V12" s="112"/>
      <c r="W12" s="112"/>
      <c r="X12" s="112"/>
      <c r="Y12" s="112"/>
      <c r="Z12" s="112"/>
      <c r="AA12" s="112"/>
      <c r="AB12" s="112"/>
      <c r="AC12" s="112">
        <v>0.18174705700000002</v>
      </c>
      <c r="AD12" s="124">
        <f t="shared" si="0"/>
        <v>1.265648029247911E-2</v>
      </c>
    </row>
    <row r="13" spans="1:30">
      <c r="B13" s="109" t="s">
        <v>947</v>
      </c>
      <c r="C13" s="112">
        <v>189.07</v>
      </c>
      <c r="D13" s="48">
        <v>0.92</v>
      </c>
      <c r="E13" s="112"/>
      <c r="F13" s="112"/>
      <c r="G13" s="112">
        <v>5.57648E-4</v>
      </c>
      <c r="H13" s="112"/>
      <c r="I13" s="112"/>
      <c r="J13" s="112"/>
      <c r="K13" s="112"/>
      <c r="L13" s="112"/>
      <c r="M13" s="112"/>
      <c r="N13" s="112">
        <v>1.4800000000000001E-2</v>
      </c>
      <c r="O13" s="112"/>
      <c r="P13" s="112"/>
      <c r="Q13" s="112"/>
      <c r="R13" s="112">
        <v>9.4918899999999991E-4</v>
      </c>
      <c r="S13" s="112"/>
      <c r="T13" s="112">
        <v>1.575E-5</v>
      </c>
      <c r="U13" s="112">
        <v>1.6348000000000003E-4</v>
      </c>
      <c r="V13" s="112"/>
      <c r="W13" s="112"/>
      <c r="X13" s="112"/>
      <c r="Y13" s="112"/>
      <c r="Z13" s="112"/>
      <c r="AA13" s="112"/>
      <c r="AB13" s="112"/>
      <c r="AC13" s="112">
        <v>1.6486067E-2</v>
      </c>
      <c r="AD13" s="124">
        <f t="shared" si="0"/>
        <v>8.7195573068175807E-5</v>
      </c>
    </row>
    <row r="14" spans="1:30">
      <c r="B14" s="109" t="s">
        <v>421</v>
      </c>
      <c r="C14" s="112">
        <v>134.99</v>
      </c>
      <c r="D14" s="48">
        <v>1</v>
      </c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>
        <v>7.2099999999999997E-2</v>
      </c>
      <c r="Z14" s="112"/>
      <c r="AA14" s="112"/>
      <c r="AB14" s="112"/>
      <c r="AC14" s="112">
        <v>7.2099999999999997E-2</v>
      </c>
      <c r="AD14" s="124">
        <f t="shared" si="0"/>
        <v>5.3411363804726272E-4</v>
      </c>
    </row>
    <row r="15" spans="1:30">
      <c r="B15" s="109" t="s">
        <v>11</v>
      </c>
      <c r="C15" s="112">
        <v>24.93</v>
      </c>
      <c r="D15" s="48">
        <v>0.28000000000000003</v>
      </c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>
        <v>8.2799999999999999E-2</v>
      </c>
      <c r="U15" s="112"/>
      <c r="V15" s="112"/>
      <c r="W15" s="112"/>
      <c r="X15" s="112"/>
      <c r="Y15" s="112"/>
      <c r="Z15" s="112"/>
      <c r="AA15" s="112"/>
      <c r="AB15" s="112"/>
      <c r="AC15" s="112">
        <v>8.2799999999999999E-2</v>
      </c>
      <c r="AD15" s="124">
        <f t="shared" si="0"/>
        <v>3.3212996389891695E-3</v>
      </c>
    </row>
    <row r="16" spans="1:30">
      <c r="B16" s="109" t="s">
        <v>417</v>
      </c>
      <c r="C16" s="112">
        <v>13.72</v>
      </c>
      <c r="D16" s="48">
        <v>0.68</v>
      </c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>
        <v>3.4265760000000002E-3</v>
      </c>
      <c r="S16" s="112"/>
      <c r="T16" s="112">
        <v>5.3518739999999995E-3</v>
      </c>
      <c r="U16" s="112"/>
      <c r="V16" s="112"/>
      <c r="W16" s="112"/>
      <c r="X16" s="112"/>
      <c r="Y16" s="112"/>
      <c r="Z16" s="112"/>
      <c r="AA16" s="112"/>
      <c r="AB16" s="112"/>
      <c r="AC16" s="112">
        <v>8.7784500000000001E-3</v>
      </c>
      <c r="AD16" s="124">
        <f t="shared" si="0"/>
        <v>6.3982871720116613E-4</v>
      </c>
    </row>
    <row r="17" spans="2:30">
      <c r="B17" s="109" t="s">
        <v>408</v>
      </c>
      <c r="C17" s="112">
        <v>14.71</v>
      </c>
      <c r="D17" s="48">
        <v>0.86</v>
      </c>
      <c r="E17" s="112">
        <v>4.5661085000000004E-2</v>
      </c>
      <c r="F17" s="112"/>
      <c r="G17" s="112"/>
      <c r="H17" s="112"/>
      <c r="I17" s="112">
        <v>3.1915600000000002E-4</v>
      </c>
      <c r="J17" s="112"/>
      <c r="K17" s="112">
        <v>1.0593800000000001E-4</v>
      </c>
      <c r="L17" s="112"/>
      <c r="M17" s="112"/>
      <c r="N17" s="112"/>
      <c r="O17" s="112"/>
      <c r="P17" s="112"/>
      <c r="Q17" s="112"/>
      <c r="R17" s="112">
        <v>7.3276226999999999E-2</v>
      </c>
      <c r="S17" s="112"/>
      <c r="T17" s="112">
        <v>2.3772351000000004E-2</v>
      </c>
      <c r="U17" s="112"/>
      <c r="V17" s="112"/>
      <c r="W17" s="112">
        <v>1.3210990000000001E-3</v>
      </c>
      <c r="X17" s="112"/>
      <c r="Y17" s="112">
        <v>8.3394699999999992E-4</v>
      </c>
      <c r="Z17" s="112"/>
      <c r="AA17" s="112"/>
      <c r="AB17" s="112"/>
      <c r="AC17" s="112">
        <v>0.145289803</v>
      </c>
      <c r="AD17" s="124">
        <f t="shared" si="0"/>
        <v>9.8769410605030576E-3</v>
      </c>
    </row>
    <row r="18" spans="2:30">
      <c r="B18" s="109" t="s">
        <v>621</v>
      </c>
      <c r="C18" s="112">
        <v>115.66</v>
      </c>
      <c r="D18" s="48">
        <v>0.77</v>
      </c>
      <c r="E18" s="112">
        <v>0.46576364900000011</v>
      </c>
      <c r="F18" s="112">
        <v>0.132629</v>
      </c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>
        <v>0.59839264900000011</v>
      </c>
      <c r="AD18" s="124">
        <f t="shared" si="0"/>
        <v>5.1737216756008999E-3</v>
      </c>
    </row>
    <row r="19" spans="2:30">
      <c r="B19" s="109" t="s">
        <v>829</v>
      </c>
      <c r="C19" s="112">
        <v>52.45</v>
      </c>
      <c r="D19" s="48">
        <v>0.94</v>
      </c>
      <c r="E19" s="112">
        <v>6.8937449999999997E-2</v>
      </c>
      <c r="F19" s="112"/>
      <c r="G19" s="112">
        <v>2.8979999999999999E-2</v>
      </c>
      <c r="H19" s="112"/>
      <c r="I19" s="112"/>
      <c r="J19" s="112">
        <v>1.2815999999999999E-2</v>
      </c>
      <c r="K19" s="112"/>
      <c r="L19" s="112"/>
      <c r="M19" s="112"/>
      <c r="N19" s="112">
        <v>1.7919999999999998E-2</v>
      </c>
      <c r="O19" s="112"/>
      <c r="P19" s="112">
        <v>5.9748718499999999E-2</v>
      </c>
      <c r="Q19" s="112">
        <v>1.021E-2</v>
      </c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>
        <v>0.16619534999999999</v>
      </c>
      <c r="AC19" s="112">
        <v>0.36480751849999993</v>
      </c>
      <c r="AD19" s="124">
        <f t="shared" si="0"/>
        <v>6.9553387702573867E-3</v>
      </c>
    </row>
    <row r="20" spans="2:30">
      <c r="B20" s="109" t="s">
        <v>852</v>
      </c>
      <c r="C20" s="112">
        <v>138.21</v>
      </c>
      <c r="D20" s="48">
        <v>0.91</v>
      </c>
      <c r="E20" s="112">
        <v>1.4874800000000001E-2</v>
      </c>
      <c r="F20" s="112"/>
      <c r="G20" s="112"/>
      <c r="H20" s="112"/>
      <c r="I20" s="112"/>
      <c r="J20" s="112">
        <v>1.7202949000000002E-2</v>
      </c>
      <c r="K20" s="112"/>
      <c r="L20" s="112"/>
      <c r="M20" s="112"/>
      <c r="N20" s="112">
        <v>2.9696E-2</v>
      </c>
      <c r="O20" s="112"/>
      <c r="P20" s="112">
        <v>9.7812475159999995E-2</v>
      </c>
      <c r="Q20" s="112"/>
      <c r="R20" s="112">
        <v>0</v>
      </c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>
        <v>0.15958622416000001</v>
      </c>
      <c r="AD20" s="124">
        <f t="shared" si="0"/>
        <v>1.1546648155705086E-3</v>
      </c>
    </row>
    <row r="21" spans="2:30">
      <c r="B21" s="109" t="s">
        <v>39</v>
      </c>
      <c r="C21" s="112">
        <v>41.44</v>
      </c>
      <c r="D21" s="48">
        <v>0.62</v>
      </c>
      <c r="E21" s="112"/>
      <c r="F21" s="112"/>
      <c r="G21" s="112"/>
      <c r="H21" s="112">
        <v>0.68848211800000003</v>
      </c>
      <c r="I21" s="112">
        <v>0.12796195099999999</v>
      </c>
      <c r="J21" s="112"/>
      <c r="K21" s="112"/>
      <c r="L21" s="112">
        <v>6.1237395999999999E-2</v>
      </c>
      <c r="M21" s="112"/>
      <c r="N21" s="112"/>
      <c r="O21" s="112"/>
      <c r="P21" s="112"/>
      <c r="Q21" s="112"/>
      <c r="R21" s="112">
        <v>0.10892567499999999</v>
      </c>
      <c r="S21" s="112"/>
      <c r="T21" s="112">
        <v>6.6656340000000008E-2</v>
      </c>
      <c r="U21" s="112"/>
      <c r="V21" s="112"/>
      <c r="W21" s="112">
        <v>0.28853438399999998</v>
      </c>
      <c r="X21" s="112">
        <v>7.7900434000000018E-2</v>
      </c>
      <c r="Y21" s="112"/>
      <c r="Z21" s="112"/>
      <c r="AA21" s="112"/>
      <c r="AB21" s="112"/>
      <c r="AC21" s="112">
        <v>1.4196982980000001</v>
      </c>
      <c r="AD21" s="124">
        <f t="shared" si="0"/>
        <v>3.4259128812741318E-2</v>
      </c>
    </row>
    <row r="22" spans="2:30">
      <c r="B22" s="44" t="s">
        <v>1362</v>
      </c>
      <c r="C22" s="49"/>
      <c r="D22" s="49"/>
      <c r="E22" s="49">
        <v>0.80822122100000005</v>
      </c>
      <c r="F22" s="49">
        <v>0.16284789999999999</v>
      </c>
      <c r="G22" s="49">
        <v>2.9537648E-2</v>
      </c>
      <c r="H22" s="49">
        <v>0.68848211800000003</v>
      </c>
      <c r="I22" s="49">
        <v>0.19058765699999999</v>
      </c>
      <c r="J22" s="49">
        <v>3.0018949000000003E-2</v>
      </c>
      <c r="K22" s="49">
        <v>2.8865637999999999E-2</v>
      </c>
      <c r="L22" s="49">
        <v>6.1237395999999999E-2</v>
      </c>
      <c r="M22" s="49">
        <v>3.3999999999999998E-3</v>
      </c>
      <c r="N22" s="49">
        <v>6.2415999999999999E-2</v>
      </c>
      <c r="O22" s="49">
        <v>1.8816975000000003E-3</v>
      </c>
      <c r="P22" s="49">
        <v>0.15756119365999999</v>
      </c>
      <c r="Q22" s="49">
        <v>1.54729E-2</v>
      </c>
      <c r="R22" s="49">
        <v>0.72008873499999992</v>
      </c>
      <c r="S22" s="49">
        <v>2.8419E-2</v>
      </c>
      <c r="T22" s="49">
        <v>0.55648413499999994</v>
      </c>
      <c r="U22" s="49">
        <v>1.6348000000000003E-4</v>
      </c>
      <c r="V22" s="49">
        <v>3.7283400000000001E-2</v>
      </c>
      <c r="W22" s="49">
        <v>0.28985548299999997</v>
      </c>
      <c r="X22" s="49">
        <v>0.17404388400000001</v>
      </c>
      <c r="Y22" s="49">
        <v>0.20863430699999999</v>
      </c>
      <c r="Z22" s="49">
        <v>0.59885290000000002</v>
      </c>
      <c r="AA22" s="49">
        <v>7.1520975999999998E-3</v>
      </c>
      <c r="AB22" s="49">
        <v>0.16619534999999999</v>
      </c>
      <c r="AC22" s="49">
        <f>SUM(AC2:AC21)</f>
        <v>5.0277030897600001</v>
      </c>
      <c r="AD22" s="41"/>
    </row>
    <row r="39" spans="1:30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0"/>
    </row>
    <row r="40" spans="1:30">
      <c r="A40" s="10"/>
      <c r="B40" s="126"/>
      <c r="C40" s="126"/>
      <c r="D40" s="126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0"/>
      <c r="AD40" s="10"/>
    </row>
    <row r="41" spans="1:30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68"/>
      <c r="AD41" s="68"/>
    </row>
    <row r="42" spans="1:30">
      <c r="A42" s="10"/>
      <c r="B42" s="10"/>
      <c r="C42" s="10"/>
      <c r="D42" s="48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2"/>
      <c r="S42" s="12"/>
      <c r="T42" s="10"/>
      <c r="U42" s="10"/>
      <c r="V42" s="10"/>
      <c r="W42" s="10"/>
      <c r="X42" s="10"/>
      <c r="Y42" s="10"/>
      <c r="Z42" s="12"/>
      <c r="AA42" s="10"/>
      <c r="AB42" s="10"/>
      <c r="AC42" s="12"/>
      <c r="AD42" s="50"/>
    </row>
    <row r="43" spans="1:30">
      <c r="A43" s="10"/>
      <c r="B43" s="10"/>
      <c r="C43" s="10"/>
      <c r="D43" s="48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2"/>
      <c r="S43" s="12"/>
      <c r="T43" s="10"/>
      <c r="U43" s="10"/>
      <c r="V43" s="10"/>
      <c r="W43" s="10"/>
      <c r="X43" s="10"/>
      <c r="Y43" s="12"/>
      <c r="Z43" s="10"/>
      <c r="AA43" s="10"/>
      <c r="AB43" s="10"/>
      <c r="AC43" s="12"/>
      <c r="AD43" s="50"/>
    </row>
    <row r="44" spans="1:30">
      <c r="A44" s="10"/>
      <c r="B44" s="10"/>
      <c r="C44" s="10"/>
      <c r="D44" s="48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2"/>
      <c r="S44" s="12"/>
      <c r="T44" s="12"/>
      <c r="U44" s="10"/>
      <c r="V44" s="10"/>
      <c r="W44" s="10"/>
      <c r="X44" s="10"/>
      <c r="Y44" s="12"/>
      <c r="Z44" s="10"/>
      <c r="AA44" s="10"/>
      <c r="AB44" s="10"/>
      <c r="AC44" s="12"/>
      <c r="AD44" s="50"/>
    </row>
    <row r="45" spans="1:30">
      <c r="A45" s="10"/>
      <c r="B45" s="10"/>
      <c r="C45" s="10"/>
      <c r="D45" s="48"/>
      <c r="E45" s="12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2"/>
      <c r="S45" s="12"/>
      <c r="T45" s="12"/>
      <c r="U45" s="10"/>
      <c r="V45" s="10"/>
      <c r="W45" s="10"/>
      <c r="X45" s="10"/>
      <c r="Y45" s="12"/>
      <c r="Z45" s="10"/>
      <c r="AA45" s="10"/>
      <c r="AB45" s="10"/>
      <c r="AC45" s="12"/>
      <c r="AD45" s="50"/>
    </row>
    <row r="46" spans="1:30">
      <c r="A46" s="10"/>
      <c r="B46" s="10"/>
      <c r="C46" s="10"/>
      <c r="D46" s="48"/>
      <c r="E46" s="1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2"/>
      <c r="S46" s="12"/>
      <c r="T46" s="12"/>
      <c r="U46" s="10"/>
      <c r="V46" s="10"/>
      <c r="W46" s="10"/>
      <c r="X46" s="10"/>
      <c r="Y46" s="12"/>
      <c r="Z46" s="10"/>
      <c r="AA46" s="10"/>
      <c r="AB46" s="10"/>
      <c r="AC46" s="12"/>
      <c r="AD46" s="50"/>
    </row>
    <row r="47" spans="1:30">
      <c r="A47" s="10"/>
      <c r="B47" s="10"/>
      <c r="C47" s="10"/>
      <c r="D47" s="48"/>
      <c r="E47" s="12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2"/>
      <c r="S47" s="12"/>
      <c r="T47" s="12"/>
      <c r="U47" s="10"/>
      <c r="V47" s="10"/>
      <c r="W47" s="10"/>
      <c r="X47" s="10"/>
      <c r="Y47" s="12"/>
      <c r="Z47" s="10"/>
      <c r="AA47" s="10"/>
      <c r="AB47" s="10"/>
      <c r="AC47" s="12"/>
      <c r="AD47" s="50"/>
    </row>
    <row r="48" spans="1:30">
      <c r="A48" s="10"/>
      <c r="B48" s="10"/>
      <c r="C48" s="10"/>
      <c r="D48" s="48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"/>
      <c r="R48" s="12"/>
      <c r="S48" s="12"/>
      <c r="T48" s="12"/>
      <c r="U48" s="10"/>
      <c r="V48" s="10"/>
      <c r="W48" s="10"/>
      <c r="X48" s="10"/>
      <c r="Y48" s="12"/>
      <c r="Z48" s="10"/>
      <c r="AA48" s="10"/>
      <c r="AB48" s="10"/>
      <c r="AC48" s="12"/>
      <c r="AD48" s="50"/>
    </row>
    <row r="49" spans="1:30">
      <c r="A49" s="10"/>
      <c r="B49" s="10"/>
      <c r="C49" s="10"/>
      <c r="D49" s="48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"/>
      <c r="R49" s="12"/>
      <c r="S49" s="12"/>
      <c r="T49" s="12"/>
      <c r="U49" s="10"/>
      <c r="V49" s="10"/>
      <c r="W49" s="10"/>
      <c r="X49" s="10"/>
      <c r="Y49" s="12"/>
      <c r="Z49" s="10"/>
      <c r="AA49" s="10"/>
      <c r="AB49" s="10"/>
      <c r="AC49" s="12"/>
      <c r="AD49" s="50"/>
    </row>
    <row r="50" spans="1:30">
      <c r="A50" s="10"/>
      <c r="B50" s="10"/>
      <c r="C50" s="10"/>
      <c r="D50" s="48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"/>
      <c r="R50" s="12"/>
      <c r="S50" s="12"/>
      <c r="T50" s="12"/>
      <c r="U50" s="10"/>
      <c r="V50" s="10"/>
      <c r="W50" s="10"/>
      <c r="X50" s="10"/>
      <c r="Y50" s="10"/>
      <c r="Z50" s="10"/>
      <c r="AA50" s="10"/>
      <c r="AB50" s="10"/>
      <c r="AC50" s="12"/>
      <c r="AD50" s="50"/>
    </row>
    <row r="51" spans="1:30">
      <c r="A51" s="10"/>
      <c r="B51" s="10"/>
      <c r="C51" s="10"/>
      <c r="D51" s="48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"/>
      <c r="R51" s="12"/>
      <c r="S51" s="12"/>
      <c r="T51" s="12"/>
      <c r="U51" s="10"/>
      <c r="V51" s="10"/>
      <c r="W51" s="10"/>
      <c r="X51" s="10"/>
      <c r="Y51" s="10"/>
      <c r="Z51" s="10"/>
      <c r="AA51" s="10"/>
      <c r="AB51" s="10"/>
      <c r="AC51" s="12"/>
      <c r="AD51" s="50"/>
    </row>
    <row r="52" spans="1:30">
      <c r="A52" s="10"/>
      <c r="B52" s="10"/>
      <c r="C52" s="10"/>
      <c r="D52" s="48"/>
      <c r="E52" s="12"/>
      <c r="F52" s="12"/>
      <c r="G52" s="12"/>
      <c r="H52" s="10"/>
      <c r="I52" s="10"/>
      <c r="J52" s="10"/>
      <c r="K52" s="10"/>
      <c r="L52" s="10"/>
      <c r="M52" s="10"/>
      <c r="N52" s="10"/>
      <c r="O52" s="10"/>
      <c r="P52" s="10"/>
      <c r="Q52" s="12"/>
      <c r="R52" s="12"/>
      <c r="S52" s="12"/>
      <c r="T52" s="12"/>
      <c r="U52" s="10"/>
      <c r="V52" s="10"/>
      <c r="W52" s="10"/>
      <c r="X52" s="10"/>
      <c r="Y52" s="10"/>
      <c r="Z52" s="10"/>
      <c r="AA52" s="10"/>
      <c r="AB52" s="10"/>
      <c r="AC52" s="12"/>
      <c r="AD52" s="50"/>
    </row>
    <row r="53" spans="1:30">
      <c r="A53" s="10"/>
      <c r="B53" s="10"/>
      <c r="C53" s="10"/>
      <c r="D53" s="48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0"/>
      <c r="P53" s="10"/>
      <c r="Q53" s="12"/>
      <c r="R53" s="12"/>
      <c r="S53" s="12"/>
      <c r="T53" s="12"/>
      <c r="U53" s="10"/>
      <c r="V53" s="12"/>
      <c r="W53" s="12"/>
      <c r="X53" s="12"/>
      <c r="Y53" s="10"/>
      <c r="Z53" s="10"/>
      <c r="AA53" s="10"/>
      <c r="AB53" s="10"/>
      <c r="AC53" s="12"/>
      <c r="AD53" s="50"/>
    </row>
    <row r="54" spans="1:30">
      <c r="A54" s="10"/>
      <c r="B54" s="10"/>
      <c r="C54" s="10"/>
      <c r="D54" s="48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0"/>
      <c r="P54" s="10"/>
      <c r="Q54" s="12"/>
      <c r="R54" s="12"/>
      <c r="S54" s="12"/>
      <c r="T54" s="12"/>
      <c r="U54" s="10"/>
      <c r="V54" s="12"/>
      <c r="W54" s="12"/>
      <c r="X54" s="12"/>
      <c r="Y54" s="10"/>
      <c r="Z54" s="10"/>
      <c r="AA54" s="10"/>
      <c r="AB54" s="10"/>
      <c r="AC54" s="12"/>
      <c r="AD54" s="50"/>
    </row>
    <row r="55" spans="1:30">
      <c r="A55" s="10"/>
      <c r="B55" s="10"/>
      <c r="C55" s="10"/>
      <c r="D55" s="48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0"/>
      <c r="P55" s="10"/>
      <c r="Q55" s="12"/>
      <c r="R55" s="12"/>
      <c r="S55" s="12"/>
      <c r="T55" s="12"/>
      <c r="U55" s="10"/>
      <c r="V55" s="10"/>
      <c r="W55" s="10"/>
      <c r="X55" s="12"/>
      <c r="Y55" s="10"/>
      <c r="Z55" s="10"/>
      <c r="AA55" s="10"/>
      <c r="AB55" s="10"/>
      <c r="AC55" s="12"/>
      <c r="AD55" s="50"/>
    </row>
    <row r="56" spans="1:30">
      <c r="A56" s="10"/>
      <c r="B56" s="10"/>
      <c r="C56" s="10"/>
      <c r="D56" s="48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0"/>
      <c r="P56" s="10"/>
      <c r="Q56" s="12"/>
      <c r="R56" s="12"/>
      <c r="S56" s="12"/>
      <c r="T56" s="12"/>
      <c r="U56" s="10"/>
      <c r="V56" s="10"/>
      <c r="W56" s="10"/>
      <c r="X56" s="12"/>
      <c r="Y56" s="10"/>
      <c r="Z56" s="10"/>
      <c r="AA56" s="10"/>
      <c r="AB56" s="10"/>
      <c r="AC56" s="12"/>
      <c r="AD56" s="50"/>
    </row>
    <row r="57" spans="1:30">
      <c r="A57" s="10"/>
      <c r="B57" s="10"/>
      <c r="C57" s="10"/>
      <c r="D57" s="48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0"/>
      <c r="P57" s="10"/>
      <c r="Q57" s="12"/>
      <c r="R57" s="12"/>
      <c r="S57" s="12"/>
      <c r="T57" s="12"/>
      <c r="U57" s="10"/>
      <c r="V57" s="10"/>
      <c r="W57" s="10"/>
      <c r="X57" s="12"/>
      <c r="Y57" s="10"/>
      <c r="Z57" s="10"/>
      <c r="AA57" s="10"/>
      <c r="AB57" s="10"/>
      <c r="AC57" s="12"/>
      <c r="AD57" s="50"/>
    </row>
    <row r="58" spans="1:30">
      <c r="A58" s="10"/>
      <c r="B58" s="10"/>
      <c r="C58" s="10"/>
      <c r="D58" s="48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40"/>
      <c r="P58" s="40"/>
      <c r="Q58" s="12"/>
      <c r="R58" s="12"/>
      <c r="S58" s="12"/>
      <c r="T58" s="12"/>
      <c r="U58" s="10"/>
      <c r="V58" s="10"/>
      <c r="W58" s="10"/>
      <c r="X58" s="12"/>
      <c r="Y58" s="10"/>
      <c r="Z58" s="10"/>
      <c r="AA58" s="12"/>
      <c r="AB58" s="10"/>
      <c r="AC58" s="12"/>
      <c r="AD58" s="50"/>
    </row>
    <row r="59" spans="1:30">
      <c r="A59" s="10"/>
      <c r="B59" s="10"/>
      <c r="C59" s="10"/>
      <c r="D59" s="48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40"/>
      <c r="P59" s="40"/>
      <c r="Q59" s="12"/>
      <c r="R59" s="12"/>
      <c r="S59" s="12"/>
      <c r="T59" s="12"/>
      <c r="U59" s="10"/>
      <c r="V59" s="10"/>
      <c r="W59" s="10"/>
      <c r="X59" s="10"/>
      <c r="Y59" s="10"/>
      <c r="Z59" s="10"/>
      <c r="AA59" s="10"/>
      <c r="AB59" s="12"/>
      <c r="AC59" s="12"/>
      <c r="AD59" s="50"/>
    </row>
    <row r="60" spans="1:30">
      <c r="A60" s="10"/>
      <c r="B60" s="10"/>
      <c r="C60" s="10"/>
      <c r="D60" s="48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40"/>
      <c r="P60" s="40"/>
      <c r="Q60" s="12"/>
      <c r="R60" s="12"/>
      <c r="S60" s="12"/>
      <c r="T60" s="12"/>
      <c r="U60" s="10"/>
      <c r="V60" s="10"/>
      <c r="W60" s="10"/>
      <c r="X60" s="10"/>
      <c r="Y60" s="10"/>
      <c r="Z60" s="10"/>
      <c r="AA60" s="10"/>
      <c r="AB60" s="10"/>
      <c r="AC60" s="12"/>
      <c r="AD60" s="50"/>
    </row>
    <row r="61" spans="1:30">
      <c r="A61" s="10"/>
      <c r="B61" s="10"/>
      <c r="C61" s="10"/>
      <c r="D61" s="48"/>
      <c r="E61" s="10"/>
      <c r="F61" s="12"/>
      <c r="G61" s="12"/>
      <c r="H61" s="12"/>
      <c r="I61" s="12"/>
      <c r="J61" s="12"/>
      <c r="K61" s="12"/>
      <c r="L61" s="12"/>
      <c r="M61" s="12"/>
      <c r="N61" s="12"/>
      <c r="O61" s="10"/>
      <c r="P61" s="10"/>
      <c r="Q61" s="10"/>
      <c r="R61" s="12"/>
      <c r="S61" s="12"/>
      <c r="T61" s="12"/>
      <c r="U61" s="12"/>
      <c r="V61" s="10"/>
      <c r="W61" s="10"/>
      <c r="X61" s="10"/>
      <c r="Y61" s="10"/>
      <c r="Z61" s="10"/>
      <c r="AA61" s="10"/>
      <c r="AB61" s="10"/>
      <c r="AC61" s="12"/>
      <c r="AD61" s="50"/>
    </row>
    <row r="62" spans="1:30">
      <c r="A62" s="128"/>
      <c r="B62" s="129"/>
      <c r="C62" s="129"/>
      <c r="D62" s="129"/>
      <c r="AC62" s="123"/>
    </row>
  </sheetData>
  <mergeCells count="3">
    <mergeCell ref="A62:D62"/>
    <mergeCell ref="A39:AC39"/>
    <mergeCell ref="E40:AB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3194-AA08-474F-810F-883FAE9B72C7}">
  <dimension ref="A1:AE30"/>
  <sheetViews>
    <sheetView topLeftCell="A9" workbookViewId="0">
      <selection activeCell="E29" sqref="E29:K30"/>
    </sheetView>
  </sheetViews>
  <sheetFormatPr defaultRowHeight="14.5"/>
  <cols>
    <col min="2" max="2" width="38.1796875" bestFit="1" customWidth="1"/>
    <col min="5" max="5" width="30.36328125" bestFit="1" customWidth="1"/>
    <col min="8" max="8" width="10.90625" bestFit="1" customWidth="1"/>
    <col min="10" max="10" width="9.6328125" bestFit="1" customWidth="1"/>
  </cols>
  <sheetData>
    <row r="1" spans="1:31">
      <c r="A1" s="125" t="s">
        <v>1363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0"/>
    </row>
    <row r="2" spans="1:31">
      <c r="A2" s="127" t="s">
        <v>963</v>
      </c>
      <c r="B2" s="127"/>
      <c r="C2" s="127"/>
      <c r="D2" s="127"/>
      <c r="E2" s="127" t="s">
        <v>962</v>
      </c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0"/>
      <c r="AD2" s="10"/>
    </row>
    <row r="3" spans="1:31" ht="58">
      <c r="A3" s="44" t="s">
        <v>904</v>
      </c>
      <c r="B3" s="44" t="s">
        <v>1360</v>
      </c>
      <c r="C3" s="44" t="s">
        <v>948</v>
      </c>
      <c r="D3" s="44" t="s">
        <v>905</v>
      </c>
      <c r="E3" s="44" t="s">
        <v>899</v>
      </c>
      <c r="F3" s="44" t="s">
        <v>1355</v>
      </c>
      <c r="G3" s="44" t="s">
        <v>986</v>
      </c>
      <c r="H3" s="44" t="s">
        <v>977</v>
      </c>
      <c r="I3" s="44" t="s">
        <v>721</v>
      </c>
      <c r="J3" s="44" t="s">
        <v>988</v>
      </c>
      <c r="K3" s="44" t="s">
        <v>979</v>
      </c>
      <c r="L3" s="44" t="s">
        <v>1354</v>
      </c>
      <c r="M3" s="44" t="s">
        <v>1356</v>
      </c>
      <c r="N3" s="44" t="s">
        <v>1359</v>
      </c>
      <c r="O3" s="44" t="s">
        <v>984</v>
      </c>
      <c r="P3" s="44" t="s">
        <v>985</v>
      </c>
      <c r="Q3" s="44" t="s">
        <v>288</v>
      </c>
      <c r="R3" s="44" t="s">
        <v>897</v>
      </c>
      <c r="S3" s="44" t="s">
        <v>896</v>
      </c>
      <c r="T3" s="44" t="s">
        <v>895</v>
      </c>
      <c r="U3" s="44" t="s">
        <v>991</v>
      </c>
      <c r="V3" s="44" t="s">
        <v>1358</v>
      </c>
      <c r="W3" s="44" t="s">
        <v>978</v>
      </c>
      <c r="X3" s="44" t="s">
        <v>716</v>
      </c>
      <c r="Y3" s="44" t="s">
        <v>862</v>
      </c>
      <c r="Z3" s="44" t="s">
        <v>1353</v>
      </c>
      <c r="AA3" s="44" t="s">
        <v>1357</v>
      </c>
      <c r="AB3" s="44" t="s">
        <v>987</v>
      </c>
      <c r="AC3" s="68" t="s">
        <v>1362</v>
      </c>
      <c r="AD3" s="68" t="s">
        <v>976</v>
      </c>
    </row>
    <row r="4" spans="1:31">
      <c r="A4" s="10" t="s">
        <v>950</v>
      </c>
      <c r="B4" s="10" t="s">
        <v>18</v>
      </c>
      <c r="C4" s="10">
        <v>80.020537508999993</v>
      </c>
      <c r="D4" s="48">
        <v>0.57012690328240878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2"/>
      <c r="S4" s="12">
        <v>2.8419E-2</v>
      </c>
      <c r="T4" s="10"/>
      <c r="U4" s="10"/>
      <c r="V4" s="10"/>
      <c r="W4" s="10"/>
      <c r="X4" s="10"/>
      <c r="Y4" s="10"/>
      <c r="Z4" s="12">
        <v>0.59885290000000002</v>
      </c>
      <c r="AA4" s="10"/>
      <c r="AB4" s="10"/>
      <c r="AC4" s="112">
        <v>0.62727189999999999</v>
      </c>
      <c r="AD4" s="50">
        <v>7.8388863600103928E-3</v>
      </c>
    </row>
    <row r="5" spans="1:31">
      <c r="A5" s="10" t="s">
        <v>950</v>
      </c>
      <c r="B5" s="10" t="s">
        <v>211</v>
      </c>
      <c r="C5" s="10">
        <v>18.179332232</v>
      </c>
      <c r="D5" s="48">
        <v>1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2">
        <v>4.2416499999999996E-3</v>
      </c>
      <c r="S5" s="12"/>
      <c r="T5" s="10"/>
      <c r="U5" s="10"/>
      <c r="V5" s="10"/>
      <c r="W5" s="10"/>
      <c r="X5" s="10"/>
      <c r="Y5" s="12">
        <v>1.2852499999999999E-2</v>
      </c>
      <c r="Z5" s="10"/>
      <c r="AA5" s="10"/>
      <c r="AB5" s="10"/>
      <c r="AC5" s="112">
        <v>1.7094149999999999E-2</v>
      </c>
      <c r="AD5" s="50">
        <v>9.4030681555564409E-4</v>
      </c>
    </row>
    <row r="6" spans="1:31">
      <c r="A6" s="10" t="s">
        <v>950</v>
      </c>
      <c r="B6" s="10" t="s">
        <v>254</v>
      </c>
      <c r="C6" s="10">
        <v>33.072287428000003</v>
      </c>
      <c r="D6" s="48">
        <v>0.78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2">
        <v>9.7644999999999989E-3</v>
      </c>
      <c r="S6" s="12"/>
      <c r="T6" s="12">
        <v>1.08249E-2</v>
      </c>
      <c r="U6" s="10"/>
      <c r="V6" s="10"/>
      <c r="W6" s="10"/>
      <c r="X6" s="10"/>
      <c r="Y6" s="12">
        <v>4.8912400000000002E-2</v>
      </c>
      <c r="Z6" s="10"/>
      <c r="AA6" s="10"/>
      <c r="AB6" s="10"/>
      <c r="AC6" s="112">
        <v>6.9501800000000002E-2</v>
      </c>
      <c r="AD6" s="50">
        <v>2.1015117309714014E-3</v>
      </c>
    </row>
    <row r="7" spans="1:31">
      <c r="A7" s="10" t="s">
        <v>950</v>
      </c>
      <c r="B7" s="10" t="s">
        <v>439</v>
      </c>
      <c r="C7" s="10">
        <v>74.7</v>
      </c>
      <c r="D7" s="48">
        <v>0.56000000000000005</v>
      </c>
      <c r="E7" s="12">
        <v>3.5568925000000001E-2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2">
        <v>8.0034999999999995E-2</v>
      </c>
      <c r="S7" s="12"/>
      <c r="T7" s="12">
        <v>2.9899200000000001E-2</v>
      </c>
      <c r="U7" s="10"/>
      <c r="V7" s="10"/>
      <c r="W7" s="10"/>
      <c r="X7" s="10"/>
      <c r="Y7" s="12"/>
      <c r="Z7" s="10"/>
      <c r="AA7" s="10"/>
      <c r="AB7" s="10"/>
      <c r="AC7" s="112">
        <v>0.14550312500000001</v>
      </c>
      <c r="AD7" s="50">
        <v>1.9478329986613119E-3</v>
      </c>
    </row>
    <row r="8" spans="1:31">
      <c r="A8" s="10" t="s">
        <v>950</v>
      </c>
      <c r="B8" s="10" t="s">
        <v>340</v>
      </c>
      <c r="C8" s="10">
        <v>33.42</v>
      </c>
      <c r="D8" s="48">
        <v>1</v>
      </c>
      <c r="E8" s="12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2">
        <v>1.05015E-2</v>
      </c>
      <c r="S8" s="12"/>
      <c r="T8" s="12"/>
      <c r="U8" s="10"/>
      <c r="V8" s="10"/>
      <c r="W8" s="10"/>
      <c r="X8" s="10"/>
      <c r="Y8" s="12">
        <v>1.0510100000000001E-2</v>
      </c>
      <c r="Z8" s="10"/>
      <c r="AA8" s="10"/>
      <c r="AB8" s="10"/>
      <c r="AC8" s="112">
        <v>2.1011600000000002E-2</v>
      </c>
      <c r="AD8" s="50">
        <v>6.2871334530221427E-4</v>
      </c>
    </row>
    <row r="9" spans="1:31">
      <c r="A9" s="10" t="s">
        <v>950</v>
      </c>
      <c r="B9" s="10" t="s">
        <v>590</v>
      </c>
      <c r="C9" s="10">
        <v>97.37</v>
      </c>
      <c r="D9" s="48">
        <v>0.56999999999999995</v>
      </c>
      <c r="E9" s="12">
        <v>4.9405611999999995E-2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2">
        <v>7.3499040000000002E-2</v>
      </c>
      <c r="S9" s="12"/>
      <c r="T9" s="12">
        <v>9.4013399999999997E-2</v>
      </c>
      <c r="U9" s="10"/>
      <c r="V9" s="10"/>
      <c r="W9" s="10"/>
      <c r="X9" s="10"/>
      <c r="Y9" s="12"/>
      <c r="Z9" s="10"/>
      <c r="AA9" s="10"/>
      <c r="AB9" s="10"/>
      <c r="AC9" s="112">
        <v>0.216918052</v>
      </c>
      <c r="AD9" s="50">
        <v>2.2277708945260344E-3</v>
      </c>
    </row>
    <row r="10" spans="1:31">
      <c r="A10" s="10" t="s">
        <v>950</v>
      </c>
      <c r="B10" s="10" t="s">
        <v>323</v>
      </c>
      <c r="C10" s="10">
        <v>14.36</v>
      </c>
      <c r="D10" s="48">
        <v>0.6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2">
        <v>5.2628999999999992E-3</v>
      </c>
      <c r="R10" s="12">
        <v>2.8024157000000001E-2</v>
      </c>
      <c r="S10" s="12"/>
      <c r="T10" s="12">
        <v>0.14846000000000001</v>
      </c>
      <c r="U10" s="10"/>
      <c r="V10" s="10"/>
      <c r="W10" s="10"/>
      <c r="X10" s="10"/>
      <c r="Y10" s="12"/>
      <c r="Z10" s="10"/>
      <c r="AA10" s="10"/>
      <c r="AB10" s="10"/>
      <c r="AC10" s="112">
        <v>0.18174705700000002</v>
      </c>
      <c r="AD10" s="50">
        <v>1.265648029247911E-2</v>
      </c>
    </row>
    <row r="11" spans="1:31">
      <c r="A11" s="10" t="s">
        <v>950</v>
      </c>
      <c r="B11" s="10" t="s">
        <v>421</v>
      </c>
      <c r="C11" s="10">
        <v>134.99</v>
      </c>
      <c r="D11" s="48">
        <v>1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2"/>
      <c r="R11" s="12"/>
      <c r="S11" s="12"/>
      <c r="T11" s="12"/>
      <c r="U11" s="10"/>
      <c r="V11" s="10"/>
      <c r="W11" s="10"/>
      <c r="X11" s="10"/>
      <c r="Y11" s="12">
        <v>7.2099999999999997E-2</v>
      </c>
      <c r="Z11" s="10"/>
      <c r="AA11" s="10"/>
      <c r="AB11" s="10"/>
      <c r="AC11" s="112">
        <v>7.2099999999999997E-2</v>
      </c>
      <c r="AD11" s="50">
        <v>5.3411363804726272E-4</v>
      </c>
    </row>
    <row r="12" spans="1:31">
      <c r="A12" s="10" t="s">
        <v>950</v>
      </c>
      <c r="B12" s="10" t="s">
        <v>11</v>
      </c>
      <c r="C12" s="10">
        <v>24.93</v>
      </c>
      <c r="D12" s="48">
        <v>0.28000000000000003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2"/>
      <c r="R12" s="12"/>
      <c r="S12" s="12"/>
      <c r="T12" s="12">
        <v>8.2799999999999999E-2</v>
      </c>
      <c r="U12" s="10"/>
      <c r="V12" s="10"/>
      <c r="W12" s="10"/>
      <c r="X12" s="10"/>
      <c r="Y12" s="10"/>
      <c r="Z12" s="10"/>
      <c r="AA12" s="10"/>
      <c r="AB12" s="10"/>
      <c r="AC12" s="112">
        <v>8.2799999999999999E-2</v>
      </c>
      <c r="AD12" s="50">
        <v>3.3212996389891695E-3</v>
      </c>
    </row>
    <row r="13" spans="1:31">
      <c r="A13" s="10" t="s">
        <v>950</v>
      </c>
      <c r="B13" s="10" t="s">
        <v>417</v>
      </c>
      <c r="C13" s="10">
        <v>13.72</v>
      </c>
      <c r="D13" s="48">
        <v>0.68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2"/>
      <c r="R13" s="12">
        <v>3.4265760000000002E-3</v>
      </c>
      <c r="S13" s="12"/>
      <c r="T13" s="12">
        <v>5.3518739999999995E-3</v>
      </c>
      <c r="U13" s="10"/>
      <c r="V13" s="10"/>
      <c r="W13" s="10"/>
      <c r="X13" s="10"/>
      <c r="Y13" s="10"/>
      <c r="Z13" s="10"/>
      <c r="AA13" s="10"/>
      <c r="AB13" s="10"/>
      <c r="AC13" s="112">
        <v>8.7784500000000001E-3</v>
      </c>
      <c r="AD13" s="50">
        <v>6.3982871720116613E-4</v>
      </c>
      <c r="AE13" s="123">
        <f>SUM(AC4:AC15)</f>
        <v>3.0077142349999999</v>
      </c>
    </row>
    <row r="14" spans="1:31">
      <c r="A14" s="10" t="s">
        <v>950</v>
      </c>
      <c r="B14" s="10" t="s">
        <v>39</v>
      </c>
      <c r="C14" s="10">
        <v>41.44</v>
      </c>
      <c r="D14" s="48">
        <v>0.62</v>
      </c>
      <c r="E14" s="12"/>
      <c r="F14" s="12"/>
      <c r="G14" s="12"/>
      <c r="H14" s="12">
        <v>0.68848211800000003</v>
      </c>
      <c r="I14" s="12">
        <v>0.12796195099999999</v>
      </c>
      <c r="J14" s="12"/>
      <c r="K14" s="12"/>
      <c r="L14" s="12">
        <v>6.1237395999999999E-2</v>
      </c>
      <c r="M14" s="12"/>
      <c r="N14" s="12"/>
      <c r="O14" s="10"/>
      <c r="P14" s="10"/>
      <c r="Q14" s="12"/>
      <c r="R14" s="12">
        <v>0.10892567499999999</v>
      </c>
      <c r="S14" s="12"/>
      <c r="T14" s="12">
        <v>6.6656340000000008E-2</v>
      </c>
      <c r="U14" s="10"/>
      <c r="V14" s="12"/>
      <c r="W14" s="12">
        <v>0.28853438399999998</v>
      </c>
      <c r="X14" s="12">
        <v>7.7900434000000018E-2</v>
      </c>
      <c r="Y14" s="10"/>
      <c r="Z14" s="10"/>
      <c r="AA14" s="10"/>
      <c r="AB14" s="10"/>
      <c r="AC14" s="112">
        <v>1.4196982980000001</v>
      </c>
      <c r="AD14" s="50">
        <v>3.4259128812741318E-2</v>
      </c>
    </row>
    <row r="15" spans="1:31">
      <c r="A15" s="10" t="s">
        <v>950</v>
      </c>
      <c r="B15" s="10" t="s">
        <v>408</v>
      </c>
      <c r="C15" s="10">
        <v>14.71</v>
      </c>
      <c r="D15" s="48">
        <v>0.86</v>
      </c>
      <c r="E15" s="12">
        <v>4.5661085000000004E-2</v>
      </c>
      <c r="F15" s="12"/>
      <c r="G15" s="12"/>
      <c r="H15" s="12"/>
      <c r="I15" s="12">
        <v>3.1915600000000002E-4</v>
      </c>
      <c r="J15" s="12"/>
      <c r="K15" s="12">
        <v>1.0593800000000001E-4</v>
      </c>
      <c r="L15" s="12"/>
      <c r="M15" s="12"/>
      <c r="N15" s="12"/>
      <c r="O15" s="10"/>
      <c r="P15" s="10"/>
      <c r="Q15" s="12"/>
      <c r="R15" s="12">
        <v>7.3276226999999999E-2</v>
      </c>
      <c r="S15" s="12"/>
      <c r="T15" s="12">
        <v>2.3772351000000004E-2</v>
      </c>
      <c r="U15" s="10"/>
      <c r="V15" s="12"/>
      <c r="W15" s="12">
        <v>1.3210990000000001E-3</v>
      </c>
      <c r="X15" s="12"/>
      <c r="Y15" s="12">
        <v>8.3394699999999992E-4</v>
      </c>
      <c r="Z15" s="10"/>
      <c r="AA15" s="10"/>
      <c r="AB15" s="10"/>
      <c r="AC15" s="12">
        <v>0.145289803</v>
      </c>
      <c r="AD15" s="50">
        <v>9.8769410605030576E-3</v>
      </c>
    </row>
    <row r="16" spans="1:31">
      <c r="A16" s="10" t="s">
        <v>953</v>
      </c>
      <c r="B16" s="10" t="s">
        <v>1361</v>
      </c>
      <c r="C16" s="10">
        <v>108.18</v>
      </c>
      <c r="D16" s="48">
        <v>0.63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0"/>
      <c r="P16" s="10"/>
      <c r="Q16" s="12"/>
      <c r="R16" s="12">
        <v>2.6783999999999999E-2</v>
      </c>
      <c r="S16" s="12"/>
      <c r="T16" s="12">
        <v>8.6999999999999994E-3</v>
      </c>
      <c r="U16" s="10"/>
      <c r="V16" s="12">
        <v>3.7283400000000001E-2</v>
      </c>
      <c r="W16" s="12"/>
      <c r="X16" s="12"/>
      <c r="Y16" s="12"/>
      <c r="Z16" s="10"/>
      <c r="AA16" s="10"/>
      <c r="AB16" s="10"/>
      <c r="AC16" s="12">
        <v>7.0000000000000007E-2</v>
      </c>
      <c r="AD16" s="50">
        <v>6.726511369938991E-4</v>
      </c>
    </row>
    <row r="17" spans="1:30">
      <c r="A17" s="10" t="s">
        <v>953</v>
      </c>
      <c r="B17" s="10" t="s">
        <v>621</v>
      </c>
      <c r="C17" s="10">
        <v>115.66</v>
      </c>
      <c r="D17" s="48">
        <v>0.77</v>
      </c>
      <c r="E17" s="12">
        <v>0.46576364900000011</v>
      </c>
      <c r="F17" s="12">
        <v>0.132629</v>
      </c>
      <c r="G17" s="12"/>
      <c r="H17" s="12"/>
      <c r="I17" s="12"/>
      <c r="J17" s="12"/>
      <c r="K17" s="12"/>
      <c r="L17" s="12"/>
      <c r="M17" s="12"/>
      <c r="N17" s="12"/>
      <c r="O17" s="10"/>
      <c r="P17" s="10"/>
      <c r="Q17" s="12"/>
      <c r="R17" s="12"/>
      <c r="S17" s="12"/>
      <c r="T17" s="12"/>
      <c r="U17" s="10"/>
      <c r="V17" s="10"/>
      <c r="W17" s="10"/>
      <c r="X17" s="12"/>
      <c r="Y17" s="12"/>
      <c r="Z17" s="10"/>
      <c r="AA17" s="10"/>
      <c r="AB17" s="10"/>
      <c r="AC17" s="12">
        <v>0.6</v>
      </c>
      <c r="AD17" s="50">
        <v>5.1737216756008999E-3</v>
      </c>
    </row>
    <row r="18" spans="1:30">
      <c r="A18" s="10" t="s">
        <v>952</v>
      </c>
      <c r="B18" s="10" t="s">
        <v>893</v>
      </c>
      <c r="C18" s="10">
        <v>101.73</v>
      </c>
      <c r="D18" s="48">
        <v>0.91</v>
      </c>
      <c r="E18" s="12"/>
      <c r="F18" s="12"/>
      <c r="G18" s="12"/>
      <c r="H18" s="12"/>
      <c r="I18" s="12">
        <v>5.82523E-2</v>
      </c>
      <c r="J18" s="12"/>
      <c r="K18" s="12">
        <v>2.8759699999999999E-2</v>
      </c>
      <c r="L18" s="12"/>
      <c r="M18" s="12"/>
      <c r="N18" s="12"/>
      <c r="O18" s="10"/>
      <c r="P18" s="10"/>
      <c r="Q18" s="12"/>
      <c r="R18" s="12">
        <v>3.7523899999999999E-2</v>
      </c>
      <c r="S18" s="12"/>
      <c r="T18" s="12">
        <v>9.0665999999999993E-3</v>
      </c>
      <c r="U18" s="10"/>
      <c r="V18" s="10"/>
      <c r="W18" s="10"/>
      <c r="X18" s="12"/>
      <c r="Y18" s="12">
        <v>3.18313E-2</v>
      </c>
      <c r="Z18" s="10"/>
      <c r="AA18" s="10"/>
      <c r="AB18" s="10"/>
      <c r="AC18" s="12">
        <v>0.17</v>
      </c>
      <c r="AD18" s="50">
        <v>1.6262046593925098E-3</v>
      </c>
    </row>
    <row r="19" spans="1:30">
      <c r="A19" s="10" t="s">
        <v>952</v>
      </c>
      <c r="B19" s="10" t="s">
        <v>871</v>
      </c>
      <c r="C19" s="10">
        <v>33.840000000000003</v>
      </c>
      <c r="D19" s="48">
        <v>0.88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0"/>
      <c r="P19" s="10"/>
      <c r="Q19" s="12"/>
      <c r="R19" s="12">
        <v>6.0504664999999999E-2</v>
      </c>
      <c r="S19" s="12"/>
      <c r="T19" s="12"/>
      <c r="U19" s="10"/>
      <c r="V19" s="10"/>
      <c r="W19" s="10"/>
      <c r="X19" s="12"/>
      <c r="Y19" s="12">
        <v>9.1649599999999998E-3</v>
      </c>
      <c r="Z19" s="10"/>
      <c r="AA19" s="10"/>
      <c r="AB19" s="10"/>
      <c r="AC19" s="12">
        <v>7.0000000000000007E-2</v>
      </c>
      <c r="AD19" s="50">
        <v>2.0587950650118201E-3</v>
      </c>
    </row>
    <row r="20" spans="1:30">
      <c r="A20" s="10" t="s">
        <v>952</v>
      </c>
      <c r="B20" s="10" t="s">
        <v>758</v>
      </c>
      <c r="C20" s="10">
        <v>55.1</v>
      </c>
      <c r="D20" s="48">
        <v>0.67</v>
      </c>
      <c r="E20" s="12">
        <v>0.1280097</v>
      </c>
      <c r="F20" s="12">
        <v>3.0218899999999996E-2</v>
      </c>
      <c r="G20" s="12"/>
      <c r="H20" s="12"/>
      <c r="I20" s="12">
        <v>4.0542499999999997E-3</v>
      </c>
      <c r="J20" s="12"/>
      <c r="K20" s="12"/>
      <c r="L20" s="12"/>
      <c r="M20" s="12">
        <v>3.3999999999999998E-3</v>
      </c>
      <c r="N20" s="12"/>
      <c r="O20" s="40">
        <v>1.8816975000000003E-3</v>
      </c>
      <c r="P20" s="40"/>
      <c r="Q20" s="12">
        <v>0</v>
      </c>
      <c r="R20" s="12">
        <v>0.20263265600000002</v>
      </c>
      <c r="S20" s="12"/>
      <c r="T20" s="12">
        <v>7.6923720000000001E-2</v>
      </c>
      <c r="U20" s="10"/>
      <c r="V20" s="10"/>
      <c r="W20" s="10"/>
      <c r="X20" s="12">
        <v>9.6143449999999991E-2</v>
      </c>
      <c r="Y20" s="12">
        <v>2.24291E-2</v>
      </c>
      <c r="Z20" s="10"/>
      <c r="AA20" s="12">
        <v>7.1520975999999998E-3</v>
      </c>
      <c r="AB20" s="10"/>
      <c r="AC20" s="12">
        <v>0.56999999999999995</v>
      </c>
      <c r="AD20" s="50">
        <v>1.0396471344827586E-2</v>
      </c>
    </row>
    <row r="21" spans="1:30">
      <c r="A21" s="10" t="s">
        <v>954</v>
      </c>
      <c r="B21" s="10" t="s">
        <v>829</v>
      </c>
      <c r="C21" s="10">
        <v>52.45</v>
      </c>
      <c r="D21" s="48">
        <v>0.94</v>
      </c>
      <c r="E21" s="12">
        <v>6.8937449999999997E-2</v>
      </c>
      <c r="F21" s="12"/>
      <c r="G21" s="12">
        <v>2.8979999999999999E-2</v>
      </c>
      <c r="H21" s="12"/>
      <c r="I21" s="12"/>
      <c r="J21" s="12">
        <v>1.2815999999999999E-2</v>
      </c>
      <c r="K21" s="12"/>
      <c r="L21" s="12"/>
      <c r="M21" s="12"/>
      <c r="N21" s="12">
        <v>1.7919999999999998E-2</v>
      </c>
      <c r="O21" s="40"/>
      <c r="P21" s="40">
        <v>5.9748718499999999E-2</v>
      </c>
      <c r="Q21" s="12">
        <v>1.021E-2</v>
      </c>
      <c r="R21" s="12"/>
      <c r="S21" s="12"/>
      <c r="T21" s="12"/>
      <c r="U21" s="10"/>
      <c r="V21" s="10"/>
      <c r="W21" s="10"/>
      <c r="X21" s="10"/>
      <c r="Y21" s="10"/>
      <c r="Z21" s="10"/>
      <c r="AA21" s="10"/>
      <c r="AB21" s="12">
        <v>0.16619534999999999</v>
      </c>
      <c r="AC21" s="112">
        <v>0.36480751849999993</v>
      </c>
      <c r="AD21" s="50">
        <v>6.9553387702573867E-3</v>
      </c>
    </row>
    <row r="22" spans="1:30">
      <c r="A22" s="10" t="s">
        <v>954</v>
      </c>
      <c r="B22" s="10" t="s">
        <v>852</v>
      </c>
      <c r="C22" s="10">
        <v>138.21</v>
      </c>
      <c r="D22" s="48">
        <v>0.91</v>
      </c>
      <c r="E22" s="12">
        <v>1.4874800000000001E-2</v>
      </c>
      <c r="F22" s="12"/>
      <c r="G22" s="12"/>
      <c r="H22" s="12"/>
      <c r="I22" s="12"/>
      <c r="J22" s="12">
        <v>1.7202949000000002E-2</v>
      </c>
      <c r="K22" s="12"/>
      <c r="L22" s="12"/>
      <c r="M22" s="12"/>
      <c r="N22" s="12">
        <v>2.9696E-2</v>
      </c>
      <c r="O22" s="40"/>
      <c r="P22" s="40">
        <v>9.7812475159999995E-2</v>
      </c>
      <c r="Q22" s="12"/>
      <c r="R22" s="12">
        <v>0</v>
      </c>
      <c r="S22" s="12"/>
      <c r="T22" s="12"/>
      <c r="U22" s="10"/>
      <c r="V22" s="10"/>
      <c r="W22" s="10"/>
      <c r="X22" s="10"/>
      <c r="Y22" s="10"/>
      <c r="Z22" s="10"/>
      <c r="AA22" s="10"/>
      <c r="AB22" s="10"/>
      <c r="AC22" s="112">
        <v>0.15958622416000001</v>
      </c>
      <c r="AD22" s="50">
        <v>1.1546648155705086E-3</v>
      </c>
    </row>
    <row r="23" spans="1:30">
      <c r="A23" s="10" t="s">
        <v>955</v>
      </c>
      <c r="B23" s="10" t="s">
        <v>947</v>
      </c>
      <c r="C23" s="10">
        <v>189.07</v>
      </c>
      <c r="D23" s="48">
        <v>0.92</v>
      </c>
      <c r="E23" s="10"/>
      <c r="F23" s="12"/>
      <c r="G23" s="12">
        <v>5.57648E-4</v>
      </c>
      <c r="H23" s="12"/>
      <c r="I23" s="12"/>
      <c r="J23" s="12"/>
      <c r="K23" s="12"/>
      <c r="L23" s="12"/>
      <c r="M23" s="12"/>
      <c r="N23" s="12">
        <v>1.4800000000000001E-2</v>
      </c>
      <c r="O23" s="10"/>
      <c r="P23" s="10"/>
      <c r="Q23" s="10"/>
      <c r="R23" s="12">
        <v>9.4918899999999991E-4</v>
      </c>
      <c r="S23" s="12"/>
      <c r="T23" s="12">
        <v>1.575E-5</v>
      </c>
      <c r="U23" s="12">
        <v>1.6348000000000003E-4</v>
      </c>
      <c r="V23" s="10"/>
      <c r="W23" s="10"/>
      <c r="X23" s="10"/>
      <c r="Y23" s="10"/>
      <c r="Z23" s="10"/>
      <c r="AA23" s="10"/>
      <c r="AB23" s="10"/>
      <c r="AC23" s="112">
        <v>1.6486067E-2</v>
      </c>
      <c r="AD23" s="50">
        <v>8.7195573068175807E-5</v>
      </c>
    </row>
    <row r="24" spans="1:30">
      <c r="A24" s="89" t="s">
        <v>1362</v>
      </c>
      <c r="B24" s="89"/>
      <c r="C24" s="89"/>
      <c r="D24" s="89"/>
      <c r="E24" s="49">
        <v>0.80822122100000005</v>
      </c>
      <c r="F24" s="49">
        <v>0.16284789999999999</v>
      </c>
      <c r="G24" s="49">
        <v>2.9537648E-2</v>
      </c>
      <c r="H24" s="49">
        <v>0.68848211800000003</v>
      </c>
      <c r="I24" s="49">
        <v>0.19058765699999999</v>
      </c>
      <c r="J24" s="49">
        <v>3.0018949000000003E-2</v>
      </c>
      <c r="K24" s="49">
        <v>2.8865637999999999E-2</v>
      </c>
      <c r="L24" s="49">
        <v>6.1237395999999999E-2</v>
      </c>
      <c r="M24" s="49">
        <v>3.3999999999999998E-3</v>
      </c>
      <c r="N24" s="49">
        <v>6.2415999999999999E-2</v>
      </c>
      <c r="O24" s="49">
        <v>1.8816975000000003E-3</v>
      </c>
      <c r="P24" s="49">
        <v>0.15756119365999999</v>
      </c>
      <c r="Q24" s="49">
        <v>1.54729E-2</v>
      </c>
      <c r="R24" s="49">
        <v>0.72008873499999992</v>
      </c>
      <c r="S24" s="49">
        <v>2.8419E-2</v>
      </c>
      <c r="T24" s="49">
        <v>0.55648413499999994</v>
      </c>
      <c r="U24" s="49">
        <v>1.6348000000000003E-4</v>
      </c>
      <c r="V24" s="49">
        <v>3.7283400000000001E-2</v>
      </c>
      <c r="W24" s="49">
        <v>0.28985548299999997</v>
      </c>
      <c r="X24" s="49">
        <v>0.17404388400000001</v>
      </c>
      <c r="Y24" s="49">
        <v>0.20863430699999999</v>
      </c>
      <c r="Z24" s="49">
        <v>0.59885290000000002</v>
      </c>
      <c r="AA24" s="49">
        <v>7.1520975999999998E-3</v>
      </c>
      <c r="AB24" s="49">
        <v>0.16619534999999999</v>
      </c>
      <c r="AC24" s="49">
        <f>SUM(AC4:AC23)</f>
        <v>5.0285940446599993</v>
      </c>
      <c r="AD24" s="10"/>
    </row>
    <row r="25" spans="1:30">
      <c r="AB25" s="123"/>
    </row>
    <row r="29" spans="1:30">
      <c r="E29" s="9" t="s">
        <v>1364</v>
      </c>
      <c r="F29" s="9" t="s">
        <v>950</v>
      </c>
      <c r="G29" s="9" t="s">
        <v>952</v>
      </c>
      <c r="H29" s="9" t="s">
        <v>953</v>
      </c>
      <c r="I29" s="9" t="s">
        <v>954</v>
      </c>
      <c r="J29" s="9" t="s">
        <v>955</v>
      </c>
      <c r="K29" s="9" t="s">
        <v>16</v>
      </c>
    </row>
    <row r="30" spans="1:30">
      <c r="E30" s="9" t="s">
        <v>1350</v>
      </c>
      <c r="F30" s="13">
        <f>AC4+AC5+AC6+AC7+AC8+AC9+AC10+AC11+AC12+AC13+AC14+AC15</f>
        <v>3.0077142349999999</v>
      </c>
      <c r="G30" s="13">
        <f>AC18+AC19+AC20</f>
        <v>0.80999999999999994</v>
      </c>
      <c r="H30" s="13">
        <f>AC17+AC16</f>
        <v>0.66999999999999993</v>
      </c>
      <c r="I30" s="13">
        <f>AC21+AC22</f>
        <v>0.52439374265999994</v>
      </c>
      <c r="J30" s="13">
        <f>AC23</f>
        <v>1.6486067E-2</v>
      </c>
      <c r="K30" s="13">
        <f>SUM(F30:J30)</f>
        <v>5.0285940446600002</v>
      </c>
    </row>
  </sheetData>
  <mergeCells count="4">
    <mergeCell ref="A1:AC1"/>
    <mergeCell ref="E2:AB2"/>
    <mergeCell ref="A24:D24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D641-A0A6-4CFB-919E-3E3887B24141}">
  <dimension ref="A1:P621"/>
  <sheetViews>
    <sheetView topLeftCell="D619" workbookViewId="0">
      <selection activeCell="K343" sqref="K2:K343"/>
    </sheetView>
  </sheetViews>
  <sheetFormatPr defaultRowHeight="14.5"/>
  <cols>
    <col min="2" max="2" width="11.54296875" bestFit="1" customWidth="1"/>
    <col min="3" max="3" width="38.1796875" bestFit="1" customWidth="1"/>
    <col min="4" max="4" width="38.1796875" customWidth="1"/>
    <col min="5" max="5" width="41" bestFit="1" customWidth="1"/>
    <col min="6" max="6" width="9.1796875" customWidth="1"/>
    <col min="7" max="7" width="5.81640625" bestFit="1" customWidth="1"/>
    <col min="8" max="8" width="6.26953125" bestFit="1" customWidth="1"/>
    <col min="9" max="9" width="8.54296875" customWidth="1"/>
    <col min="10" max="10" width="10.26953125" bestFit="1" customWidth="1"/>
    <col min="11" max="11" width="11.81640625" bestFit="1" customWidth="1"/>
  </cols>
  <sheetData>
    <row r="1" spans="1:11">
      <c r="A1" s="9" t="s">
        <v>1352</v>
      </c>
      <c r="B1" s="9" t="s">
        <v>1</v>
      </c>
      <c r="C1" s="9" t="s">
        <v>2</v>
      </c>
      <c r="D1" s="9" t="s">
        <v>962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</row>
    <row r="2" spans="1:11">
      <c r="A2" s="109">
        <v>1</v>
      </c>
      <c r="B2" s="109" t="s">
        <v>10</v>
      </c>
      <c r="C2" s="109" t="s">
        <v>11</v>
      </c>
      <c r="D2" s="109" t="s">
        <v>895</v>
      </c>
      <c r="E2" s="2" t="s">
        <v>12</v>
      </c>
      <c r="F2" s="2" t="s">
        <v>13</v>
      </c>
      <c r="G2" s="2">
        <v>60</v>
      </c>
      <c r="H2" s="2" t="s">
        <v>14</v>
      </c>
      <c r="I2" s="2" t="s">
        <v>15</v>
      </c>
      <c r="J2" s="109">
        <v>13800</v>
      </c>
      <c r="K2" s="112">
        <f>(J2*G2)/10000000</f>
        <v>8.2799999999999999E-2</v>
      </c>
    </row>
    <row r="3" spans="1:11">
      <c r="A3" s="109">
        <v>2</v>
      </c>
      <c r="B3" s="109" t="s">
        <v>17</v>
      </c>
      <c r="C3" s="109" t="s">
        <v>18</v>
      </c>
      <c r="D3" s="109" t="s">
        <v>1353</v>
      </c>
      <c r="E3" s="2" t="s">
        <v>19</v>
      </c>
      <c r="F3" s="2" t="s">
        <v>30</v>
      </c>
      <c r="G3" s="110">
        <v>17</v>
      </c>
      <c r="H3" s="2" t="s">
        <v>33</v>
      </c>
      <c r="I3" s="2" t="s">
        <v>35</v>
      </c>
      <c r="J3" s="111">
        <v>9189</v>
      </c>
      <c r="K3" s="112">
        <f>(J3*G3)/10000000</f>
        <v>1.5621299999999999E-2</v>
      </c>
    </row>
    <row r="4" spans="1:11">
      <c r="A4" s="109">
        <v>3</v>
      </c>
      <c r="B4" s="109" t="s">
        <v>17</v>
      </c>
      <c r="C4" s="109" t="s">
        <v>18</v>
      </c>
      <c r="D4" s="109" t="s">
        <v>1353</v>
      </c>
      <c r="E4" s="2" t="s">
        <v>20</v>
      </c>
      <c r="F4" s="2" t="s">
        <v>30</v>
      </c>
      <c r="G4" s="110">
        <v>23</v>
      </c>
      <c r="H4" s="2" t="s">
        <v>33</v>
      </c>
      <c r="I4" s="2" t="s">
        <v>35</v>
      </c>
      <c r="J4" s="111">
        <v>212686</v>
      </c>
      <c r="K4" s="112">
        <f>(J4*G4)/10000000</f>
        <v>0.4891778</v>
      </c>
    </row>
    <row r="5" spans="1:11">
      <c r="A5" s="109">
        <v>4</v>
      </c>
      <c r="B5" s="109" t="s">
        <v>17</v>
      </c>
      <c r="C5" s="109" t="s">
        <v>18</v>
      </c>
      <c r="D5" s="109" t="s">
        <v>1353</v>
      </c>
      <c r="E5" s="2" t="s">
        <v>21</v>
      </c>
      <c r="F5" s="2" t="s">
        <v>30</v>
      </c>
      <c r="G5" s="110">
        <v>26</v>
      </c>
      <c r="H5" s="2" t="s">
        <v>33</v>
      </c>
      <c r="I5" s="2" t="s">
        <v>35</v>
      </c>
      <c r="J5" s="111">
        <v>22533</v>
      </c>
      <c r="K5" s="112">
        <f t="shared" ref="K5:K13" si="0">(J5*G5)/10000000</f>
        <v>5.85858E-2</v>
      </c>
    </row>
    <row r="6" spans="1:11">
      <c r="A6" s="109">
        <v>5</v>
      </c>
      <c r="B6" s="109" t="s">
        <v>17</v>
      </c>
      <c r="C6" s="109" t="s">
        <v>18</v>
      </c>
      <c r="D6" s="109" t="s">
        <v>1353</v>
      </c>
      <c r="E6" s="2" t="s">
        <v>22</v>
      </c>
      <c r="F6" s="2" t="s">
        <v>30</v>
      </c>
      <c r="G6" s="110">
        <v>7</v>
      </c>
      <c r="H6" s="2" t="s">
        <v>33</v>
      </c>
      <c r="I6" s="2" t="s">
        <v>35</v>
      </c>
      <c r="J6" s="111">
        <v>42680</v>
      </c>
      <c r="K6" s="112">
        <f t="shared" si="0"/>
        <v>2.9876E-2</v>
      </c>
    </row>
    <row r="7" spans="1:11">
      <c r="A7" s="109">
        <v>6</v>
      </c>
      <c r="B7" s="109" t="s">
        <v>17</v>
      </c>
      <c r="C7" s="109" t="s">
        <v>18</v>
      </c>
      <c r="D7" s="109" t="s">
        <v>1353</v>
      </c>
      <c r="E7" s="2" t="s">
        <v>23</v>
      </c>
      <c r="F7" s="2" t="s">
        <v>30</v>
      </c>
      <c r="G7" s="110">
        <v>1</v>
      </c>
      <c r="H7" s="2" t="s">
        <v>33</v>
      </c>
      <c r="I7" s="2" t="s">
        <v>35</v>
      </c>
      <c r="J7" s="111">
        <v>55920</v>
      </c>
      <c r="K7" s="112">
        <f t="shared" si="0"/>
        <v>5.5919999999999997E-3</v>
      </c>
    </row>
    <row r="8" spans="1:11">
      <c r="A8" s="109">
        <v>7</v>
      </c>
      <c r="B8" s="109" t="s">
        <v>17</v>
      </c>
      <c r="C8" s="109" t="s">
        <v>18</v>
      </c>
      <c r="D8" s="109" t="s">
        <v>896</v>
      </c>
      <c r="E8" s="2" t="s">
        <v>24</v>
      </c>
      <c r="F8" s="2" t="s">
        <v>31</v>
      </c>
      <c r="G8" s="110">
        <v>1</v>
      </c>
      <c r="H8" s="2" t="s">
        <v>34</v>
      </c>
      <c r="I8" s="2" t="s">
        <v>36</v>
      </c>
      <c r="J8" s="109">
        <v>18204</v>
      </c>
      <c r="K8" s="112">
        <f t="shared" si="0"/>
        <v>1.8204E-3</v>
      </c>
    </row>
    <row r="9" spans="1:11">
      <c r="A9" s="109">
        <v>8</v>
      </c>
      <c r="B9" s="109" t="s">
        <v>17</v>
      </c>
      <c r="C9" s="109" t="s">
        <v>18</v>
      </c>
      <c r="D9" s="109" t="s">
        <v>896</v>
      </c>
      <c r="E9" s="2" t="s">
        <v>25</v>
      </c>
      <c r="F9" s="2" t="s">
        <v>31</v>
      </c>
      <c r="G9" s="110">
        <v>5</v>
      </c>
      <c r="H9" s="2" t="s">
        <v>34</v>
      </c>
      <c r="I9" s="2" t="s">
        <v>36</v>
      </c>
      <c r="J9" s="111">
        <v>17461</v>
      </c>
      <c r="K9" s="112">
        <f>(J9*G9)/10000000</f>
        <v>8.7305000000000004E-3</v>
      </c>
    </row>
    <row r="10" spans="1:11">
      <c r="A10" s="109">
        <v>9</v>
      </c>
      <c r="B10" s="109" t="s">
        <v>17</v>
      </c>
      <c r="C10" s="109" t="s">
        <v>18</v>
      </c>
      <c r="D10" s="109" t="s">
        <v>896</v>
      </c>
      <c r="E10" s="2" t="s">
        <v>26</v>
      </c>
      <c r="F10" s="2" t="s">
        <v>32</v>
      </c>
      <c r="G10" s="110">
        <v>5</v>
      </c>
      <c r="H10" s="2" t="s">
        <v>34</v>
      </c>
      <c r="I10" s="2" t="s">
        <v>36</v>
      </c>
      <c r="J10" s="111">
        <v>14266</v>
      </c>
      <c r="K10" s="112">
        <f t="shared" si="0"/>
        <v>7.1329999999999996E-3</v>
      </c>
    </row>
    <row r="11" spans="1:11">
      <c r="A11" s="109">
        <v>10</v>
      </c>
      <c r="B11" s="109" t="s">
        <v>17</v>
      </c>
      <c r="C11" s="109" t="s">
        <v>18</v>
      </c>
      <c r="D11" s="109" t="s">
        <v>896</v>
      </c>
      <c r="E11" s="2" t="s">
        <v>27</v>
      </c>
      <c r="F11" s="2" t="s">
        <v>32</v>
      </c>
      <c r="G11" s="110">
        <v>2</v>
      </c>
      <c r="H11" s="2" t="s">
        <v>34</v>
      </c>
      <c r="I11" s="2" t="s">
        <v>36</v>
      </c>
      <c r="J11" s="111">
        <v>14117</v>
      </c>
      <c r="K11" s="112">
        <f t="shared" si="0"/>
        <v>2.8234000000000002E-3</v>
      </c>
    </row>
    <row r="12" spans="1:11">
      <c r="A12" s="109">
        <v>11</v>
      </c>
      <c r="B12" s="109" t="s">
        <v>17</v>
      </c>
      <c r="C12" s="109" t="s">
        <v>18</v>
      </c>
      <c r="D12" s="109" t="s">
        <v>896</v>
      </c>
      <c r="E12" s="2" t="s">
        <v>28</v>
      </c>
      <c r="F12" s="2" t="s">
        <v>32</v>
      </c>
      <c r="G12" s="110">
        <v>1</v>
      </c>
      <c r="H12" s="2" t="s">
        <v>34</v>
      </c>
      <c r="I12" s="2" t="s">
        <v>36</v>
      </c>
      <c r="J12" s="111">
        <v>14117</v>
      </c>
      <c r="K12" s="112">
        <f t="shared" si="0"/>
        <v>1.4117000000000001E-3</v>
      </c>
    </row>
    <row r="13" spans="1:11">
      <c r="A13" s="109">
        <v>12</v>
      </c>
      <c r="B13" s="109" t="s">
        <v>17</v>
      </c>
      <c r="C13" s="109" t="s">
        <v>18</v>
      </c>
      <c r="D13" s="109" t="s">
        <v>896</v>
      </c>
      <c r="E13" s="2" t="s">
        <v>29</v>
      </c>
      <c r="F13" s="2" t="s">
        <v>32</v>
      </c>
      <c r="G13" s="110">
        <v>5</v>
      </c>
      <c r="H13" s="2" t="s">
        <v>34</v>
      </c>
      <c r="I13" s="2" t="s">
        <v>36</v>
      </c>
      <c r="J13" s="111">
        <v>13000</v>
      </c>
      <c r="K13" s="112">
        <f t="shared" si="0"/>
        <v>6.4999999999999997E-3</v>
      </c>
    </row>
    <row r="14" spans="1:11">
      <c r="A14" s="109">
        <v>13</v>
      </c>
      <c r="B14" s="109" t="s">
        <v>38</v>
      </c>
      <c r="C14" s="109" t="s">
        <v>39</v>
      </c>
      <c r="D14" s="109" t="s">
        <v>721</v>
      </c>
      <c r="E14" s="2" t="s">
        <v>40</v>
      </c>
      <c r="F14" s="2" t="s">
        <v>179</v>
      </c>
      <c r="G14" s="2">
        <v>2</v>
      </c>
      <c r="H14" s="2" t="s">
        <v>33</v>
      </c>
      <c r="I14" s="2" t="s">
        <v>188</v>
      </c>
      <c r="J14" s="111">
        <v>28808.68</v>
      </c>
      <c r="K14" s="111">
        <f t="shared" ref="K14:K77" si="1">(J14*G14)/10000000</f>
        <v>5.7617359999999999E-3</v>
      </c>
    </row>
    <row r="15" spans="1:11">
      <c r="A15" s="109">
        <v>14</v>
      </c>
      <c r="B15" s="109" t="s">
        <v>38</v>
      </c>
      <c r="C15" s="109" t="s">
        <v>39</v>
      </c>
      <c r="D15" s="109" t="s">
        <v>721</v>
      </c>
      <c r="E15" s="2" t="s">
        <v>41</v>
      </c>
      <c r="F15" s="2" t="s">
        <v>179</v>
      </c>
      <c r="G15" s="2">
        <v>2</v>
      </c>
      <c r="H15" s="2" t="s">
        <v>33</v>
      </c>
      <c r="I15" s="2" t="s">
        <v>188</v>
      </c>
      <c r="J15" s="111">
        <v>21796.25</v>
      </c>
      <c r="K15" s="111">
        <f t="shared" si="1"/>
        <v>4.3592500000000003E-3</v>
      </c>
    </row>
    <row r="16" spans="1:11">
      <c r="A16" s="109">
        <v>15</v>
      </c>
      <c r="B16" s="109" t="s">
        <v>38</v>
      </c>
      <c r="C16" s="109" t="s">
        <v>39</v>
      </c>
      <c r="D16" s="109" t="s">
        <v>721</v>
      </c>
      <c r="E16" s="2" t="s">
        <v>42</v>
      </c>
      <c r="F16" s="2" t="s">
        <v>179</v>
      </c>
      <c r="G16" s="2">
        <v>4</v>
      </c>
      <c r="H16" s="2" t="s">
        <v>33</v>
      </c>
      <c r="I16" s="2" t="s">
        <v>189</v>
      </c>
      <c r="J16" s="111">
        <v>7647</v>
      </c>
      <c r="K16" s="111">
        <f t="shared" si="1"/>
        <v>3.0588E-3</v>
      </c>
    </row>
    <row r="17" spans="1:11">
      <c r="A17" s="109">
        <v>16</v>
      </c>
      <c r="B17" s="109" t="s">
        <v>38</v>
      </c>
      <c r="C17" s="109" t="s">
        <v>39</v>
      </c>
      <c r="D17" s="109" t="s">
        <v>721</v>
      </c>
      <c r="E17" s="2" t="s">
        <v>43</v>
      </c>
      <c r="F17" s="2" t="s">
        <v>179</v>
      </c>
      <c r="G17" s="2">
        <v>2</v>
      </c>
      <c r="H17" s="2" t="s">
        <v>33</v>
      </c>
      <c r="I17" s="2" t="s">
        <v>190</v>
      </c>
      <c r="J17" s="111">
        <v>3501.25</v>
      </c>
      <c r="K17" s="111">
        <f t="shared" si="1"/>
        <v>7.0025000000000003E-4</v>
      </c>
    </row>
    <row r="18" spans="1:11">
      <c r="A18" s="109">
        <v>17</v>
      </c>
      <c r="B18" s="109" t="s">
        <v>38</v>
      </c>
      <c r="C18" s="109" t="s">
        <v>39</v>
      </c>
      <c r="D18" s="109" t="s">
        <v>721</v>
      </c>
      <c r="E18" s="2" t="s">
        <v>43</v>
      </c>
      <c r="F18" s="2" t="s">
        <v>179</v>
      </c>
      <c r="G18" s="2">
        <v>1</v>
      </c>
      <c r="H18" s="2" t="s">
        <v>33</v>
      </c>
      <c r="I18" s="2" t="s">
        <v>189</v>
      </c>
      <c r="J18" s="111">
        <v>3501.25</v>
      </c>
      <c r="K18" s="111">
        <f t="shared" si="1"/>
        <v>3.5012500000000001E-4</v>
      </c>
    </row>
    <row r="19" spans="1:11">
      <c r="A19" s="109">
        <v>18</v>
      </c>
      <c r="B19" s="109" t="s">
        <v>38</v>
      </c>
      <c r="C19" s="109" t="s">
        <v>39</v>
      </c>
      <c r="D19" s="109" t="s">
        <v>721</v>
      </c>
      <c r="E19" s="2" t="s">
        <v>44</v>
      </c>
      <c r="F19" s="2" t="s">
        <v>179</v>
      </c>
      <c r="G19" s="2">
        <v>1</v>
      </c>
      <c r="H19" s="2" t="s">
        <v>33</v>
      </c>
      <c r="I19" s="2" t="s">
        <v>189</v>
      </c>
      <c r="J19" s="111">
        <v>3501.25</v>
      </c>
      <c r="K19" s="111">
        <f t="shared" si="1"/>
        <v>3.5012500000000001E-4</v>
      </c>
    </row>
    <row r="20" spans="1:11">
      <c r="A20" s="109">
        <v>19</v>
      </c>
      <c r="B20" s="109" t="s">
        <v>38</v>
      </c>
      <c r="C20" s="109" t="s">
        <v>39</v>
      </c>
      <c r="D20" s="109" t="s">
        <v>721</v>
      </c>
      <c r="E20" s="2" t="s">
        <v>45</v>
      </c>
      <c r="F20" s="2" t="s">
        <v>179</v>
      </c>
      <c r="G20" s="2">
        <v>3</v>
      </c>
      <c r="H20" s="2" t="s">
        <v>33</v>
      </c>
      <c r="I20" s="2" t="s">
        <v>188</v>
      </c>
      <c r="J20" s="111">
        <v>1958.09</v>
      </c>
      <c r="K20" s="111">
        <f t="shared" si="1"/>
        <v>5.8742699999999996E-4</v>
      </c>
    </row>
    <row r="21" spans="1:11">
      <c r="A21" s="109">
        <v>20</v>
      </c>
      <c r="B21" s="109" t="s">
        <v>38</v>
      </c>
      <c r="C21" s="109" t="s">
        <v>39</v>
      </c>
      <c r="D21" s="109" t="s">
        <v>721</v>
      </c>
      <c r="E21" s="2" t="s">
        <v>46</v>
      </c>
      <c r="F21" s="2" t="s">
        <v>179</v>
      </c>
      <c r="G21" s="2">
        <v>6</v>
      </c>
      <c r="H21" s="2" t="s">
        <v>33</v>
      </c>
      <c r="I21" s="2" t="s">
        <v>189</v>
      </c>
      <c r="J21" s="111">
        <v>1958.09</v>
      </c>
      <c r="K21" s="111">
        <f t="shared" si="1"/>
        <v>1.1748539999999999E-3</v>
      </c>
    </row>
    <row r="22" spans="1:11">
      <c r="A22" s="109">
        <v>21</v>
      </c>
      <c r="B22" s="109" t="s">
        <v>38</v>
      </c>
      <c r="C22" s="109" t="s">
        <v>39</v>
      </c>
      <c r="D22" s="109" t="s">
        <v>721</v>
      </c>
      <c r="E22" s="2" t="s">
        <v>46</v>
      </c>
      <c r="F22" s="2" t="s">
        <v>179</v>
      </c>
      <c r="G22" s="2">
        <v>47</v>
      </c>
      <c r="H22" s="2" t="s">
        <v>33</v>
      </c>
      <c r="I22" s="2" t="s">
        <v>188</v>
      </c>
      <c r="J22" s="111">
        <v>1958.09</v>
      </c>
      <c r="K22" s="111">
        <f t="shared" si="1"/>
        <v>9.2030229999999994E-3</v>
      </c>
    </row>
    <row r="23" spans="1:11">
      <c r="A23" s="109">
        <v>22</v>
      </c>
      <c r="B23" s="109" t="s">
        <v>38</v>
      </c>
      <c r="C23" s="109" t="s">
        <v>39</v>
      </c>
      <c r="D23" s="109" t="s">
        <v>721</v>
      </c>
      <c r="E23" s="2" t="s">
        <v>47</v>
      </c>
      <c r="F23" s="2" t="s">
        <v>179</v>
      </c>
      <c r="G23" s="2">
        <v>67</v>
      </c>
      <c r="H23" s="2" t="s">
        <v>33</v>
      </c>
      <c r="I23" s="2" t="s">
        <v>191</v>
      </c>
      <c r="J23" s="111">
        <v>1538.57</v>
      </c>
      <c r="K23" s="111">
        <f t="shared" si="1"/>
        <v>1.0308419000000001E-2</v>
      </c>
    </row>
    <row r="24" spans="1:11">
      <c r="A24" s="109">
        <v>23</v>
      </c>
      <c r="B24" s="109" t="s">
        <v>38</v>
      </c>
      <c r="C24" s="109" t="s">
        <v>39</v>
      </c>
      <c r="D24" s="109" t="s">
        <v>721</v>
      </c>
      <c r="E24" s="2" t="s">
        <v>48</v>
      </c>
      <c r="F24" s="2" t="s">
        <v>179</v>
      </c>
      <c r="G24" s="2">
        <v>32</v>
      </c>
      <c r="H24" s="2" t="s">
        <v>33</v>
      </c>
      <c r="I24" s="2" t="s">
        <v>188</v>
      </c>
      <c r="J24" s="111">
        <v>1538.57</v>
      </c>
      <c r="K24" s="111">
        <f t="shared" si="1"/>
        <v>4.923424E-3</v>
      </c>
    </row>
    <row r="25" spans="1:11">
      <c r="A25" s="109">
        <v>24</v>
      </c>
      <c r="B25" s="109" t="s">
        <v>38</v>
      </c>
      <c r="C25" s="109" t="s">
        <v>39</v>
      </c>
      <c r="D25" s="109" t="s">
        <v>721</v>
      </c>
      <c r="E25" s="2" t="s">
        <v>49</v>
      </c>
      <c r="F25" s="2" t="s">
        <v>179</v>
      </c>
      <c r="G25" s="2">
        <v>160</v>
      </c>
      <c r="H25" s="2" t="s">
        <v>33</v>
      </c>
      <c r="I25" s="2" t="s">
        <v>191</v>
      </c>
      <c r="J25" s="111">
        <v>1538.57</v>
      </c>
      <c r="K25" s="111">
        <f t="shared" si="1"/>
        <v>2.4617119999999999E-2</v>
      </c>
    </row>
    <row r="26" spans="1:11">
      <c r="A26" s="109">
        <v>25</v>
      </c>
      <c r="B26" s="109" t="s">
        <v>38</v>
      </c>
      <c r="C26" s="109" t="s">
        <v>39</v>
      </c>
      <c r="D26" s="109" t="s">
        <v>721</v>
      </c>
      <c r="E26" s="2" t="s">
        <v>50</v>
      </c>
      <c r="F26" s="2" t="s">
        <v>179</v>
      </c>
      <c r="G26" s="2">
        <v>163</v>
      </c>
      <c r="H26" s="2" t="s">
        <v>33</v>
      </c>
      <c r="I26" s="2" t="s">
        <v>191</v>
      </c>
      <c r="J26" s="111">
        <v>1538.57</v>
      </c>
      <c r="K26" s="111">
        <f t="shared" si="1"/>
        <v>2.5078691E-2</v>
      </c>
    </row>
    <row r="27" spans="1:11">
      <c r="A27" s="109">
        <v>26</v>
      </c>
      <c r="B27" s="109" t="s">
        <v>38</v>
      </c>
      <c r="C27" s="109" t="s">
        <v>39</v>
      </c>
      <c r="D27" s="109" t="s">
        <v>721</v>
      </c>
      <c r="E27" s="2" t="s">
        <v>51</v>
      </c>
      <c r="F27" s="2" t="s">
        <v>179</v>
      </c>
      <c r="G27" s="2">
        <v>15</v>
      </c>
      <c r="H27" s="2" t="s">
        <v>33</v>
      </c>
      <c r="I27" s="2" t="s">
        <v>188</v>
      </c>
      <c r="J27" s="111">
        <v>1538.57</v>
      </c>
      <c r="K27" s="111">
        <f t="shared" si="1"/>
        <v>2.3078549999999997E-3</v>
      </c>
    </row>
    <row r="28" spans="1:11">
      <c r="A28" s="109">
        <v>27</v>
      </c>
      <c r="B28" s="109" t="s">
        <v>38</v>
      </c>
      <c r="C28" s="109" t="s">
        <v>39</v>
      </c>
      <c r="D28" s="109" t="s">
        <v>977</v>
      </c>
      <c r="E28" s="2" t="s">
        <v>52</v>
      </c>
      <c r="F28" s="2" t="s">
        <v>179</v>
      </c>
      <c r="G28" s="2">
        <v>22</v>
      </c>
      <c r="H28" s="2" t="s">
        <v>33</v>
      </c>
      <c r="I28" s="2" t="s">
        <v>189</v>
      </c>
      <c r="J28" s="111">
        <v>21050.66</v>
      </c>
      <c r="K28" s="111">
        <f t="shared" si="1"/>
        <v>4.6311452000000003E-2</v>
      </c>
    </row>
    <row r="29" spans="1:11">
      <c r="A29" s="109">
        <v>28</v>
      </c>
      <c r="B29" s="109" t="s">
        <v>38</v>
      </c>
      <c r="C29" s="109" t="s">
        <v>39</v>
      </c>
      <c r="D29" s="109" t="s">
        <v>977</v>
      </c>
      <c r="E29" s="2" t="s">
        <v>53</v>
      </c>
      <c r="F29" s="2" t="s">
        <v>179</v>
      </c>
      <c r="G29" s="2">
        <v>9</v>
      </c>
      <c r="H29" s="2" t="s">
        <v>33</v>
      </c>
      <c r="I29" s="2" t="s">
        <v>189</v>
      </c>
      <c r="J29" s="111">
        <v>14595</v>
      </c>
      <c r="K29" s="111">
        <f t="shared" si="1"/>
        <v>1.31355E-2</v>
      </c>
    </row>
    <row r="30" spans="1:11">
      <c r="A30" s="109">
        <v>29</v>
      </c>
      <c r="B30" s="109" t="s">
        <v>38</v>
      </c>
      <c r="C30" s="109" t="s">
        <v>39</v>
      </c>
      <c r="D30" s="109" t="s">
        <v>977</v>
      </c>
      <c r="E30" s="2" t="s">
        <v>54</v>
      </c>
      <c r="F30" s="2" t="s">
        <v>179</v>
      </c>
      <c r="G30" s="2">
        <v>134</v>
      </c>
      <c r="H30" s="2" t="s">
        <v>33</v>
      </c>
      <c r="I30" s="2" t="s">
        <v>189</v>
      </c>
      <c r="J30" s="111">
        <v>21050.66</v>
      </c>
      <c r="K30" s="111">
        <f t="shared" si="1"/>
        <v>0.282078844</v>
      </c>
    </row>
    <row r="31" spans="1:11">
      <c r="A31" s="109">
        <v>30</v>
      </c>
      <c r="B31" s="109" t="s">
        <v>38</v>
      </c>
      <c r="C31" s="109" t="s">
        <v>39</v>
      </c>
      <c r="D31" s="109" t="s">
        <v>977</v>
      </c>
      <c r="E31" s="2" t="s">
        <v>55</v>
      </c>
      <c r="F31" s="2" t="s">
        <v>179</v>
      </c>
      <c r="G31" s="2">
        <v>106</v>
      </c>
      <c r="H31" s="2" t="s">
        <v>33</v>
      </c>
      <c r="I31" s="2" t="s">
        <v>189</v>
      </c>
      <c r="J31" s="111">
        <v>6682</v>
      </c>
      <c r="K31" s="111">
        <f t="shared" si="1"/>
        <v>7.0829199999999995E-2</v>
      </c>
    </row>
    <row r="32" spans="1:11">
      <c r="A32" s="109">
        <v>31</v>
      </c>
      <c r="B32" s="109" t="s">
        <v>38</v>
      </c>
      <c r="C32" s="109" t="s">
        <v>39</v>
      </c>
      <c r="D32" s="109" t="s">
        <v>977</v>
      </c>
      <c r="E32" s="2" t="s">
        <v>55</v>
      </c>
      <c r="F32" s="2" t="s">
        <v>179</v>
      </c>
      <c r="G32" s="2">
        <v>39</v>
      </c>
      <c r="H32" s="2" t="s">
        <v>33</v>
      </c>
      <c r="I32" s="2" t="s">
        <v>191</v>
      </c>
      <c r="J32" s="111">
        <v>6682</v>
      </c>
      <c r="K32" s="111">
        <f t="shared" si="1"/>
        <v>2.6059800000000001E-2</v>
      </c>
    </row>
    <row r="33" spans="1:11">
      <c r="A33" s="109">
        <v>32</v>
      </c>
      <c r="B33" s="109" t="s">
        <v>38</v>
      </c>
      <c r="C33" s="109" t="s">
        <v>39</v>
      </c>
      <c r="D33" s="109" t="s">
        <v>977</v>
      </c>
      <c r="E33" s="2" t="s">
        <v>56</v>
      </c>
      <c r="F33" s="2" t="s">
        <v>179</v>
      </c>
      <c r="G33" s="2">
        <v>53</v>
      </c>
      <c r="H33" s="2" t="s">
        <v>33</v>
      </c>
      <c r="I33" s="2" t="s">
        <v>189</v>
      </c>
      <c r="J33" s="111">
        <v>3674.75</v>
      </c>
      <c r="K33" s="111">
        <f t="shared" si="1"/>
        <v>1.9476174999999998E-2</v>
      </c>
    </row>
    <row r="34" spans="1:11">
      <c r="A34" s="109">
        <v>33</v>
      </c>
      <c r="B34" s="109" t="s">
        <v>38</v>
      </c>
      <c r="C34" s="109" t="s">
        <v>39</v>
      </c>
      <c r="D34" s="109" t="s">
        <v>977</v>
      </c>
      <c r="E34" s="2" t="s">
        <v>56</v>
      </c>
      <c r="F34" s="2" t="s">
        <v>179</v>
      </c>
      <c r="G34" s="2">
        <v>131</v>
      </c>
      <c r="H34" s="2" t="s">
        <v>33</v>
      </c>
      <c r="I34" s="2" t="s">
        <v>191</v>
      </c>
      <c r="J34" s="111">
        <v>3674.75</v>
      </c>
      <c r="K34" s="111">
        <f t="shared" si="1"/>
        <v>4.8139225000000001E-2</v>
      </c>
    </row>
    <row r="35" spans="1:11">
      <c r="A35" s="109">
        <v>34</v>
      </c>
      <c r="B35" s="109" t="s">
        <v>38</v>
      </c>
      <c r="C35" s="109" t="s">
        <v>39</v>
      </c>
      <c r="D35" s="109" t="s">
        <v>977</v>
      </c>
      <c r="E35" s="2" t="s">
        <v>57</v>
      </c>
      <c r="F35" s="2" t="s">
        <v>179</v>
      </c>
      <c r="G35" s="2">
        <v>43</v>
      </c>
      <c r="H35" s="2" t="s">
        <v>33</v>
      </c>
      <c r="I35" s="2" t="s">
        <v>191</v>
      </c>
      <c r="J35" s="111">
        <v>3452</v>
      </c>
      <c r="K35" s="111">
        <f t="shared" si="1"/>
        <v>1.48436E-2</v>
      </c>
    </row>
    <row r="36" spans="1:11">
      <c r="A36" s="109">
        <v>35</v>
      </c>
      <c r="B36" s="109" t="s">
        <v>38</v>
      </c>
      <c r="C36" s="109" t="s">
        <v>39</v>
      </c>
      <c r="D36" s="109" t="s">
        <v>977</v>
      </c>
      <c r="E36" s="2" t="s">
        <v>57</v>
      </c>
      <c r="F36" s="2" t="s">
        <v>179</v>
      </c>
      <c r="G36" s="2">
        <v>25</v>
      </c>
      <c r="H36" s="2" t="s">
        <v>33</v>
      </c>
      <c r="I36" s="2" t="s">
        <v>189</v>
      </c>
      <c r="J36" s="111">
        <v>3452</v>
      </c>
      <c r="K36" s="111">
        <f t="shared" si="1"/>
        <v>8.6300000000000005E-3</v>
      </c>
    </row>
    <row r="37" spans="1:11">
      <c r="A37" s="109">
        <v>36</v>
      </c>
      <c r="B37" s="109" t="s">
        <v>38</v>
      </c>
      <c r="C37" s="109" t="s">
        <v>39</v>
      </c>
      <c r="D37" s="109" t="s">
        <v>977</v>
      </c>
      <c r="E37" s="2" t="s">
        <v>58</v>
      </c>
      <c r="F37" s="2" t="s">
        <v>179</v>
      </c>
      <c r="G37" s="2">
        <v>171</v>
      </c>
      <c r="H37" s="2" t="s">
        <v>33</v>
      </c>
      <c r="I37" s="2" t="s">
        <v>191</v>
      </c>
      <c r="J37" s="111">
        <v>2376.09</v>
      </c>
      <c r="K37" s="111">
        <f t="shared" si="1"/>
        <v>4.0631139000000004E-2</v>
      </c>
    </row>
    <row r="38" spans="1:11">
      <c r="A38" s="109">
        <v>37</v>
      </c>
      <c r="B38" s="109" t="s">
        <v>38</v>
      </c>
      <c r="C38" s="109" t="s">
        <v>39</v>
      </c>
      <c r="D38" s="109" t="s">
        <v>977</v>
      </c>
      <c r="E38" s="2" t="s">
        <v>58</v>
      </c>
      <c r="F38" s="2" t="s">
        <v>179</v>
      </c>
      <c r="G38" s="2">
        <v>78</v>
      </c>
      <c r="H38" s="2" t="s">
        <v>33</v>
      </c>
      <c r="I38" s="2" t="s">
        <v>189</v>
      </c>
      <c r="J38" s="111">
        <v>2376.09</v>
      </c>
      <c r="K38" s="111">
        <f t="shared" si="1"/>
        <v>1.8533502E-2</v>
      </c>
    </row>
    <row r="39" spans="1:11">
      <c r="A39" s="109">
        <v>38</v>
      </c>
      <c r="B39" s="109" t="s">
        <v>38</v>
      </c>
      <c r="C39" s="109" t="s">
        <v>39</v>
      </c>
      <c r="D39" s="109" t="s">
        <v>977</v>
      </c>
      <c r="E39" s="2" t="s">
        <v>59</v>
      </c>
      <c r="F39" s="2" t="s">
        <v>179</v>
      </c>
      <c r="G39" s="2">
        <v>85</v>
      </c>
      <c r="H39" s="2" t="s">
        <v>33</v>
      </c>
      <c r="I39" s="2" t="s">
        <v>189</v>
      </c>
      <c r="J39" s="111">
        <v>2675.97</v>
      </c>
      <c r="K39" s="111">
        <f t="shared" si="1"/>
        <v>2.2745744999999998E-2</v>
      </c>
    </row>
    <row r="40" spans="1:11">
      <c r="A40" s="109">
        <v>39</v>
      </c>
      <c r="B40" s="109" t="s">
        <v>38</v>
      </c>
      <c r="C40" s="109" t="s">
        <v>39</v>
      </c>
      <c r="D40" s="109" t="s">
        <v>977</v>
      </c>
      <c r="E40" s="2" t="s">
        <v>59</v>
      </c>
      <c r="F40" s="2" t="s">
        <v>179</v>
      </c>
      <c r="G40" s="2">
        <v>76</v>
      </c>
      <c r="H40" s="2" t="s">
        <v>33</v>
      </c>
      <c r="I40" s="2" t="s">
        <v>191</v>
      </c>
      <c r="J40" s="111">
        <v>2675.97</v>
      </c>
      <c r="K40" s="111">
        <f t="shared" si="1"/>
        <v>2.0337371999999996E-2</v>
      </c>
    </row>
    <row r="41" spans="1:11">
      <c r="A41" s="109">
        <v>40</v>
      </c>
      <c r="B41" s="109" t="s">
        <v>38</v>
      </c>
      <c r="C41" s="109" t="s">
        <v>39</v>
      </c>
      <c r="D41" s="109" t="s">
        <v>977</v>
      </c>
      <c r="E41" s="2" t="s">
        <v>60</v>
      </c>
      <c r="F41" s="2" t="s">
        <v>179</v>
      </c>
      <c r="G41" s="2">
        <v>212</v>
      </c>
      <c r="H41" s="2" t="s">
        <v>33</v>
      </c>
      <c r="I41" s="2" t="s">
        <v>191</v>
      </c>
      <c r="J41" s="111">
        <v>2675.97</v>
      </c>
      <c r="K41" s="111">
        <f t="shared" si="1"/>
        <v>5.6730564000000004E-2</v>
      </c>
    </row>
    <row r="42" spans="1:11">
      <c r="A42" s="109">
        <v>41</v>
      </c>
      <c r="B42" s="109" t="s">
        <v>38</v>
      </c>
      <c r="C42" s="109" t="s">
        <v>39</v>
      </c>
      <c r="D42" s="109" t="s">
        <v>716</v>
      </c>
      <c r="E42" s="2" t="s">
        <v>61</v>
      </c>
      <c r="F42" s="2" t="s">
        <v>179</v>
      </c>
      <c r="G42" s="2">
        <v>1</v>
      </c>
      <c r="H42" s="2" t="s">
        <v>33</v>
      </c>
      <c r="I42" s="2" t="s">
        <v>188</v>
      </c>
      <c r="J42" s="111">
        <v>10796</v>
      </c>
      <c r="K42" s="111">
        <f t="shared" si="1"/>
        <v>1.0796E-3</v>
      </c>
    </row>
    <row r="43" spans="1:11">
      <c r="A43" s="109">
        <v>42</v>
      </c>
      <c r="B43" s="109" t="s">
        <v>38</v>
      </c>
      <c r="C43" s="109" t="s">
        <v>39</v>
      </c>
      <c r="D43" s="109" t="s">
        <v>716</v>
      </c>
      <c r="E43" s="2" t="s">
        <v>62</v>
      </c>
      <c r="F43" s="2" t="s">
        <v>179</v>
      </c>
      <c r="G43" s="2">
        <v>1</v>
      </c>
      <c r="H43" s="2" t="s">
        <v>33</v>
      </c>
      <c r="I43" s="2" t="s">
        <v>189</v>
      </c>
      <c r="J43" s="111">
        <v>6897</v>
      </c>
      <c r="K43" s="111">
        <f t="shared" si="1"/>
        <v>6.8970000000000001E-4</v>
      </c>
    </row>
    <row r="44" spans="1:11">
      <c r="A44" s="109">
        <v>43</v>
      </c>
      <c r="B44" s="109" t="s">
        <v>38</v>
      </c>
      <c r="C44" s="109" t="s">
        <v>39</v>
      </c>
      <c r="D44" s="109" t="s">
        <v>716</v>
      </c>
      <c r="E44" s="2" t="s">
        <v>63</v>
      </c>
      <c r="F44" s="2" t="s">
        <v>179</v>
      </c>
      <c r="G44" s="2">
        <v>1</v>
      </c>
      <c r="H44" s="2" t="s">
        <v>33</v>
      </c>
      <c r="I44" s="2" t="s">
        <v>189</v>
      </c>
      <c r="J44" s="111">
        <v>6897</v>
      </c>
      <c r="K44" s="111">
        <f t="shared" si="1"/>
        <v>6.8970000000000001E-4</v>
      </c>
    </row>
    <row r="45" spans="1:11">
      <c r="A45" s="109">
        <v>44</v>
      </c>
      <c r="B45" s="109" t="s">
        <v>38</v>
      </c>
      <c r="C45" s="109" t="s">
        <v>39</v>
      </c>
      <c r="D45" s="109" t="s">
        <v>716</v>
      </c>
      <c r="E45" s="2" t="s">
        <v>64</v>
      </c>
      <c r="F45" s="2" t="s">
        <v>179</v>
      </c>
      <c r="G45" s="2">
        <v>1</v>
      </c>
      <c r="H45" s="2" t="s">
        <v>33</v>
      </c>
      <c r="I45" s="2" t="s">
        <v>189</v>
      </c>
      <c r="J45" s="111">
        <v>13685.3</v>
      </c>
      <c r="K45" s="111">
        <f t="shared" si="1"/>
        <v>1.36853E-3</v>
      </c>
    </row>
    <row r="46" spans="1:11">
      <c r="A46" s="109">
        <v>45</v>
      </c>
      <c r="B46" s="109" t="s">
        <v>38</v>
      </c>
      <c r="C46" s="109" t="s">
        <v>39</v>
      </c>
      <c r="D46" s="109" t="s">
        <v>716</v>
      </c>
      <c r="E46" s="2" t="s">
        <v>65</v>
      </c>
      <c r="F46" s="2" t="s">
        <v>179</v>
      </c>
      <c r="G46" s="2">
        <v>6</v>
      </c>
      <c r="H46" s="2" t="s">
        <v>33</v>
      </c>
      <c r="I46" s="2" t="s">
        <v>189</v>
      </c>
      <c r="J46" s="111">
        <v>9060.9699999999993</v>
      </c>
      <c r="K46" s="111">
        <f t="shared" si="1"/>
        <v>5.4365819999999988E-3</v>
      </c>
    </row>
    <row r="47" spans="1:11">
      <c r="A47" s="109">
        <v>46</v>
      </c>
      <c r="B47" s="109" t="s">
        <v>38</v>
      </c>
      <c r="C47" s="109" t="s">
        <v>39</v>
      </c>
      <c r="D47" s="109" t="s">
        <v>716</v>
      </c>
      <c r="E47" s="2" t="s">
        <v>66</v>
      </c>
      <c r="F47" s="2" t="s">
        <v>179</v>
      </c>
      <c r="G47" s="2">
        <v>8</v>
      </c>
      <c r="H47" s="2" t="s">
        <v>33</v>
      </c>
      <c r="I47" s="2" t="s">
        <v>189</v>
      </c>
      <c r="J47" s="111">
        <v>1708.35</v>
      </c>
      <c r="K47" s="111">
        <f t="shared" si="1"/>
        <v>1.3666799999999999E-3</v>
      </c>
    </row>
    <row r="48" spans="1:11">
      <c r="A48" s="109">
        <v>47</v>
      </c>
      <c r="B48" s="109" t="s">
        <v>38</v>
      </c>
      <c r="C48" s="109" t="s">
        <v>39</v>
      </c>
      <c r="D48" s="109" t="s">
        <v>716</v>
      </c>
      <c r="E48" s="2" t="s">
        <v>66</v>
      </c>
      <c r="F48" s="2" t="s">
        <v>179</v>
      </c>
      <c r="G48" s="2">
        <v>1</v>
      </c>
      <c r="H48" s="2" t="s">
        <v>33</v>
      </c>
      <c r="I48" s="2" t="s">
        <v>191</v>
      </c>
      <c r="J48" s="111">
        <v>1708.35</v>
      </c>
      <c r="K48" s="111">
        <f t="shared" si="1"/>
        <v>1.7083499999999999E-4</v>
      </c>
    </row>
    <row r="49" spans="1:11">
      <c r="A49" s="109">
        <v>48</v>
      </c>
      <c r="B49" s="109" t="s">
        <v>38</v>
      </c>
      <c r="C49" s="109" t="s">
        <v>39</v>
      </c>
      <c r="D49" s="109" t="s">
        <v>716</v>
      </c>
      <c r="E49" s="2" t="s">
        <v>67</v>
      </c>
      <c r="F49" s="2" t="s">
        <v>179</v>
      </c>
      <c r="G49" s="2">
        <v>1</v>
      </c>
      <c r="H49" s="2" t="s">
        <v>33</v>
      </c>
      <c r="I49" s="2" t="s">
        <v>189</v>
      </c>
      <c r="J49" s="111">
        <v>1708.35</v>
      </c>
      <c r="K49" s="111">
        <f t="shared" si="1"/>
        <v>1.7083499999999999E-4</v>
      </c>
    </row>
    <row r="50" spans="1:11">
      <c r="A50" s="109">
        <v>49</v>
      </c>
      <c r="B50" s="109" t="s">
        <v>38</v>
      </c>
      <c r="C50" s="109" t="s">
        <v>39</v>
      </c>
      <c r="D50" s="109" t="s">
        <v>716</v>
      </c>
      <c r="E50" s="2" t="s">
        <v>67</v>
      </c>
      <c r="F50" s="2" t="s">
        <v>179</v>
      </c>
      <c r="G50" s="2">
        <v>1</v>
      </c>
      <c r="H50" s="2" t="s">
        <v>33</v>
      </c>
      <c r="I50" s="2" t="s">
        <v>188</v>
      </c>
      <c r="J50" s="111">
        <v>1708.35</v>
      </c>
      <c r="K50" s="111">
        <f t="shared" si="1"/>
        <v>1.7083499999999999E-4</v>
      </c>
    </row>
    <row r="51" spans="1:11">
      <c r="A51" s="109">
        <v>50</v>
      </c>
      <c r="B51" s="109" t="s">
        <v>38</v>
      </c>
      <c r="C51" s="109" t="s">
        <v>39</v>
      </c>
      <c r="D51" s="109" t="s">
        <v>716</v>
      </c>
      <c r="E51" s="2" t="s">
        <v>68</v>
      </c>
      <c r="F51" s="2" t="s">
        <v>179</v>
      </c>
      <c r="G51" s="2">
        <v>2</v>
      </c>
      <c r="H51" s="2" t="s">
        <v>33</v>
      </c>
      <c r="I51" s="2" t="s">
        <v>191</v>
      </c>
      <c r="J51" s="111">
        <v>1708.35</v>
      </c>
      <c r="K51" s="111">
        <f t="shared" si="1"/>
        <v>3.4166999999999997E-4</v>
      </c>
    </row>
    <row r="52" spans="1:11">
      <c r="A52" s="109">
        <v>51</v>
      </c>
      <c r="B52" s="109" t="s">
        <v>38</v>
      </c>
      <c r="C52" s="109" t="s">
        <v>39</v>
      </c>
      <c r="D52" s="109" t="s">
        <v>716</v>
      </c>
      <c r="E52" s="2" t="s">
        <v>69</v>
      </c>
      <c r="F52" s="2" t="s">
        <v>179</v>
      </c>
      <c r="G52" s="2">
        <v>1</v>
      </c>
      <c r="H52" s="2" t="s">
        <v>33</v>
      </c>
      <c r="I52" s="2" t="s">
        <v>191</v>
      </c>
      <c r="J52" s="111">
        <v>1708.35</v>
      </c>
      <c r="K52" s="111">
        <f t="shared" si="1"/>
        <v>1.7083499999999999E-4</v>
      </c>
    </row>
    <row r="53" spans="1:11">
      <c r="A53" s="109">
        <v>52</v>
      </c>
      <c r="B53" s="109" t="s">
        <v>38</v>
      </c>
      <c r="C53" s="109" t="s">
        <v>39</v>
      </c>
      <c r="D53" s="109" t="s">
        <v>716</v>
      </c>
      <c r="E53" s="2" t="s">
        <v>69</v>
      </c>
      <c r="F53" s="2" t="s">
        <v>179</v>
      </c>
      <c r="G53" s="2">
        <v>2</v>
      </c>
      <c r="H53" s="2" t="s">
        <v>33</v>
      </c>
      <c r="I53" s="2" t="s">
        <v>189</v>
      </c>
      <c r="J53" s="111">
        <v>1708.35</v>
      </c>
      <c r="K53" s="111">
        <f t="shared" si="1"/>
        <v>3.4166999999999997E-4</v>
      </c>
    </row>
    <row r="54" spans="1:11">
      <c r="A54" s="109">
        <v>53</v>
      </c>
      <c r="B54" s="109" t="s">
        <v>38</v>
      </c>
      <c r="C54" s="109" t="s">
        <v>39</v>
      </c>
      <c r="D54" s="109" t="s">
        <v>716</v>
      </c>
      <c r="E54" s="2" t="s">
        <v>70</v>
      </c>
      <c r="F54" s="2" t="s">
        <v>179</v>
      </c>
      <c r="G54" s="2">
        <v>4</v>
      </c>
      <c r="H54" s="2" t="s">
        <v>33</v>
      </c>
      <c r="I54" s="2" t="s">
        <v>189</v>
      </c>
      <c r="J54" s="111">
        <v>1708.35</v>
      </c>
      <c r="K54" s="111">
        <f t="shared" si="1"/>
        <v>6.8333999999999995E-4</v>
      </c>
    </row>
    <row r="55" spans="1:11">
      <c r="A55" s="109">
        <v>54</v>
      </c>
      <c r="B55" s="109" t="s">
        <v>38</v>
      </c>
      <c r="C55" s="109" t="s">
        <v>39</v>
      </c>
      <c r="D55" s="109" t="s">
        <v>716</v>
      </c>
      <c r="E55" s="2" t="s">
        <v>70</v>
      </c>
      <c r="F55" s="2" t="s">
        <v>179</v>
      </c>
      <c r="G55" s="2">
        <v>1</v>
      </c>
      <c r="H55" s="2" t="s">
        <v>33</v>
      </c>
      <c r="I55" s="2" t="s">
        <v>188</v>
      </c>
      <c r="J55" s="111">
        <v>1708.35</v>
      </c>
      <c r="K55" s="111">
        <f t="shared" si="1"/>
        <v>1.7083499999999999E-4</v>
      </c>
    </row>
    <row r="56" spans="1:11">
      <c r="A56" s="109">
        <v>55</v>
      </c>
      <c r="B56" s="109" t="s">
        <v>38</v>
      </c>
      <c r="C56" s="109" t="s">
        <v>39</v>
      </c>
      <c r="D56" s="109" t="s">
        <v>716</v>
      </c>
      <c r="E56" s="2" t="s">
        <v>71</v>
      </c>
      <c r="F56" s="2" t="s">
        <v>179</v>
      </c>
      <c r="G56" s="2">
        <v>2</v>
      </c>
      <c r="H56" s="2" t="s">
        <v>33</v>
      </c>
      <c r="I56" s="2" t="s">
        <v>188</v>
      </c>
      <c r="J56" s="111">
        <v>1708.35</v>
      </c>
      <c r="K56" s="111">
        <f t="shared" si="1"/>
        <v>3.4166999999999997E-4</v>
      </c>
    </row>
    <row r="57" spans="1:11">
      <c r="A57" s="109">
        <v>56</v>
      </c>
      <c r="B57" s="109" t="s">
        <v>38</v>
      </c>
      <c r="C57" s="109" t="s">
        <v>39</v>
      </c>
      <c r="D57" s="109" t="s">
        <v>716</v>
      </c>
      <c r="E57" s="2" t="s">
        <v>72</v>
      </c>
      <c r="F57" s="2" t="s">
        <v>179</v>
      </c>
      <c r="G57" s="2">
        <v>1</v>
      </c>
      <c r="H57" s="2" t="s">
        <v>33</v>
      </c>
      <c r="I57" s="2" t="s">
        <v>189</v>
      </c>
      <c r="J57" s="111">
        <v>1708.35</v>
      </c>
      <c r="K57" s="111">
        <f t="shared" si="1"/>
        <v>1.7083499999999999E-4</v>
      </c>
    </row>
    <row r="58" spans="1:11">
      <c r="A58" s="109">
        <v>57</v>
      </c>
      <c r="B58" s="109" t="s">
        <v>38</v>
      </c>
      <c r="C58" s="109" t="s">
        <v>39</v>
      </c>
      <c r="D58" s="109" t="s">
        <v>716</v>
      </c>
      <c r="E58" s="2" t="s">
        <v>73</v>
      </c>
      <c r="F58" s="2" t="s">
        <v>179</v>
      </c>
      <c r="G58" s="2">
        <v>6</v>
      </c>
      <c r="H58" s="2" t="s">
        <v>33</v>
      </c>
      <c r="I58" s="2" t="s">
        <v>191</v>
      </c>
      <c r="J58" s="111">
        <v>1708.35</v>
      </c>
      <c r="K58" s="111">
        <f t="shared" si="1"/>
        <v>1.0250099999999998E-3</v>
      </c>
    </row>
    <row r="59" spans="1:11">
      <c r="A59" s="109">
        <v>58</v>
      </c>
      <c r="B59" s="109" t="s">
        <v>38</v>
      </c>
      <c r="C59" s="109" t="s">
        <v>39</v>
      </c>
      <c r="D59" s="109" t="s">
        <v>716</v>
      </c>
      <c r="E59" s="2" t="s">
        <v>74</v>
      </c>
      <c r="F59" s="2" t="s">
        <v>179</v>
      </c>
      <c r="G59" s="2">
        <v>10</v>
      </c>
      <c r="H59" s="2" t="s">
        <v>33</v>
      </c>
      <c r="I59" s="2" t="s">
        <v>191</v>
      </c>
      <c r="J59" s="111">
        <v>1708.35</v>
      </c>
      <c r="K59" s="111">
        <f t="shared" si="1"/>
        <v>1.70835E-3</v>
      </c>
    </row>
    <row r="60" spans="1:11">
      <c r="A60" s="109">
        <v>59</v>
      </c>
      <c r="B60" s="109" t="s">
        <v>38</v>
      </c>
      <c r="C60" s="109" t="s">
        <v>39</v>
      </c>
      <c r="D60" s="109" t="s">
        <v>716</v>
      </c>
      <c r="E60" s="2" t="s">
        <v>75</v>
      </c>
      <c r="F60" s="2" t="s">
        <v>179</v>
      </c>
      <c r="G60" s="2">
        <v>2</v>
      </c>
      <c r="H60" s="2" t="s">
        <v>33</v>
      </c>
      <c r="I60" s="2" t="s">
        <v>189</v>
      </c>
      <c r="J60" s="111">
        <v>1708.35</v>
      </c>
      <c r="K60" s="111">
        <f t="shared" si="1"/>
        <v>3.4166999999999997E-4</v>
      </c>
    </row>
    <row r="61" spans="1:11">
      <c r="A61" s="109">
        <v>60</v>
      </c>
      <c r="B61" s="109" t="s">
        <v>38</v>
      </c>
      <c r="C61" s="109" t="s">
        <v>39</v>
      </c>
      <c r="D61" s="109" t="s">
        <v>716</v>
      </c>
      <c r="E61" s="2" t="s">
        <v>76</v>
      </c>
      <c r="F61" s="2" t="s">
        <v>179</v>
      </c>
      <c r="G61" s="2">
        <v>24</v>
      </c>
      <c r="H61" s="2" t="s">
        <v>33</v>
      </c>
      <c r="I61" s="2" t="s">
        <v>191</v>
      </c>
      <c r="J61" s="111">
        <v>1708.35</v>
      </c>
      <c r="K61" s="111">
        <f t="shared" si="1"/>
        <v>4.1000399999999992E-3</v>
      </c>
    </row>
    <row r="62" spans="1:11">
      <c r="A62" s="109">
        <v>61</v>
      </c>
      <c r="B62" s="109" t="s">
        <v>38</v>
      </c>
      <c r="C62" s="109" t="s">
        <v>39</v>
      </c>
      <c r="D62" s="109" t="s">
        <v>716</v>
      </c>
      <c r="E62" s="2" t="s">
        <v>76</v>
      </c>
      <c r="F62" s="2" t="s">
        <v>179</v>
      </c>
      <c r="G62" s="2">
        <v>6</v>
      </c>
      <c r="H62" s="2" t="s">
        <v>33</v>
      </c>
      <c r="I62" s="2" t="s">
        <v>189</v>
      </c>
      <c r="J62" s="111">
        <v>1708.35</v>
      </c>
      <c r="K62" s="111">
        <f t="shared" si="1"/>
        <v>1.0250099999999998E-3</v>
      </c>
    </row>
    <row r="63" spans="1:11">
      <c r="A63" s="109">
        <v>62</v>
      </c>
      <c r="B63" s="109" t="s">
        <v>38</v>
      </c>
      <c r="C63" s="109" t="s">
        <v>39</v>
      </c>
      <c r="D63" s="109" t="s">
        <v>716</v>
      </c>
      <c r="E63" s="2" t="s">
        <v>77</v>
      </c>
      <c r="F63" s="2" t="s">
        <v>179</v>
      </c>
      <c r="G63" s="2">
        <v>12</v>
      </c>
      <c r="H63" s="2" t="s">
        <v>33</v>
      </c>
      <c r="I63" s="2" t="s">
        <v>188</v>
      </c>
      <c r="J63" s="111">
        <v>1708.35</v>
      </c>
      <c r="K63" s="111">
        <f t="shared" si="1"/>
        <v>2.0500199999999996E-3</v>
      </c>
    </row>
    <row r="64" spans="1:11">
      <c r="A64" s="109">
        <v>63</v>
      </c>
      <c r="B64" s="109" t="s">
        <v>38</v>
      </c>
      <c r="C64" s="109" t="s">
        <v>39</v>
      </c>
      <c r="D64" s="109" t="s">
        <v>716</v>
      </c>
      <c r="E64" s="2" t="s">
        <v>77</v>
      </c>
      <c r="F64" s="2" t="s">
        <v>179</v>
      </c>
      <c r="G64" s="2">
        <v>4</v>
      </c>
      <c r="H64" s="2" t="s">
        <v>33</v>
      </c>
      <c r="I64" s="2" t="s">
        <v>189</v>
      </c>
      <c r="J64" s="111">
        <v>1708.35</v>
      </c>
      <c r="K64" s="111">
        <f t="shared" si="1"/>
        <v>6.8333999999999995E-4</v>
      </c>
    </row>
    <row r="65" spans="1:11">
      <c r="A65" s="109">
        <v>64</v>
      </c>
      <c r="B65" s="109" t="s">
        <v>38</v>
      </c>
      <c r="C65" s="109" t="s">
        <v>39</v>
      </c>
      <c r="D65" s="109" t="s">
        <v>716</v>
      </c>
      <c r="E65" s="2" t="s">
        <v>78</v>
      </c>
      <c r="F65" s="2" t="s">
        <v>179</v>
      </c>
      <c r="G65" s="2">
        <v>1</v>
      </c>
      <c r="H65" s="2" t="s">
        <v>33</v>
      </c>
      <c r="I65" s="2" t="s">
        <v>189</v>
      </c>
      <c r="J65" s="111">
        <v>1708.35</v>
      </c>
      <c r="K65" s="111">
        <f t="shared" si="1"/>
        <v>1.7083499999999999E-4</v>
      </c>
    </row>
    <row r="66" spans="1:11">
      <c r="A66" s="109">
        <v>65</v>
      </c>
      <c r="B66" s="109" t="s">
        <v>38</v>
      </c>
      <c r="C66" s="109" t="s">
        <v>39</v>
      </c>
      <c r="D66" s="109" t="s">
        <v>716</v>
      </c>
      <c r="E66" s="2" t="s">
        <v>79</v>
      </c>
      <c r="F66" s="2" t="s">
        <v>179</v>
      </c>
      <c r="G66" s="2">
        <v>1</v>
      </c>
      <c r="H66" s="2" t="s">
        <v>33</v>
      </c>
      <c r="I66" s="2" t="s">
        <v>191</v>
      </c>
      <c r="J66" s="111">
        <v>1708.35</v>
      </c>
      <c r="K66" s="111">
        <f t="shared" si="1"/>
        <v>1.7083499999999999E-4</v>
      </c>
    </row>
    <row r="67" spans="1:11">
      <c r="A67" s="109">
        <v>66</v>
      </c>
      <c r="B67" s="109" t="s">
        <v>38</v>
      </c>
      <c r="C67" s="109" t="s">
        <v>39</v>
      </c>
      <c r="D67" s="109" t="s">
        <v>716</v>
      </c>
      <c r="E67" s="2" t="s">
        <v>80</v>
      </c>
      <c r="F67" s="2" t="s">
        <v>179</v>
      </c>
      <c r="G67" s="2">
        <v>24</v>
      </c>
      <c r="H67" s="2" t="s">
        <v>33</v>
      </c>
      <c r="I67" s="2" t="s">
        <v>191</v>
      </c>
      <c r="J67" s="111">
        <v>1708.35</v>
      </c>
      <c r="K67" s="111">
        <f t="shared" si="1"/>
        <v>4.1000399999999992E-3</v>
      </c>
    </row>
    <row r="68" spans="1:11">
      <c r="A68" s="109">
        <v>67</v>
      </c>
      <c r="B68" s="109" t="s">
        <v>38</v>
      </c>
      <c r="C68" s="109" t="s">
        <v>39</v>
      </c>
      <c r="D68" s="109" t="s">
        <v>716</v>
      </c>
      <c r="E68" s="2" t="s">
        <v>80</v>
      </c>
      <c r="F68" s="2" t="s">
        <v>179</v>
      </c>
      <c r="G68" s="2">
        <v>4</v>
      </c>
      <c r="H68" s="2" t="s">
        <v>33</v>
      </c>
      <c r="I68" s="2" t="s">
        <v>188</v>
      </c>
      <c r="J68" s="111">
        <v>1708.35</v>
      </c>
      <c r="K68" s="111">
        <f t="shared" si="1"/>
        <v>6.8333999999999995E-4</v>
      </c>
    </row>
    <row r="69" spans="1:11">
      <c r="A69" s="109">
        <v>68</v>
      </c>
      <c r="B69" s="109" t="s">
        <v>38</v>
      </c>
      <c r="C69" s="109" t="s">
        <v>39</v>
      </c>
      <c r="D69" s="109" t="s">
        <v>716</v>
      </c>
      <c r="E69" s="2" t="s">
        <v>80</v>
      </c>
      <c r="F69" s="2" t="s">
        <v>179</v>
      </c>
      <c r="G69" s="2">
        <v>2</v>
      </c>
      <c r="H69" s="2" t="s">
        <v>33</v>
      </c>
      <c r="I69" s="2" t="s">
        <v>189</v>
      </c>
      <c r="J69" s="111">
        <v>1708.35</v>
      </c>
      <c r="K69" s="111">
        <f t="shared" si="1"/>
        <v>3.4166999999999997E-4</v>
      </c>
    </row>
    <row r="70" spans="1:11">
      <c r="A70" s="109">
        <v>69</v>
      </c>
      <c r="B70" s="109" t="s">
        <v>38</v>
      </c>
      <c r="C70" s="109" t="s">
        <v>39</v>
      </c>
      <c r="D70" s="109" t="s">
        <v>716</v>
      </c>
      <c r="E70" s="2" t="s">
        <v>81</v>
      </c>
      <c r="F70" s="2" t="s">
        <v>179</v>
      </c>
      <c r="G70" s="2">
        <v>3</v>
      </c>
      <c r="H70" s="2" t="s">
        <v>33</v>
      </c>
      <c r="I70" s="2" t="s">
        <v>191</v>
      </c>
      <c r="J70" s="111">
        <v>1708.35</v>
      </c>
      <c r="K70" s="111">
        <f t="shared" si="1"/>
        <v>5.1250499999999991E-4</v>
      </c>
    </row>
    <row r="71" spans="1:11">
      <c r="A71" s="109">
        <v>70</v>
      </c>
      <c r="B71" s="109" t="s">
        <v>38</v>
      </c>
      <c r="C71" s="109" t="s">
        <v>39</v>
      </c>
      <c r="D71" s="109" t="s">
        <v>716</v>
      </c>
      <c r="E71" s="2" t="s">
        <v>81</v>
      </c>
      <c r="F71" s="2" t="s">
        <v>179</v>
      </c>
      <c r="G71" s="2">
        <v>2</v>
      </c>
      <c r="H71" s="2" t="s">
        <v>33</v>
      </c>
      <c r="I71" s="2" t="s">
        <v>189</v>
      </c>
      <c r="J71" s="111">
        <v>1708.35</v>
      </c>
      <c r="K71" s="111">
        <f t="shared" si="1"/>
        <v>3.4166999999999997E-4</v>
      </c>
    </row>
    <row r="72" spans="1:11">
      <c r="A72" s="109">
        <v>71</v>
      </c>
      <c r="B72" s="109" t="s">
        <v>38</v>
      </c>
      <c r="C72" s="109" t="s">
        <v>39</v>
      </c>
      <c r="D72" s="109" t="s">
        <v>716</v>
      </c>
      <c r="E72" s="2" t="s">
        <v>82</v>
      </c>
      <c r="F72" s="2" t="s">
        <v>179</v>
      </c>
      <c r="G72" s="2">
        <v>13</v>
      </c>
      <c r="H72" s="2" t="s">
        <v>33</v>
      </c>
      <c r="I72" s="2" t="s">
        <v>188</v>
      </c>
      <c r="J72" s="111">
        <v>1708.35</v>
      </c>
      <c r="K72" s="111">
        <f t="shared" si="1"/>
        <v>2.2208549999999999E-3</v>
      </c>
    </row>
    <row r="73" spans="1:11">
      <c r="A73" s="109">
        <v>72</v>
      </c>
      <c r="B73" s="109" t="s">
        <v>38</v>
      </c>
      <c r="C73" s="109" t="s">
        <v>39</v>
      </c>
      <c r="D73" s="109" t="s">
        <v>716</v>
      </c>
      <c r="E73" s="2" t="s">
        <v>83</v>
      </c>
      <c r="F73" s="2" t="s">
        <v>179</v>
      </c>
      <c r="G73" s="2">
        <v>1</v>
      </c>
      <c r="H73" s="2" t="s">
        <v>33</v>
      </c>
      <c r="I73" s="2" t="s">
        <v>188</v>
      </c>
      <c r="J73" s="111">
        <v>1708.35</v>
      </c>
      <c r="K73" s="111">
        <f t="shared" si="1"/>
        <v>1.7083499999999999E-4</v>
      </c>
    </row>
    <row r="74" spans="1:11">
      <c r="A74" s="109">
        <v>73</v>
      </c>
      <c r="B74" s="109" t="s">
        <v>38</v>
      </c>
      <c r="C74" s="109" t="s">
        <v>39</v>
      </c>
      <c r="D74" s="109" t="s">
        <v>716</v>
      </c>
      <c r="E74" s="2" t="s">
        <v>84</v>
      </c>
      <c r="F74" s="2" t="s">
        <v>179</v>
      </c>
      <c r="G74" s="2">
        <v>19</v>
      </c>
      <c r="H74" s="2" t="s">
        <v>33</v>
      </c>
      <c r="I74" s="2" t="s">
        <v>191</v>
      </c>
      <c r="J74" s="111">
        <v>1708.35</v>
      </c>
      <c r="K74" s="111">
        <f t="shared" si="1"/>
        <v>3.2458649999999997E-3</v>
      </c>
    </row>
    <row r="75" spans="1:11">
      <c r="A75" s="109">
        <v>74</v>
      </c>
      <c r="B75" s="109" t="s">
        <v>38</v>
      </c>
      <c r="C75" s="109" t="s">
        <v>39</v>
      </c>
      <c r="D75" s="109" t="s">
        <v>716</v>
      </c>
      <c r="E75" s="2" t="s">
        <v>84</v>
      </c>
      <c r="F75" s="2" t="s">
        <v>179</v>
      </c>
      <c r="G75" s="2">
        <v>3</v>
      </c>
      <c r="H75" s="2" t="s">
        <v>33</v>
      </c>
      <c r="I75" s="2" t="s">
        <v>189</v>
      </c>
      <c r="J75" s="111">
        <v>1708.35</v>
      </c>
      <c r="K75" s="111">
        <f t="shared" si="1"/>
        <v>5.1250499999999991E-4</v>
      </c>
    </row>
    <row r="76" spans="1:11">
      <c r="A76" s="109">
        <v>75</v>
      </c>
      <c r="B76" s="109" t="s">
        <v>38</v>
      </c>
      <c r="C76" s="109" t="s">
        <v>39</v>
      </c>
      <c r="D76" s="109" t="s">
        <v>716</v>
      </c>
      <c r="E76" s="2" t="s">
        <v>85</v>
      </c>
      <c r="F76" s="2" t="s">
        <v>179</v>
      </c>
      <c r="G76" s="2">
        <v>7</v>
      </c>
      <c r="H76" s="2" t="s">
        <v>33</v>
      </c>
      <c r="I76" s="2" t="s">
        <v>191</v>
      </c>
      <c r="J76" s="111">
        <v>1708.35</v>
      </c>
      <c r="K76" s="111">
        <f t="shared" si="1"/>
        <v>1.1958449999999999E-3</v>
      </c>
    </row>
    <row r="77" spans="1:11">
      <c r="A77" s="109">
        <v>76</v>
      </c>
      <c r="B77" s="109" t="s">
        <v>38</v>
      </c>
      <c r="C77" s="109" t="s">
        <v>39</v>
      </c>
      <c r="D77" s="109" t="s">
        <v>716</v>
      </c>
      <c r="E77" s="2" t="s">
        <v>86</v>
      </c>
      <c r="F77" s="2" t="s">
        <v>179</v>
      </c>
      <c r="G77" s="2">
        <v>8</v>
      </c>
      <c r="H77" s="2" t="s">
        <v>33</v>
      </c>
      <c r="I77" s="2" t="s">
        <v>191</v>
      </c>
      <c r="J77" s="111">
        <v>1708.35</v>
      </c>
      <c r="K77" s="111">
        <f t="shared" si="1"/>
        <v>1.3666799999999999E-3</v>
      </c>
    </row>
    <row r="78" spans="1:11">
      <c r="A78" s="109">
        <v>77</v>
      </c>
      <c r="B78" s="109" t="s">
        <v>38</v>
      </c>
      <c r="C78" s="109" t="s">
        <v>39</v>
      </c>
      <c r="D78" s="109" t="s">
        <v>716</v>
      </c>
      <c r="E78" s="2" t="s">
        <v>87</v>
      </c>
      <c r="F78" s="2" t="s">
        <v>179</v>
      </c>
      <c r="G78" s="2">
        <v>19</v>
      </c>
      <c r="H78" s="2" t="s">
        <v>33</v>
      </c>
      <c r="I78" s="2" t="s">
        <v>191</v>
      </c>
      <c r="J78" s="111">
        <v>1708.35</v>
      </c>
      <c r="K78" s="111">
        <f t="shared" ref="K78:K141" si="2">(J78*G78)/10000000</f>
        <v>3.2458649999999997E-3</v>
      </c>
    </row>
    <row r="79" spans="1:11">
      <c r="A79" s="109">
        <v>78</v>
      </c>
      <c r="B79" s="109" t="s">
        <v>38</v>
      </c>
      <c r="C79" s="109" t="s">
        <v>39</v>
      </c>
      <c r="D79" s="109" t="s">
        <v>716</v>
      </c>
      <c r="E79" s="2" t="s">
        <v>88</v>
      </c>
      <c r="F79" s="2" t="s">
        <v>179</v>
      </c>
      <c r="G79" s="2">
        <v>13</v>
      </c>
      <c r="H79" s="2" t="s">
        <v>33</v>
      </c>
      <c r="I79" s="2" t="s">
        <v>188</v>
      </c>
      <c r="J79" s="111">
        <v>1708.35</v>
      </c>
      <c r="K79" s="111">
        <f t="shared" si="2"/>
        <v>2.2208549999999999E-3</v>
      </c>
    </row>
    <row r="80" spans="1:11">
      <c r="A80" s="109">
        <v>79</v>
      </c>
      <c r="B80" s="109" t="s">
        <v>38</v>
      </c>
      <c r="C80" s="109" t="s">
        <v>39</v>
      </c>
      <c r="D80" s="109" t="s">
        <v>716</v>
      </c>
      <c r="E80" s="2" t="s">
        <v>89</v>
      </c>
      <c r="F80" s="2" t="s">
        <v>179</v>
      </c>
      <c r="G80" s="2">
        <v>17</v>
      </c>
      <c r="H80" s="2" t="s">
        <v>33</v>
      </c>
      <c r="I80" s="2" t="s">
        <v>191</v>
      </c>
      <c r="J80" s="111">
        <v>1708.35</v>
      </c>
      <c r="K80" s="111">
        <f t="shared" si="2"/>
        <v>2.9041949999999996E-3</v>
      </c>
    </row>
    <row r="81" spans="1:11">
      <c r="A81" s="109">
        <v>80</v>
      </c>
      <c r="B81" s="109" t="s">
        <v>38</v>
      </c>
      <c r="C81" s="109" t="s">
        <v>39</v>
      </c>
      <c r="D81" s="109" t="s">
        <v>716</v>
      </c>
      <c r="E81" s="2" t="s">
        <v>90</v>
      </c>
      <c r="F81" s="2" t="s">
        <v>179</v>
      </c>
      <c r="G81" s="2">
        <v>1</v>
      </c>
      <c r="H81" s="2" t="s">
        <v>33</v>
      </c>
      <c r="I81" s="2" t="s">
        <v>188</v>
      </c>
      <c r="J81" s="111">
        <v>6897</v>
      </c>
      <c r="K81" s="111">
        <f t="shared" si="2"/>
        <v>6.8970000000000001E-4</v>
      </c>
    </row>
    <row r="82" spans="1:11">
      <c r="A82" s="109">
        <v>81</v>
      </c>
      <c r="B82" s="109" t="s">
        <v>38</v>
      </c>
      <c r="C82" s="109" t="s">
        <v>39</v>
      </c>
      <c r="D82" s="109" t="s">
        <v>716</v>
      </c>
      <c r="E82" s="2" t="s">
        <v>91</v>
      </c>
      <c r="F82" s="2" t="s">
        <v>179</v>
      </c>
      <c r="G82" s="2">
        <v>3</v>
      </c>
      <c r="H82" s="2" t="s">
        <v>33</v>
      </c>
      <c r="I82" s="2" t="s">
        <v>188</v>
      </c>
      <c r="J82" s="111">
        <v>6897</v>
      </c>
      <c r="K82" s="111">
        <f t="shared" si="2"/>
        <v>2.0690999999999999E-3</v>
      </c>
    </row>
    <row r="83" spans="1:11">
      <c r="A83" s="109">
        <v>82</v>
      </c>
      <c r="B83" s="109" t="s">
        <v>38</v>
      </c>
      <c r="C83" s="109" t="s">
        <v>39</v>
      </c>
      <c r="D83" s="109" t="s">
        <v>716</v>
      </c>
      <c r="E83" s="2" t="s">
        <v>92</v>
      </c>
      <c r="F83" s="2" t="s">
        <v>179</v>
      </c>
      <c r="G83" s="2">
        <v>12</v>
      </c>
      <c r="H83" s="2" t="s">
        <v>33</v>
      </c>
      <c r="I83" s="2" t="s">
        <v>188</v>
      </c>
      <c r="J83" s="111">
        <v>6897</v>
      </c>
      <c r="K83" s="111">
        <f t="shared" si="2"/>
        <v>8.2763999999999997E-3</v>
      </c>
    </row>
    <row r="84" spans="1:11">
      <c r="A84" s="109">
        <v>83</v>
      </c>
      <c r="B84" s="109" t="s">
        <v>38</v>
      </c>
      <c r="C84" s="109" t="s">
        <v>39</v>
      </c>
      <c r="D84" s="109" t="s">
        <v>716</v>
      </c>
      <c r="E84" s="2" t="s">
        <v>93</v>
      </c>
      <c r="F84" s="2" t="s">
        <v>179</v>
      </c>
      <c r="G84" s="2">
        <v>2</v>
      </c>
      <c r="H84" s="2" t="s">
        <v>33</v>
      </c>
      <c r="I84" s="2" t="s">
        <v>188</v>
      </c>
      <c r="J84" s="111">
        <v>6897</v>
      </c>
      <c r="K84" s="111">
        <f t="shared" si="2"/>
        <v>1.3794E-3</v>
      </c>
    </row>
    <row r="85" spans="1:11">
      <c r="A85" s="109">
        <v>84</v>
      </c>
      <c r="B85" s="109" t="s">
        <v>38</v>
      </c>
      <c r="C85" s="109" t="s">
        <v>39</v>
      </c>
      <c r="D85" s="109" t="s">
        <v>716</v>
      </c>
      <c r="E85" s="2" t="s">
        <v>94</v>
      </c>
      <c r="F85" s="2" t="s">
        <v>179</v>
      </c>
      <c r="G85" s="2">
        <v>7</v>
      </c>
      <c r="H85" s="2" t="s">
        <v>33</v>
      </c>
      <c r="I85" s="2" t="s">
        <v>188</v>
      </c>
      <c r="J85" s="111">
        <v>6897</v>
      </c>
      <c r="K85" s="111">
        <f t="shared" si="2"/>
        <v>4.8279000000000004E-3</v>
      </c>
    </row>
    <row r="86" spans="1:11">
      <c r="A86" s="109">
        <v>85</v>
      </c>
      <c r="B86" s="109" t="s">
        <v>38</v>
      </c>
      <c r="C86" s="109" t="s">
        <v>39</v>
      </c>
      <c r="D86" s="109" t="s">
        <v>716</v>
      </c>
      <c r="E86" s="2" t="s">
        <v>95</v>
      </c>
      <c r="F86" s="2" t="s">
        <v>179</v>
      </c>
      <c r="G86" s="2">
        <v>2</v>
      </c>
      <c r="H86" s="2" t="s">
        <v>33</v>
      </c>
      <c r="I86" s="2" t="s">
        <v>188</v>
      </c>
      <c r="J86" s="111">
        <v>6897</v>
      </c>
      <c r="K86" s="111">
        <f t="shared" si="2"/>
        <v>1.3794E-3</v>
      </c>
    </row>
    <row r="87" spans="1:11">
      <c r="A87" s="109">
        <v>86</v>
      </c>
      <c r="B87" s="109" t="s">
        <v>38</v>
      </c>
      <c r="C87" s="109" t="s">
        <v>39</v>
      </c>
      <c r="D87" s="109" t="s">
        <v>716</v>
      </c>
      <c r="E87" s="2" t="s">
        <v>96</v>
      </c>
      <c r="F87" s="2" t="s">
        <v>179</v>
      </c>
      <c r="G87" s="2">
        <v>1</v>
      </c>
      <c r="H87" s="2" t="s">
        <v>33</v>
      </c>
      <c r="I87" s="2" t="s">
        <v>188</v>
      </c>
      <c r="J87" s="111">
        <v>6897</v>
      </c>
      <c r="K87" s="111">
        <f t="shared" si="2"/>
        <v>6.8970000000000001E-4</v>
      </c>
    </row>
    <row r="88" spans="1:11">
      <c r="A88" s="109">
        <v>87</v>
      </c>
      <c r="B88" s="109" t="s">
        <v>38</v>
      </c>
      <c r="C88" s="109" t="s">
        <v>39</v>
      </c>
      <c r="D88" s="109" t="s">
        <v>716</v>
      </c>
      <c r="E88" s="2" t="s">
        <v>97</v>
      </c>
      <c r="F88" s="2" t="s">
        <v>179</v>
      </c>
      <c r="G88" s="2">
        <v>2</v>
      </c>
      <c r="H88" s="2" t="s">
        <v>33</v>
      </c>
      <c r="I88" s="2" t="s">
        <v>188</v>
      </c>
      <c r="J88" s="111">
        <v>6897</v>
      </c>
      <c r="K88" s="111">
        <f t="shared" si="2"/>
        <v>1.3794E-3</v>
      </c>
    </row>
    <row r="89" spans="1:11">
      <c r="A89" s="109">
        <v>88</v>
      </c>
      <c r="B89" s="109" t="s">
        <v>38</v>
      </c>
      <c r="C89" s="109" t="s">
        <v>39</v>
      </c>
      <c r="D89" s="109" t="s">
        <v>716</v>
      </c>
      <c r="E89" s="2" t="s">
        <v>98</v>
      </c>
      <c r="F89" s="2" t="s">
        <v>179</v>
      </c>
      <c r="G89" s="2">
        <v>1</v>
      </c>
      <c r="H89" s="2" t="s">
        <v>33</v>
      </c>
      <c r="I89" s="2" t="s">
        <v>188</v>
      </c>
      <c r="J89" s="111">
        <v>6897</v>
      </c>
      <c r="K89" s="111">
        <f t="shared" si="2"/>
        <v>6.8970000000000001E-4</v>
      </c>
    </row>
    <row r="90" spans="1:11">
      <c r="A90" s="109">
        <v>89</v>
      </c>
      <c r="B90" s="109" t="s">
        <v>38</v>
      </c>
      <c r="C90" s="109" t="s">
        <v>39</v>
      </c>
      <c r="D90" s="109" t="s">
        <v>897</v>
      </c>
      <c r="E90" s="2" t="s">
        <v>99</v>
      </c>
      <c r="F90" s="2" t="s">
        <v>179</v>
      </c>
      <c r="G90" s="2">
        <v>93</v>
      </c>
      <c r="H90" s="2" t="s">
        <v>33</v>
      </c>
      <c r="I90" s="2" t="s">
        <v>188</v>
      </c>
      <c r="J90" s="111">
        <v>2000</v>
      </c>
      <c r="K90" s="111">
        <f t="shared" si="2"/>
        <v>1.8599999999999998E-2</v>
      </c>
    </row>
    <row r="91" spans="1:11">
      <c r="A91" s="109">
        <v>90</v>
      </c>
      <c r="B91" s="109" t="s">
        <v>38</v>
      </c>
      <c r="C91" s="109" t="s">
        <v>39</v>
      </c>
      <c r="D91" s="109" t="s">
        <v>897</v>
      </c>
      <c r="E91" s="2" t="s">
        <v>100</v>
      </c>
      <c r="F91" s="2" t="s">
        <v>179</v>
      </c>
      <c r="G91" s="2">
        <v>34</v>
      </c>
      <c r="H91" s="2" t="s">
        <v>33</v>
      </c>
      <c r="I91" s="2" t="s">
        <v>188</v>
      </c>
      <c r="J91" s="111">
        <v>1800</v>
      </c>
      <c r="K91" s="111">
        <f t="shared" si="2"/>
        <v>6.1199999999999996E-3</v>
      </c>
    </row>
    <row r="92" spans="1:11">
      <c r="A92" s="109">
        <v>91</v>
      </c>
      <c r="B92" s="109" t="s">
        <v>38</v>
      </c>
      <c r="C92" s="109" t="s">
        <v>39</v>
      </c>
      <c r="D92" s="109" t="s">
        <v>897</v>
      </c>
      <c r="E92" s="2" t="s">
        <v>101</v>
      </c>
      <c r="F92" s="2" t="s">
        <v>179</v>
      </c>
      <c r="G92" s="2">
        <v>27</v>
      </c>
      <c r="H92" s="2" t="s">
        <v>33</v>
      </c>
      <c r="I92" s="2" t="s">
        <v>188</v>
      </c>
      <c r="J92" s="111">
        <v>1600</v>
      </c>
      <c r="K92" s="111">
        <f t="shared" si="2"/>
        <v>4.3200000000000001E-3</v>
      </c>
    </row>
    <row r="93" spans="1:11">
      <c r="A93" s="109">
        <v>92</v>
      </c>
      <c r="B93" s="109" t="s">
        <v>38</v>
      </c>
      <c r="C93" s="109" t="s">
        <v>39</v>
      </c>
      <c r="D93" s="109" t="s">
        <v>897</v>
      </c>
      <c r="E93" s="2" t="s">
        <v>102</v>
      </c>
      <c r="F93" s="2" t="s">
        <v>179</v>
      </c>
      <c r="G93" s="2">
        <v>203</v>
      </c>
      <c r="H93" s="2" t="s">
        <v>33</v>
      </c>
      <c r="I93" s="2" t="s">
        <v>191</v>
      </c>
      <c r="J93" s="111">
        <v>1600</v>
      </c>
      <c r="K93" s="111">
        <f t="shared" si="2"/>
        <v>3.2480000000000002E-2</v>
      </c>
    </row>
    <row r="94" spans="1:11">
      <c r="A94" s="109">
        <v>93</v>
      </c>
      <c r="B94" s="109" t="s">
        <v>38</v>
      </c>
      <c r="C94" s="109" t="s">
        <v>39</v>
      </c>
      <c r="D94" s="109" t="s">
        <v>897</v>
      </c>
      <c r="E94" s="2" t="s">
        <v>103</v>
      </c>
      <c r="F94" s="2" t="s">
        <v>179</v>
      </c>
      <c r="G94" s="2">
        <v>3</v>
      </c>
      <c r="H94" s="2" t="s">
        <v>33</v>
      </c>
      <c r="I94" s="2" t="s">
        <v>191</v>
      </c>
      <c r="J94" s="111">
        <v>1600</v>
      </c>
      <c r="K94" s="111">
        <f t="shared" si="2"/>
        <v>4.8000000000000001E-4</v>
      </c>
    </row>
    <row r="95" spans="1:11">
      <c r="A95" s="109">
        <v>94</v>
      </c>
      <c r="B95" s="109" t="s">
        <v>38</v>
      </c>
      <c r="C95" s="109" t="s">
        <v>39</v>
      </c>
      <c r="D95" s="109" t="s">
        <v>897</v>
      </c>
      <c r="E95" s="2" t="s">
        <v>104</v>
      </c>
      <c r="F95" s="2" t="s">
        <v>179</v>
      </c>
      <c r="G95" s="2">
        <v>14</v>
      </c>
      <c r="H95" s="2" t="s">
        <v>33</v>
      </c>
      <c r="I95" s="2" t="s">
        <v>191</v>
      </c>
      <c r="J95" s="111">
        <v>1400</v>
      </c>
      <c r="K95" s="111">
        <f t="shared" si="2"/>
        <v>1.9599999999999999E-3</v>
      </c>
    </row>
    <row r="96" spans="1:11">
      <c r="A96" s="109">
        <v>95</v>
      </c>
      <c r="B96" s="109" t="s">
        <v>38</v>
      </c>
      <c r="C96" s="109" t="s">
        <v>39</v>
      </c>
      <c r="D96" s="109" t="s">
        <v>978</v>
      </c>
      <c r="E96" s="2" t="s">
        <v>105</v>
      </c>
      <c r="F96" s="2" t="s">
        <v>179</v>
      </c>
      <c r="G96" s="2">
        <v>45</v>
      </c>
      <c r="H96" s="2" t="s">
        <v>33</v>
      </c>
      <c r="I96" s="2" t="s">
        <v>191</v>
      </c>
      <c r="J96" s="111">
        <v>31</v>
      </c>
      <c r="K96" s="111">
        <f t="shared" si="2"/>
        <v>1.395E-4</v>
      </c>
    </row>
    <row r="97" spans="1:11">
      <c r="A97" s="109">
        <v>96</v>
      </c>
      <c r="B97" s="109" t="s">
        <v>38</v>
      </c>
      <c r="C97" s="109" t="s">
        <v>39</v>
      </c>
      <c r="D97" s="109" t="s">
        <v>978</v>
      </c>
      <c r="E97" s="2" t="s">
        <v>106</v>
      </c>
      <c r="F97" s="2" t="s">
        <v>179</v>
      </c>
      <c r="G97" s="2">
        <v>86</v>
      </c>
      <c r="H97" s="2" t="s">
        <v>33</v>
      </c>
      <c r="I97" s="2" t="s">
        <v>191</v>
      </c>
      <c r="J97" s="111">
        <v>31</v>
      </c>
      <c r="K97" s="111">
        <f t="shared" si="2"/>
        <v>2.6659999999999998E-4</v>
      </c>
    </row>
    <row r="98" spans="1:11">
      <c r="A98" s="109">
        <v>97</v>
      </c>
      <c r="B98" s="109" t="s">
        <v>38</v>
      </c>
      <c r="C98" s="109" t="s">
        <v>39</v>
      </c>
      <c r="D98" s="109" t="s">
        <v>978</v>
      </c>
      <c r="E98" s="2" t="s">
        <v>107</v>
      </c>
      <c r="F98" s="2" t="s">
        <v>179</v>
      </c>
      <c r="G98" s="2">
        <v>5</v>
      </c>
      <c r="H98" s="2" t="s">
        <v>33</v>
      </c>
      <c r="I98" s="2" t="s">
        <v>191</v>
      </c>
      <c r="J98" s="111">
        <v>90</v>
      </c>
      <c r="K98" s="111">
        <f t="shared" si="2"/>
        <v>4.5000000000000003E-5</v>
      </c>
    </row>
    <row r="99" spans="1:11">
      <c r="A99" s="109">
        <v>98</v>
      </c>
      <c r="B99" s="109" t="s">
        <v>38</v>
      </c>
      <c r="C99" s="109" t="s">
        <v>39</v>
      </c>
      <c r="D99" s="109" t="s">
        <v>978</v>
      </c>
      <c r="E99" s="2" t="s">
        <v>108</v>
      </c>
      <c r="F99" s="2" t="s">
        <v>179</v>
      </c>
      <c r="G99" s="2">
        <v>2</v>
      </c>
      <c r="H99" s="2" t="s">
        <v>33</v>
      </c>
      <c r="I99" s="2" t="s">
        <v>191</v>
      </c>
      <c r="J99" s="111">
        <v>90</v>
      </c>
      <c r="K99" s="111">
        <f t="shared" si="2"/>
        <v>1.8E-5</v>
      </c>
    </row>
    <row r="100" spans="1:11">
      <c r="A100" s="109">
        <v>99</v>
      </c>
      <c r="B100" s="109" t="s">
        <v>38</v>
      </c>
      <c r="C100" s="109" t="s">
        <v>39</v>
      </c>
      <c r="D100" s="109" t="s">
        <v>978</v>
      </c>
      <c r="E100" s="2" t="s">
        <v>109</v>
      </c>
      <c r="F100" s="2" t="s">
        <v>179</v>
      </c>
      <c r="G100" s="2">
        <v>2</v>
      </c>
      <c r="H100" s="2" t="s">
        <v>33</v>
      </c>
      <c r="I100" s="2" t="s">
        <v>191</v>
      </c>
      <c r="J100" s="111">
        <v>6108.68</v>
      </c>
      <c r="K100" s="111">
        <f t="shared" si="2"/>
        <v>1.221736E-3</v>
      </c>
    </row>
    <row r="101" spans="1:11">
      <c r="A101" s="109">
        <v>100</v>
      </c>
      <c r="B101" s="109" t="s">
        <v>38</v>
      </c>
      <c r="C101" s="109" t="s">
        <v>39</v>
      </c>
      <c r="D101" s="109" t="s">
        <v>978</v>
      </c>
      <c r="E101" s="2" t="s">
        <v>110</v>
      </c>
      <c r="F101" s="2" t="s">
        <v>179</v>
      </c>
      <c r="G101" s="2">
        <v>10</v>
      </c>
      <c r="H101" s="2" t="s">
        <v>33</v>
      </c>
      <c r="I101" s="2" t="s">
        <v>191</v>
      </c>
      <c r="J101" s="111">
        <v>6108.68</v>
      </c>
      <c r="K101" s="111">
        <f t="shared" si="2"/>
        <v>6.10868E-3</v>
      </c>
    </row>
    <row r="102" spans="1:11">
      <c r="A102" s="109">
        <v>101</v>
      </c>
      <c r="B102" s="109" t="s">
        <v>38</v>
      </c>
      <c r="C102" s="109" t="s">
        <v>39</v>
      </c>
      <c r="D102" s="109" t="s">
        <v>978</v>
      </c>
      <c r="E102" s="2" t="s">
        <v>111</v>
      </c>
      <c r="F102" s="2" t="s">
        <v>179</v>
      </c>
      <c r="G102" s="2">
        <v>19</v>
      </c>
      <c r="H102" s="2" t="s">
        <v>33</v>
      </c>
      <c r="I102" s="2" t="s">
        <v>191</v>
      </c>
      <c r="J102" s="111">
        <v>6108.68</v>
      </c>
      <c r="K102" s="111">
        <f t="shared" si="2"/>
        <v>1.1606492000000001E-2</v>
      </c>
    </row>
    <row r="103" spans="1:11">
      <c r="A103" s="109">
        <v>102</v>
      </c>
      <c r="B103" s="109" t="s">
        <v>38</v>
      </c>
      <c r="C103" s="109" t="s">
        <v>39</v>
      </c>
      <c r="D103" s="109" t="s">
        <v>978</v>
      </c>
      <c r="E103" s="2" t="s">
        <v>111</v>
      </c>
      <c r="F103" s="2" t="s">
        <v>179</v>
      </c>
      <c r="G103" s="2">
        <v>4</v>
      </c>
      <c r="H103" s="2" t="s">
        <v>33</v>
      </c>
      <c r="I103" s="2" t="s">
        <v>189</v>
      </c>
      <c r="J103" s="111">
        <v>6108.68</v>
      </c>
      <c r="K103" s="111">
        <f t="shared" si="2"/>
        <v>2.4434719999999999E-3</v>
      </c>
    </row>
    <row r="104" spans="1:11">
      <c r="A104" s="109">
        <v>103</v>
      </c>
      <c r="B104" s="109" t="s">
        <v>38</v>
      </c>
      <c r="C104" s="109" t="s">
        <v>39</v>
      </c>
      <c r="D104" s="109" t="s">
        <v>978</v>
      </c>
      <c r="E104" s="2" t="s">
        <v>112</v>
      </c>
      <c r="F104" s="2" t="s">
        <v>179</v>
      </c>
      <c r="G104" s="2">
        <v>1</v>
      </c>
      <c r="H104" s="2" t="s">
        <v>33</v>
      </c>
      <c r="I104" s="2" t="s">
        <v>189</v>
      </c>
      <c r="J104" s="111">
        <v>6108.68</v>
      </c>
      <c r="K104" s="111">
        <f t="shared" si="2"/>
        <v>6.1086799999999998E-4</v>
      </c>
    </row>
    <row r="105" spans="1:11">
      <c r="A105" s="109">
        <v>104</v>
      </c>
      <c r="B105" s="109" t="s">
        <v>38</v>
      </c>
      <c r="C105" s="109" t="s">
        <v>39</v>
      </c>
      <c r="D105" s="109" t="s">
        <v>978</v>
      </c>
      <c r="E105" s="2" t="s">
        <v>112</v>
      </c>
      <c r="F105" s="2" t="s">
        <v>179</v>
      </c>
      <c r="G105" s="2">
        <v>2</v>
      </c>
      <c r="H105" s="2" t="s">
        <v>33</v>
      </c>
      <c r="I105" s="2" t="s">
        <v>188</v>
      </c>
      <c r="J105" s="111">
        <v>6108.68</v>
      </c>
      <c r="K105" s="111">
        <f t="shared" si="2"/>
        <v>1.221736E-3</v>
      </c>
    </row>
    <row r="106" spans="1:11">
      <c r="A106" s="109">
        <v>105</v>
      </c>
      <c r="B106" s="109" t="s">
        <v>38</v>
      </c>
      <c r="C106" s="109" t="s">
        <v>39</v>
      </c>
      <c r="D106" s="109" t="s">
        <v>978</v>
      </c>
      <c r="E106" s="2" t="s">
        <v>113</v>
      </c>
      <c r="F106" s="2" t="s">
        <v>179</v>
      </c>
      <c r="G106" s="2">
        <v>1</v>
      </c>
      <c r="H106" s="2" t="s">
        <v>33</v>
      </c>
      <c r="I106" s="2" t="s">
        <v>191</v>
      </c>
      <c r="J106" s="111">
        <v>6108.68</v>
      </c>
      <c r="K106" s="111">
        <f t="shared" si="2"/>
        <v>6.1086799999999998E-4</v>
      </c>
    </row>
    <row r="107" spans="1:11">
      <c r="A107" s="109">
        <v>106</v>
      </c>
      <c r="B107" s="109" t="s">
        <v>38</v>
      </c>
      <c r="C107" s="109" t="s">
        <v>39</v>
      </c>
      <c r="D107" s="109" t="s">
        <v>978</v>
      </c>
      <c r="E107" s="2" t="s">
        <v>113</v>
      </c>
      <c r="F107" s="2" t="s">
        <v>179</v>
      </c>
      <c r="G107" s="2">
        <v>12</v>
      </c>
      <c r="H107" s="2" t="s">
        <v>33</v>
      </c>
      <c r="I107" s="2" t="s">
        <v>189</v>
      </c>
      <c r="J107" s="111">
        <v>6108.68</v>
      </c>
      <c r="K107" s="111">
        <f t="shared" si="2"/>
        <v>7.3304160000000002E-3</v>
      </c>
    </row>
    <row r="108" spans="1:11">
      <c r="A108" s="109">
        <v>107</v>
      </c>
      <c r="B108" s="109" t="s">
        <v>38</v>
      </c>
      <c r="C108" s="109" t="s">
        <v>39</v>
      </c>
      <c r="D108" s="109" t="s">
        <v>978</v>
      </c>
      <c r="E108" s="2" t="s">
        <v>114</v>
      </c>
      <c r="F108" s="2" t="s">
        <v>179</v>
      </c>
      <c r="G108" s="2">
        <v>1</v>
      </c>
      <c r="H108" s="2" t="s">
        <v>33</v>
      </c>
      <c r="I108" s="2" t="s">
        <v>188</v>
      </c>
      <c r="J108" s="111">
        <v>6108.68</v>
      </c>
      <c r="K108" s="111">
        <f t="shared" si="2"/>
        <v>6.1086799999999998E-4</v>
      </c>
    </row>
    <row r="109" spans="1:11">
      <c r="A109" s="109">
        <v>108</v>
      </c>
      <c r="B109" s="109" t="s">
        <v>38</v>
      </c>
      <c r="C109" s="109" t="s">
        <v>39</v>
      </c>
      <c r="D109" s="109" t="s">
        <v>978</v>
      </c>
      <c r="E109" s="2" t="s">
        <v>110</v>
      </c>
      <c r="F109" s="2" t="s">
        <v>179</v>
      </c>
      <c r="G109" s="2">
        <v>2</v>
      </c>
      <c r="H109" s="2" t="s">
        <v>33</v>
      </c>
      <c r="I109" s="2" t="s">
        <v>189</v>
      </c>
      <c r="J109" s="111">
        <v>6108.68</v>
      </c>
      <c r="K109" s="111">
        <f t="shared" si="2"/>
        <v>1.221736E-3</v>
      </c>
    </row>
    <row r="110" spans="1:11">
      <c r="A110" s="109">
        <v>109</v>
      </c>
      <c r="B110" s="109" t="s">
        <v>38</v>
      </c>
      <c r="C110" s="109" t="s">
        <v>39</v>
      </c>
      <c r="D110" s="109" t="s">
        <v>978</v>
      </c>
      <c r="E110" s="2" t="s">
        <v>115</v>
      </c>
      <c r="F110" s="2" t="s">
        <v>179</v>
      </c>
      <c r="G110" s="2">
        <v>1</v>
      </c>
      <c r="H110" s="2" t="s">
        <v>33</v>
      </c>
      <c r="I110" s="2" t="s">
        <v>189</v>
      </c>
      <c r="J110" s="111">
        <v>24817.82</v>
      </c>
      <c r="K110" s="111">
        <f t="shared" si="2"/>
        <v>2.4817820000000001E-3</v>
      </c>
    </row>
    <row r="111" spans="1:11">
      <c r="A111" s="109">
        <v>110</v>
      </c>
      <c r="B111" s="109" t="s">
        <v>38</v>
      </c>
      <c r="C111" s="109" t="s">
        <v>39</v>
      </c>
      <c r="D111" s="109" t="s">
        <v>978</v>
      </c>
      <c r="E111" s="2" t="s">
        <v>115</v>
      </c>
      <c r="F111" s="2" t="s">
        <v>179</v>
      </c>
      <c r="G111" s="2">
        <v>1</v>
      </c>
      <c r="H111" s="2" t="s">
        <v>33</v>
      </c>
      <c r="I111" s="2" t="s">
        <v>191</v>
      </c>
      <c r="J111" s="111">
        <v>24817.82</v>
      </c>
      <c r="K111" s="111">
        <f t="shared" si="2"/>
        <v>2.4817820000000001E-3</v>
      </c>
    </row>
    <row r="112" spans="1:11">
      <c r="A112" s="109">
        <v>111</v>
      </c>
      <c r="B112" s="109" t="s">
        <v>38</v>
      </c>
      <c r="C112" s="109" t="s">
        <v>39</v>
      </c>
      <c r="D112" s="109" t="s">
        <v>978</v>
      </c>
      <c r="E112" s="2" t="s">
        <v>116</v>
      </c>
      <c r="F112" s="2" t="s">
        <v>179</v>
      </c>
      <c r="G112" s="2">
        <v>2</v>
      </c>
      <c r="H112" s="2" t="s">
        <v>33</v>
      </c>
      <c r="I112" s="2" t="s">
        <v>188</v>
      </c>
      <c r="J112" s="111">
        <v>24817.82</v>
      </c>
      <c r="K112" s="111">
        <f t="shared" si="2"/>
        <v>4.9635640000000002E-3</v>
      </c>
    </row>
    <row r="113" spans="1:11">
      <c r="A113" s="109">
        <v>112</v>
      </c>
      <c r="B113" s="109" t="s">
        <v>38</v>
      </c>
      <c r="C113" s="109" t="s">
        <v>39</v>
      </c>
      <c r="D113" s="109" t="s">
        <v>978</v>
      </c>
      <c r="E113" s="2" t="s">
        <v>117</v>
      </c>
      <c r="F113" s="2" t="s">
        <v>179</v>
      </c>
      <c r="G113" s="2">
        <v>1</v>
      </c>
      <c r="H113" s="2" t="s">
        <v>33</v>
      </c>
      <c r="I113" s="2" t="s">
        <v>189</v>
      </c>
      <c r="J113" s="111">
        <v>24817.82</v>
      </c>
      <c r="K113" s="111">
        <f t="shared" si="2"/>
        <v>2.4817820000000001E-3</v>
      </c>
    </row>
    <row r="114" spans="1:11">
      <c r="A114" s="109">
        <v>113</v>
      </c>
      <c r="B114" s="109" t="s">
        <v>38</v>
      </c>
      <c r="C114" s="109" t="s">
        <v>39</v>
      </c>
      <c r="D114" s="109" t="s">
        <v>978</v>
      </c>
      <c r="E114" s="2" t="s">
        <v>118</v>
      </c>
      <c r="F114" s="2" t="s">
        <v>179</v>
      </c>
      <c r="G114" s="2">
        <v>2</v>
      </c>
      <c r="H114" s="2" t="s">
        <v>33</v>
      </c>
      <c r="I114" s="2" t="s">
        <v>191</v>
      </c>
      <c r="J114" s="111">
        <v>24817.82</v>
      </c>
      <c r="K114" s="111">
        <f t="shared" si="2"/>
        <v>4.9635640000000002E-3</v>
      </c>
    </row>
    <row r="115" spans="1:11">
      <c r="A115" s="109">
        <v>114</v>
      </c>
      <c r="B115" s="109" t="s">
        <v>38</v>
      </c>
      <c r="C115" s="109" t="s">
        <v>39</v>
      </c>
      <c r="D115" s="109" t="s">
        <v>978</v>
      </c>
      <c r="E115" s="2" t="s">
        <v>119</v>
      </c>
      <c r="F115" s="2" t="s">
        <v>179</v>
      </c>
      <c r="G115" s="2">
        <v>2</v>
      </c>
      <c r="H115" s="2" t="s">
        <v>33</v>
      </c>
      <c r="I115" s="2" t="s">
        <v>189</v>
      </c>
      <c r="J115" s="111">
        <v>24817.82</v>
      </c>
      <c r="K115" s="111">
        <f>(J115*G115)/10000000</f>
        <v>4.9635640000000002E-3</v>
      </c>
    </row>
    <row r="116" spans="1:11">
      <c r="A116" s="109">
        <v>115</v>
      </c>
      <c r="B116" s="109" t="s">
        <v>38</v>
      </c>
      <c r="C116" s="109" t="s">
        <v>39</v>
      </c>
      <c r="D116" s="109" t="s">
        <v>978</v>
      </c>
      <c r="E116" s="2" t="s">
        <v>120</v>
      </c>
      <c r="F116" s="2" t="s">
        <v>179</v>
      </c>
      <c r="G116" s="2">
        <v>64</v>
      </c>
      <c r="H116" s="2" t="s">
        <v>33</v>
      </c>
      <c r="I116" s="2" t="s">
        <v>191</v>
      </c>
      <c r="J116" s="111">
        <v>6108.68</v>
      </c>
      <c r="K116" s="111">
        <f t="shared" si="2"/>
        <v>3.9095551999999999E-2</v>
      </c>
    </row>
    <row r="117" spans="1:11">
      <c r="A117" s="109">
        <v>116</v>
      </c>
      <c r="B117" s="109" t="s">
        <v>38</v>
      </c>
      <c r="C117" s="109" t="s">
        <v>39</v>
      </c>
      <c r="D117" s="109" t="s">
        <v>978</v>
      </c>
      <c r="E117" s="2" t="s">
        <v>121</v>
      </c>
      <c r="F117" s="2" t="s">
        <v>179</v>
      </c>
      <c r="G117" s="2">
        <v>59</v>
      </c>
      <c r="H117" s="2" t="s">
        <v>33</v>
      </c>
      <c r="I117" s="2" t="s">
        <v>191</v>
      </c>
      <c r="J117" s="111">
        <v>6108.68</v>
      </c>
      <c r="K117" s="111">
        <f t="shared" si="2"/>
        <v>3.6041211999999996E-2</v>
      </c>
    </row>
    <row r="118" spans="1:11">
      <c r="A118" s="109">
        <v>117</v>
      </c>
      <c r="B118" s="109" t="s">
        <v>38</v>
      </c>
      <c r="C118" s="109" t="s">
        <v>39</v>
      </c>
      <c r="D118" s="109" t="s">
        <v>978</v>
      </c>
      <c r="E118" s="2" t="s">
        <v>122</v>
      </c>
      <c r="F118" s="2" t="s">
        <v>179</v>
      </c>
      <c r="G118" s="2">
        <v>46</v>
      </c>
      <c r="H118" s="2" t="s">
        <v>33</v>
      </c>
      <c r="I118" s="2" t="s">
        <v>191</v>
      </c>
      <c r="J118" s="111">
        <v>6108.68</v>
      </c>
      <c r="K118" s="111">
        <f t="shared" si="2"/>
        <v>2.8099928000000003E-2</v>
      </c>
    </row>
    <row r="119" spans="1:11">
      <c r="A119" s="109">
        <v>118</v>
      </c>
      <c r="B119" s="109" t="s">
        <v>38</v>
      </c>
      <c r="C119" s="109" t="s">
        <v>39</v>
      </c>
      <c r="D119" s="109" t="s">
        <v>978</v>
      </c>
      <c r="E119" s="2" t="s">
        <v>123</v>
      </c>
      <c r="F119" s="2" t="s">
        <v>179</v>
      </c>
      <c r="G119" s="2">
        <v>4</v>
      </c>
      <c r="H119" s="2" t="s">
        <v>33</v>
      </c>
      <c r="I119" s="2" t="s">
        <v>191</v>
      </c>
      <c r="J119" s="111">
        <v>6108.68</v>
      </c>
      <c r="K119" s="111">
        <f t="shared" si="2"/>
        <v>2.4434719999999999E-3</v>
      </c>
    </row>
    <row r="120" spans="1:11">
      <c r="A120" s="109">
        <v>119</v>
      </c>
      <c r="B120" s="109" t="s">
        <v>38</v>
      </c>
      <c r="C120" s="109" t="s">
        <v>39</v>
      </c>
      <c r="D120" s="109" t="s">
        <v>978</v>
      </c>
      <c r="E120" s="2" t="s">
        <v>124</v>
      </c>
      <c r="F120" s="2" t="s">
        <v>179</v>
      </c>
      <c r="G120" s="2">
        <v>4</v>
      </c>
      <c r="H120" s="2" t="s">
        <v>33</v>
      </c>
      <c r="I120" s="2" t="s">
        <v>191</v>
      </c>
      <c r="J120" s="111">
        <v>6108.68</v>
      </c>
      <c r="K120" s="111">
        <f t="shared" si="2"/>
        <v>2.4434719999999999E-3</v>
      </c>
    </row>
    <row r="121" spans="1:11">
      <c r="A121" s="109">
        <v>120</v>
      </c>
      <c r="B121" s="109" t="s">
        <v>38</v>
      </c>
      <c r="C121" s="109" t="s">
        <v>39</v>
      </c>
      <c r="D121" s="109" t="s">
        <v>1354</v>
      </c>
      <c r="E121" s="2" t="s">
        <v>125</v>
      </c>
      <c r="F121" s="2" t="s">
        <v>179</v>
      </c>
      <c r="G121" s="2">
        <v>1</v>
      </c>
      <c r="H121" s="2" t="s">
        <v>33</v>
      </c>
      <c r="I121" s="2" t="s">
        <v>188</v>
      </c>
      <c r="J121" s="111">
        <v>5286</v>
      </c>
      <c r="K121" s="111">
        <f t="shared" si="2"/>
        <v>5.2859999999999995E-4</v>
      </c>
    </row>
    <row r="122" spans="1:11">
      <c r="A122" s="109">
        <v>121</v>
      </c>
      <c r="B122" s="109" t="s">
        <v>38</v>
      </c>
      <c r="C122" s="109" t="s">
        <v>39</v>
      </c>
      <c r="D122" s="109" t="s">
        <v>1354</v>
      </c>
      <c r="E122" s="2" t="s">
        <v>126</v>
      </c>
      <c r="F122" s="2" t="s">
        <v>179</v>
      </c>
      <c r="G122" s="2">
        <v>2</v>
      </c>
      <c r="H122" s="2" t="s">
        <v>33</v>
      </c>
      <c r="I122" s="2" t="s">
        <v>188</v>
      </c>
      <c r="J122" s="111">
        <v>5286</v>
      </c>
      <c r="K122" s="111">
        <f t="shared" si="2"/>
        <v>1.0571999999999999E-3</v>
      </c>
    </row>
    <row r="123" spans="1:11">
      <c r="A123" s="109">
        <v>122</v>
      </c>
      <c r="B123" s="109" t="s">
        <v>38</v>
      </c>
      <c r="C123" s="109" t="s">
        <v>39</v>
      </c>
      <c r="D123" s="109" t="s">
        <v>1354</v>
      </c>
      <c r="E123" s="2" t="s">
        <v>127</v>
      </c>
      <c r="F123" s="2" t="s">
        <v>179</v>
      </c>
      <c r="G123" s="2">
        <v>15</v>
      </c>
      <c r="H123" s="2" t="s">
        <v>33</v>
      </c>
      <c r="I123" s="2" t="s">
        <v>188</v>
      </c>
      <c r="J123" s="111">
        <v>1055</v>
      </c>
      <c r="K123" s="111">
        <f t="shared" si="2"/>
        <v>1.5824999999999999E-3</v>
      </c>
    </row>
    <row r="124" spans="1:11">
      <c r="A124" s="109">
        <v>123</v>
      </c>
      <c r="B124" s="109" t="s">
        <v>38</v>
      </c>
      <c r="C124" s="109" t="s">
        <v>39</v>
      </c>
      <c r="D124" s="109" t="s">
        <v>1354</v>
      </c>
      <c r="E124" s="2" t="s">
        <v>128</v>
      </c>
      <c r="F124" s="2" t="s">
        <v>179</v>
      </c>
      <c r="G124" s="2">
        <v>2</v>
      </c>
      <c r="H124" s="2" t="s">
        <v>33</v>
      </c>
      <c r="I124" s="2" t="s">
        <v>188</v>
      </c>
      <c r="J124" s="111">
        <v>1055</v>
      </c>
      <c r="K124" s="111">
        <f t="shared" si="2"/>
        <v>2.1100000000000001E-4</v>
      </c>
    </row>
    <row r="125" spans="1:11">
      <c r="A125" s="109">
        <v>124</v>
      </c>
      <c r="B125" s="109" t="s">
        <v>38</v>
      </c>
      <c r="C125" s="109" t="s">
        <v>39</v>
      </c>
      <c r="D125" s="109" t="s">
        <v>1354</v>
      </c>
      <c r="E125" s="2" t="s">
        <v>128</v>
      </c>
      <c r="F125" s="2" t="s">
        <v>179</v>
      </c>
      <c r="G125" s="2">
        <v>99</v>
      </c>
      <c r="H125" s="2" t="s">
        <v>33</v>
      </c>
      <c r="I125" s="2" t="s">
        <v>188</v>
      </c>
      <c r="J125" s="111">
        <v>1055</v>
      </c>
      <c r="K125" s="111">
        <f t="shared" si="2"/>
        <v>1.0444500000000001E-2</v>
      </c>
    </row>
    <row r="126" spans="1:11">
      <c r="A126" s="109">
        <v>125</v>
      </c>
      <c r="B126" s="109" t="s">
        <v>38</v>
      </c>
      <c r="C126" s="109" t="s">
        <v>39</v>
      </c>
      <c r="D126" s="109" t="s">
        <v>1354</v>
      </c>
      <c r="E126" s="2" t="s">
        <v>129</v>
      </c>
      <c r="F126" s="2" t="s">
        <v>179</v>
      </c>
      <c r="G126" s="2">
        <v>4</v>
      </c>
      <c r="H126" s="2" t="s">
        <v>33</v>
      </c>
      <c r="I126" s="2" t="s">
        <v>188</v>
      </c>
      <c r="J126" s="111">
        <v>13355.09</v>
      </c>
      <c r="K126" s="111">
        <f t="shared" si="2"/>
        <v>5.3420359999999997E-3</v>
      </c>
    </row>
    <row r="127" spans="1:11">
      <c r="A127" s="109">
        <v>126</v>
      </c>
      <c r="B127" s="109" t="s">
        <v>38</v>
      </c>
      <c r="C127" s="109" t="s">
        <v>39</v>
      </c>
      <c r="D127" s="109" t="s">
        <v>1354</v>
      </c>
      <c r="E127" s="2" t="s">
        <v>130</v>
      </c>
      <c r="F127" s="2" t="s">
        <v>179</v>
      </c>
      <c r="G127" s="2">
        <v>1</v>
      </c>
      <c r="H127" s="2" t="s">
        <v>33</v>
      </c>
      <c r="I127" s="2" t="s">
        <v>188</v>
      </c>
      <c r="J127" s="111">
        <v>13355.09</v>
      </c>
      <c r="K127" s="111">
        <f t="shared" si="2"/>
        <v>1.3355089999999999E-3</v>
      </c>
    </row>
    <row r="128" spans="1:11">
      <c r="A128" s="109">
        <v>127</v>
      </c>
      <c r="B128" s="109" t="s">
        <v>38</v>
      </c>
      <c r="C128" s="109" t="s">
        <v>39</v>
      </c>
      <c r="D128" s="109" t="s">
        <v>1354</v>
      </c>
      <c r="E128" s="2" t="s">
        <v>131</v>
      </c>
      <c r="F128" s="2" t="s">
        <v>179</v>
      </c>
      <c r="G128" s="2">
        <v>1</v>
      </c>
      <c r="H128" s="2" t="s">
        <v>33</v>
      </c>
      <c r="I128" s="2" t="s">
        <v>188</v>
      </c>
      <c r="J128" s="111">
        <v>13355.09</v>
      </c>
      <c r="K128" s="111">
        <f t="shared" si="2"/>
        <v>1.3355089999999999E-3</v>
      </c>
    </row>
    <row r="129" spans="1:11">
      <c r="A129" s="109">
        <v>128</v>
      </c>
      <c r="B129" s="109" t="s">
        <v>38</v>
      </c>
      <c r="C129" s="109" t="s">
        <v>39</v>
      </c>
      <c r="D129" s="109" t="s">
        <v>1354</v>
      </c>
      <c r="E129" s="2" t="s">
        <v>132</v>
      </c>
      <c r="F129" s="2" t="s">
        <v>179</v>
      </c>
      <c r="G129" s="2">
        <v>1</v>
      </c>
      <c r="H129" s="2" t="s">
        <v>33</v>
      </c>
      <c r="I129" s="2" t="s">
        <v>188</v>
      </c>
      <c r="J129" s="111">
        <v>7448.04</v>
      </c>
      <c r="K129" s="111">
        <f t="shared" si="2"/>
        <v>7.4480399999999995E-4</v>
      </c>
    </row>
    <row r="130" spans="1:11">
      <c r="A130" s="109">
        <v>129</v>
      </c>
      <c r="B130" s="109" t="s">
        <v>38</v>
      </c>
      <c r="C130" s="109" t="s">
        <v>39</v>
      </c>
      <c r="D130" s="109" t="s">
        <v>1354</v>
      </c>
      <c r="E130" s="2" t="s">
        <v>133</v>
      </c>
      <c r="F130" s="2" t="s">
        <v>179</v>
      </c>
      <c r="G130" s="2">
        <v>10</v>
      </c>
      <c r="H130" s="2" t="s">
        <v>33</v>
      </c>
      <c r="I130" s="2" t="s">
        <v>188</v>
      </c>
      <c r="J130" s="111">
        <v>10886.99</v>
      </c>
      <c r="K130" s="111">
        <f t="shared" si="2"/>
        <v>1.0886989999999999E-2</v>
      </c>
    </row>
    <row r="131" spans="1:11">
      <c r="A131" s="109">
        <v>130</v>
      </c>
      <c r="B131" s="109" t="s">
        <v>38</v>
      </c>
      <c r="C131" s="109" t="s">
        <v>39</v>
      </c>
      <c r="D131" s="109" t="s">
        <v>1354</v>
      </c>
      <c r="E131" s="2" t="s">
        <v>134</v>
      </c>
      <c r="F131" s="2" t="s">
        <v>179</v>
      </c>
      <c r="G131" s="2">
        <v>37</v>
      </c>
      <c r="H131" s="2" t="s">
        <v>33</v>
      </c>
      <c r="I131" s="2" t="s">
        <v>188</v>
      </c>
      <c r="J131" s="111">
        <v>7448.04</v>
      </c>
      <c r="K131" s="111">
        <f t="shared" si="2"/>
        <v>2.7557747999999996E-2</v>
      </c>
    </row>
    <row r="132" spans="1:11">
      <c r="A132" s="109">
        <v>131</v>
      </c>
      <c r="B132" s="109" t="s">
        <v>38</v>
      </c>
      <c r="C132" s="109" t="s">
        <v>39</v>
      </c>
      <c r="D132" s="109" t="s">
        <v>1354</v>
      </c>
      <c r="E132" s="2" t="s">
        <v>135</v>
      </c>
      <c r="F132" s="2" t="s">
        <v>179</v>
      </c>
      <c r="G132" s="2">
        <v>2</v>
      </c>
      <c r="H132" s="2" t="s">
        <v>33</v>
      </c>
      <c r="I132" s="2" t="s">
        <v>188</v>
      </c>
      <c r="J132" s="111">
        <v>1055</v>
      </c>
      <c r="K132" s="111">
        <f t="shared" si="2"/>
        <v>2.1100000000000001E-4</v>
      </c>
    </row>
    <row r="133" spans="1:11">
      <c r="A133" s="109">
        <v>132</v>
      </c>
      <c r="B133" s="109" t="s">
        <v>38</v>
      </c>
      <c r="C133" s="109" t="s">
        <v>39</v>
      </c>
      <c r="D133" s="109" t="s">
        <v>897</v>
      </c>
      <c r="E133" s="2" t="s">
        <v>136</v>
      </c>
      <c r="F133" s="2" t="s">
        <v>180</v>
      </c>
      <c r="G133" s="2">
        <v>18</v>
      </c>
      <c r="H133" s="2" t="s">
        <v>33</v>
      </c>
      <c r="I133" s="2" t="s">
        <v>192</v>
      </c>
      <c r="J133" s="111"/>
      <c r="K133" s="111">
        <f t="shared" si="2"/>
        <v>0</v>
      </c>
    </row>
    <row r="134" spans="1:11">
      <c r="A134" s="109">
        <v>133</v>
      </c>
      <c r="B134" s="109" t="s">
        <v>38</v>
      </c>
      <c r="C134" s="109" t="s">
        <v>39</v>
      </c>
      <c r="D134" s="109" t="s">
        <v>721</v>
      </c>
      <c r="E134" s="2" t="s">
        <v>137</v>
      </c>
      <c r="F134" s="2" t="s">
        <v>180</v>
      </c>
      <c r="G134" s="2">
        <v>30</v>
      </c>
      <c r="H134" s="2" t="s">
        <v>33</v>
      </c>
      <c r="I134" s="2" t="s">
        <v>192</v>
      </c>
      <c r="J134" s="111"/>
      <c r="K134" s="111">
        <f t="shared" si="2"/>
        <v>0</v>
      </c>
    </row>
    <row r="135" spans="1:11">
      <c r="A135" s="109">
        <v>134</v>
      </c>
      <c r="B135" s="109" t="s">
        <v>38</v>
      </c>
      <c r="C135" s="109" t="s">
        <v>39</v>
      </c>
      <c r="D135" s="109" t="s">
        <v>895</v>
      </c>
      <c r="E135" s="2" t="s">
        <v>138</v>
      </c>
      <c r="F135" s="2" t="s">
        <v>181</v>
      </c>
      <c r="G135" s="2">
        <v>180</v>
      </c>
      <c r="H135" s="2" t="s">
        <v>182</v>
      </c>
      <c r="I135" s="2" t="s">
        <v>193</v>
      </c>
      <c r="J135" s="111">
        <v>2568.06</v>
      </c>
      <c r="K135" s="111">
        <f t="shared" si="2"/>
        <v>4.6225080000000002E-2</v>
      </c>
    </row>
    <row r="136" spans="1:11">
      <c r="A136" s="109">
        <v>135</v>
      </c>
      <c r="B136" s="109" t="s">
        <v>38</v>
      </c>
      <c r="C136" s="109" t="s">
        <v>39</v>
      </c>
      <c r="D136" s="109" t="s">
        <v>895</v>
      </c>
      <c r="E136" s="2" t="s">
        <v>139</v>
      </c>
      <c r="F136" s="2" t="s">
        <v>181</v>
      </c>
      <c r="G136" s="2">
        <v>42</v>
      </c>
      <c r="H136" s="2" t="s">
        <v>182</v>
      </c>
      <c r="I136" s="2" t="s">
        <v>193</v>
      </c>
      <c r="J136" s="111">
        <v>2288</v>
      </c>
      <c r="K136" s="111">
        <f t="shared" si="2"/>
        <v>9.6095999999999994E-3</v>
      </c>
    </row>
    <row r="137" spans="1:11">
      <c r="A137" s="109">
        <v>136</v>
      </c>
      <c r="B137" s="109" t="s">
        <v>38</v>
      </c>
      <c r="C137" s="109" t="s">
        <v>39</v>
      </c>
      <c r="D137" s="109" t="s">
        <v>895</v>
      </c>
      <c r="E137" s="2" t="s">
        <v>140</v>
      </c>
      <c r="F137" s="2" t="s">
        <v>181</v>
      </c>
      <c r="G137" s="2">
        <v>30</v>
      </c>
      <c r="H137" s="2" t="s">
        <v>182</v>
      </c>
      <c r="I137" s="2" t="s">
        <v>193</v>
      </c>
      <c r="J137" s="111">
        <v>3406</v>
      </c>
      <c r="K137" s="111">
        <f t="shared" si="2"/>
        <v>1.0218E-2</v>
      </c>
    </row>
    <row r="138" spans="1:11">
      <c r="A138" s="109">
        <v>137</v>
      </c>
      <c r="B138" s="109" t="s">
        <v>38</v>
      </c>
      <c r="C138" s="109" t="s">
        <v>39</v>
      </c>
      <c r="D138" s="109" t="s">
        <v>895</v>
      </c>
      <c r="E138" s="2" t="s">
        <v>141</v>
      </c>
      <c r="F138" s="2" t="s">
        <v>183</v>
      </c>
      <c r="G138" s="2">
        <v>60</v>
      </c>
      <c r="H138" s="2" t="s">
        <v>184</v>
      </c>
      <c r="I138" s="2" t="s">
        <v>194</v>
      </c>
      <c r="J138" s="111">
        <v>100.61</v>
      </c>
      <c r="K138" s="111">
        <f t="shared" si="2"/>
        <v>6.0366E-4</v>
      </c>
    </row>
    <row r="139" spans="1:11">
      <c r="A139" s="109">
        <v>138</v>
      </c>
      <c r="B139" s="109" t="s">
        <v>38</v>
      </c>
      <c r="C139" s="109" t="s">
        <v>39</v>
      </c>
      <c r="D139" s="109" t="s">
        <v>721</v>
      </c>
      <c r="E139" s="2" t="s">
        <v>142</v>
      </c>
      <c r="F139" s="2" t="s">
        <v>185</v>
      </c>
      <c r="G139" s="2">
        <v>2500</v>
      </c>
      <c r="H139" s="2" t="s">
        <v>33</v>
      </c>
      <c r="I139" s="2" t="s">
        <v>195</v>
      </c>
      <c r="J139" s="111">
        <v>66.39</v>
      </c>
      <c r="K139" s="111">
        <f t="shared" si="2"/>
        <v>1.6597500000000001E-2</v>
      </c>
    </row>
    <row r="140" spans="1:11">
      <c r="A140" s="109">
        <v>139</v>
      </c>
      <c r="B140" s="109" t="s">
        <v>38</v>
      </c>
      <c r="C140" s="109" t="s">
        <v>39</v>
      </c>
      <c r="D140" s="109" t="s">
        <v>721</v>
      </c>
      <c r="E140" s="2" t="s">
        <v>143</v>
      </c>
      <c r="F140" s="2" t="s">
        <v>185</v>
      </c>
      <c r="G140" s="2">
        <v>200</v>
      </c>
      <c r="H140" s="2" t="s">
        <v>33</v>
      </c>
      <c r="I140" s="2" t="s">
        <v>195</v>
      </c>
      <c r="J140" s="111">
        <v>66.39</v>
      </c>
      <c r="K140" s="111">
        <f t="shared" si="2"/>
        <v>1.3278000000000001E-3</v>
      </c>
    </row>
    <row r="141" spans="1:11">
      <c r="A141" s="109">
        <v>140</v>
      </c>
      <c r="B141" s="109" t="s">
        <v>38</v>
      </c>
      <c r="C141" s="109" t="s">
        <v>39</v>
      </c>
      <c r="D141" s="109" t="s">
        <v>897</v>
      </c>
      <c r="E141" s="2" t="s">
        <v>144</v>
      </c>
      <c r="F141" s="2" t="s">
        <v>185</v>
      </c>
      <c r="G141" s="2">
        <v>70</v>
      </c>
      <c r="H141" s="2" t="s">
        <v>33</v>
      </c>
      <c r="I141" s="2" t="s">
        <v>195</v>
      </c>
      <c r="J141" s="111">
        <v>41.51</v>
      </c>
      <c r="K141" s="111">
        <f t="shared" si="2"/>
        <v>2.9056999999999998E-4</v>
      </c>
    </row>
    <row r="142" spans="1:11">
      <c r="A142" s="109">
        <v>141</v>
      </c>
      <c r="B142" s="109" t="s">
        <v>38</v>
      </c>
      <c r="C142" s="109" t="s">
        <v>39</v>
      </c>
      <c r="D142" s="109" t="s">
        <v>716</v>
      </c>
      <c r="E142" s="2" t="s">
        <v>145</v>
      </c>
      <c r="F142" s="2" t="s">
        <v>185</v>
      </c>
      <c r="G142" s="2">
        <v>131</v>
      </c>
      <c r="H142" s="2" t="s">
        <v>33</v>
      </c>
      <c r="I142" s="2" t="s">
        <v>196</v>
      </c>
      <c r="J142" s="111">
        <v>181.13</v>
      </c>
      <c r="K142" s="111">
        <f t="shared" ref="K142:K174" si="3">(J142*G142)/10000000</f>
        <v>2.3728029999999997E-3</v>
      </c>
    </row>
    <row r="143" spans="1:11">
      <c r="A143" s="109">
        <v>142</v>
      </c>
      <c r="B143" s="109" t="s">
        <v>38</v>
      </c>
      <c r="C143" s="109" t="s">
        <v>39</v>
      </c>
      <c r="D143" s="109" t="s">
        <v>897</v>
      </c>
      <c r="E143" s="2" t="s">
        <v>146</v>
      </c>
      <c r="F143" s="2" t="s">
        <v>185</v>
      </c>
      <c r="G143" s="2">
        <v>25</v>
      </c>
      <c r="H143" s="2" t="s">
        <v>33</v>
      </c>
      <c r="I143" s="2" t="s">
        <v>195</v>
      </c>
      <c r="J143" s="111">
        <v>108.6</v>
      </c>
      <c r="K143" s="111">
        <f t="shared" si="3"/>
        <v>2.7149999999999999E-4</v>
      </c>
    </row>
    <row r="144" spans="1:11">
      <c r="A144" s="109">
        <v>143</v>
      </c>
      <c r="B144" s="109" t="s">
        <v>38</v>
      </c>
      <c r="C144" s="109" t="s">
        <v>39</v>
      </c>
      <c r="D144" s="109" t="s">
        <v>897</v>
      </c>
      <c r="E144" s="2" t="s">
        <v>147</v>
      </c>
      <c r="F144" s="2" t="s">
        <v>185</v>
      </c>
      <c r="G144" s="2">
        <v>1000</v>
      </c>
      <c r="H144" s="2" t="s">
        <v>33</v>
      </c>
      <c r="I144" s="2" t="s">
        <v>195</v>
      </c>
      <c r="J144" s="111">
        <v>108.6</v>
      </c>
      <c r="K144" s="111">
        <f t="shared" si="3"/>
        <v>1.086E-2</v>
      </c>
    </row>
    <row r="145" spans="1:11">
      <c r="A145" s="109">
        <v>144</v>
      </c>
      <c r="B145" s="109" t="s">
        <v>38</v>
      </c>
      <c r="C145" s="109" t="s">
        <v>39</v>
      </c>
      <c r="D145" s="109" t="s">
        <v>721</v>
      </c>
      <c r="E145" s="2" t="s">
        <v>148</v>
      </c>
      <c r="F145" s="2" t="s">
        <v>186</v>
      </c>
      <c r="G145" s="2">
        <v>710</v>
      </c>
      <c r="H145" s="2" t="s">
        <v>33</v>
      </c>
      <c r="I145" s="2" t="s">
        <v>197</v>
      </c>
      <c r="J145" s="111">
        <v>40</v>
      </c>
      <c r="K145" s="111">
        <f t="shared" si="3"/>
        <v>2.8400000000000001E-3</v>
      </c>
    </row>
    <row r="146" spans="1:11">
      <c r="A146" s="109">
        <v>145</v>
      </c>
      <c r="B146" s="109" t="s">
        <v>38</v>
      </c>
      <c r="C146" s="109" t="s">
        <v>39</v>
      </c>
      <c r="D146" s="109" t="s">
        <v>716</v>
      </c>
      <c r="E146" s="2" t="s">
        <v>149</v>
      </c>
      <c r="F146" s="2" t="s">
        <v>186</v>
      </c>
      <c r="G146" s="2">
        <v>2</v>
      </c>
      <c r="H146" s="2" t="s">
        <v>33</v>
      </c>
      <c r="I146" s="2" t="s">
        <v>197</v>
      </c>
      <c r="J146" s="111">
        <v>88</v>
      </c>
      <c r="K146" s="111">
        <f t="shared" si="3"/>
        <v>1.7600000000000001E-5</v>
      </c>
    </row>
    <row r="147" spans="1:11">
      <c r="A147" s="109">
        <v>146</v>
      </c>
      <c r="B147" s="109" t="s">
        <v>38</v>
      </c>
      <c r="C147" s="109" t="s">
        <v>39</v>
      </c>
      <c r="D147" s="109" t="s">
        <v>721</v>
      </c>
      <c r="E147" s="2" t="s">
        <v>150</v>
      </c>
      <c r="F147" s="2" t="s">
        <v>186</v>
      </c>
      <c r="G147" s="2">
        <v>13</v>
      </c>
      <c r="H147" s="2" t="s">
        <v>33</v>
      </c>
      <c r="I147" s="2" t="s">
        <v>197</v>
      </c>
      <c r="J147" s="111"/>
      <c r="K147" s="111">
        <f t="shared" si="3"/>
        <v>0</v>
      </c>
    </row>
    <row r="148" spans="1:11">
      <c r="A148" s="109">
        <v>147</v>
      </c>
      <c r="B148" s="109" t="s">
        <v>38</v>
      </c>
      <c r="C148" s="109" t="s">
        <v>39</v>
      </c>
      <c r="D148" s="109" t="s">
        <v>721</v>
      </c>
      <c r="E148" s="2" t="s">
        <v>151</v>
      </c>
      <c r="F148" s="2" t="s">
        <v>186</v>
      </c>
      <c r="G148" s="2">
        <v>555</v>
      </c>
      <c r="H148" s="2" t="s">
        <v>33</v>
      </c>
      <c r="I148" s="2" t="s">
        <v>197</v>
      </c>
      <c r="J148" s="111"/>
      <c r="K148" s="111">
        <f t="shared" si="3"/>
        <v>0</v>
      </c>
    </row>
    <row r="149" spans="1:11">
      <c r="A149" s="109">
        <v>148</v>
      </c>
      <c r="B149" s="109" t="s">
        <v>38</v>
      </c>
      <c r="C149" s="109" t="s">
        <v>39</v>
      </c>
      <c r="D149" s="109" t="s">
        <v>721</v>
      </c>
      <c r="E149" s="2" t="s">
        <v>152</v>
      </c>
      <c r="F149" s="2" t="s">
        <v>186</v>
      </c>
      <c r="G149" s="2">
        <v>2570</v>
      </c>
      <c r="H149" s="2" t="s">
        <v>33</v>
      </c>
      <c r="I149" s="2" t="s">
        <v>197</v>
      </c>
      <c r="J149" s="111"/>
      <c r="K149" s="111">
        <f t="shared" si="3"/>
        <v>0</v>
      </c>
    </row>
    <row r="150" spans="1:11">
      <c r="A150" s="109">
        <v>149</v>
      </c>
      <c r="B150" s="109" t="s">
        <v>38</v>
      </c>
      <c r="C150" s="109" t="s">
        <v>39</v>
      </c>
      <c r="D150" s="109" t="s">
        <v>721</v>
      </c>
      <c r="E150" s="2" t="s">
        <v>153</v>
      </c>
      <c r="F150" s="2" t="s">
        <v>186</v>
      </c>
      <c r="G150" s="2">
        <v>445</v>
      </c>
      <c r="H150" s="2" t="s">
        <v>33</v>
      </c>
      <c r="I150" s="2" t="s">
        <v>197</v>
      </c>
      <c r="J150" s="111"/>
      <c r="K150" s="111">
        <f t="shared" si="3"/>
        <v>0</v>
      </c>
    </row>
    <row r="151" spans="1:11">
      <c r="A151" s="109">
        <v>150</v>
      </c>
      <c r="B151" s="109" t="s">
        <v>38</v>
      </c>
      <c r="C151" s="109" t="s">
        <v>39</v>
      </c>
      <c r="D151" s="109" t="s">
        <v>897</v>
      </c>
      <c r="E151" s="2" t="s">
        <v>154</v>
      </c>
      <c r="F151" s="2" t="s">
        <v>186</v>
      </c>
      <c r="G151" s="2">
        <v>1140</v>
      </c>
      <c r="H151" s="2" t="s">
        <v>33</v>
      </c>
      <c r="I151" s="2" t="s">
        <v>197</v>
      </c>
      <c r="J151" s="111"/>
      <c r="K151" s="111">
        <f t="shared" si="3"/>
        <v>0</v>
      </c>
    </row>
    <row r="152" spans="1:11">
      <c r="A152" s="109">
        <v>151</v>
      </c>
      <c r="B152" s="109" t="s">
        <v>38</v>
      </c>
      <c r="C152" s="109" t="s">
        <v>39</v>
      </c>
      <c r="D152" s="109" t="s">
        <v>897</v>
      </c>
      <c r="E152" s="2" t="s">
        <v>155</v>
      </c>
      <c r="F152" s="2" t="s">
        <v>186</v>
      </c>
      <c r="G152" s="2">
        <v>160</v>
      </c>
      <c r="H152" s="2" t="s">
        <v>33</v>
      </c>
      <c r="I152" s="2" t="s">
        <v>197</v>
      </c>
      <c r="J152" s="111"/>
      <c r="K152" s="111">
        <f t="shared" si="3"/>
        <v>0</v>
      </c>
    </row>
    <row r="153" spans="1:11">
      <c r="A153" s="109">
        <v>152</v>
      </c>
      <c r="B153" s="109" t="s">
        <v>38</v>
      </c>
      <c r="C153" s="109" t="s">
        <v>39</v>
      </c>
      <c r="D153" s="109" t="s">
        <v>897</v>
      </c>
      <c r="E153" s="2" t="s">
        <v>156</v>
      </c>
      <c r="F153" s="2" t="s">
        <v>186</v>
      </c>
      <c r="G153" s="2">
        <v>8</v>
      </c>
      <c r="H153" s="2" t="s">
        <v>33</v>
      </c>
      <c r="I153" s="2" t="s">
        <v>197</v>
      </c>
      <c r="J153" s="111"/>
      <c r="K153" s="111">
        <f t="shared" si="3"/>
        <v>0</v>
      </c>
    </row>
    <row r="154" spans="1:11">
      <c r="A154" s="109">
        <v>153</v>
      </c>
      <c r="B154" s="109" t="s">
        <v>38</v>
      </c>
      <c r="C154" s="109" t="s">
        <v>39</v>
      </c>
      <c r="D154" s="109" t="s">
        <v>978</v>
      </c>
      <c r="E154" s="2" t="s">
        <v>157</v>
      </c>
      <c r="F154" s="2" t="s">
        <v>186</v>
      </c>
      <c r="G154" s="2">
        <v>1640</v>
      </c>
      <c r="H154" s="2" t="s">
        <v>33</v>
      </c>
      <c r="I154" s="2" t="s">
        <v>197</v>
      </c>
      <c r="J154" s="111"/>
      <c r="K154" s="111">
        <f t="shared" si="3"/>
        <v>0</v>
      </c>
    </row>
    <row r="155" spans="1:11">
      <c r="A155" s="109">
        <v>154</v>
      </c>
      <c r="B155" s="109" t="s">
        <v>38</v>
      </c>
      <c r="C155" s="109" t="s">
        <v>39</v>
      </c>
      <c r="D155" s="109" t="s">
        <v>978</v>
      </c>
      <c r="E155" s="2" t="s">
        <v>158</v>
      </c>
      <c r="F155" s="2" t="s">
        <v>186</v>
      </c>
      <c r="G155" s="2">
        <v>720</v>
      </c>
      <c r="H155" s="2" t="s">
        <v>33</v>
      </c>
      <c r="I155" s="2" t="s">
        <v>197</v>
      </c>
      <c r="J155" s="111"/>
      <c r="K155" s="111">
        <f t="shared" si="3"/>
        <v>0</v>
      </c>
    </row>
    <row r="156" spans="1:11">
      <c r="A156" s="109">
        <v>155</v>
      </c>
      <c r="B156" s="109" t="s">
        <v>38</v>
      </c>
      <c r="C156" s="109" t="s">
        <v>39</v>
      </c>
      <c r="D156" s="109" t="s">
        <v>716</v>
      </c>
      <c r="E156" s="2" t="s">
        <v>159</v>
      </c>
      <c r="F156" s="2" t="s">
        <v>186</v>
      </c>
      <c r="G156" s="2">
        <v>255</v>
      </c>
      <c r="H156" s="2" t="s">
        <v>33</v>
      </c>
      <c r="I156" s="2" t="s">
        <v>197</v>
      </c>
      <c r="J156" s="111"/>
      <c r="K156" s="111">
        <f t="shared" si="3"/>
        <v>0</v>
      </c>
    </row>
    <row r="157" spans="1:11">
      <c r="A157" s="109">
        <v>156</v>
      </c>
      <c r="B157" s="109" t="s">
        <v>38</v>
      </c>
      <c r="C157" s="109" t="s">
        <v>39</v>
      </c>
      <c r="D157" s="109" t="s">
        <v>716</v>
      </c>
      <c r="E157" s="2" t="s">
        <v>160</v>
      </c>
      <c r="F157" s="2" t="s">
        <v>186</v>
      </c>
      <c r="G157" s="2">
        <v>245</v>
      </c>
      <c r="H157" s="2" t="s">
        <v>33</v>
      </c>
      <c r="I157" s="2" t="s">
        <v>197</v>
      </c>
      <c r="J157" s="111"/>
      <c r="K157" s="111">
        <f t="shared" si="3"/>
        <v>0</v>
      </c>
    </row>
    <row r="158" spans="1:11">
      <c r="A158" s="109">
        <v>157</v>
      </c>
      <c r="B158" s="109" t="s">
        <v>38</v>
      </c>
      <c r="C158" s="109" t="s">
        <v>39</v>
      </c>
      <c r="D158" s="109" t="s">
        <v>716</v>
      </c>
      <c r="E158" s="2" t="s">
        <v>161</v>
      </c>
      <c r="F158" s="2" t="s">
        <v>186</v>
      </c>
      <c r="G158" s="2">
        <v>302</v>
      </c>
      <c r="H158" s="2" t="s">
        <v>33</v>
      </c>
      <c r="I158" s="2" t="s">
        <v>197</v>
      </c>
      <c r="J158" s="111"/>
      <c r="K158" s="111">
        <f t="shared" si="3"/>
        <v>0</v>
      </c>
    </row>
    <row r="159" spans="1:11">
      <c r="A159" s="109">
        <v>158</v>
      </c>
      <c r="B159" s="109" t="s">
        <v>38</v>
      </c>
      <c r="C159" s="109" t="s">
        <v>39</v>
      </c>
      <c r="D159" s="109" t="s">
        <v>716</v>
      </c>
      <c r="E159" s="2" t="s">
        <v>162</v>
      </c>
      <c r="F159" s="2" t="s">
        <v>186</v>
      </c>
      <c r="G159" s="2">
        <v>190</v>
      </c>
      <c r="H159" s="2" t="s">
        <v>33</v>
      </c>
      <c r="I159" s="2" t="s">
        <v>197</v>
      </c>
      <c r="J159" s="111"/>
      <c r="K159" s="111">
        <f t="shared" si="3"/>
        <v>0</v>
      </c>
    </row>
    <row r="160" spans="1:11">
      <c r="A160" s="109">
        <v>159</v>
      </c>
      <c r="B160" s="109" t="s">
        <v>38</v>
      </c>
      <c r="C160" s="109" t="s">
        <v>39</v>
      </c>
      <c r="D160" s="109" t="s">
        <v>897</v>
      </c>
      <c r="E160" s="2" t="s">
        <v>163</v>
      </c>
      <c r="F160" s="2" t="s">
        <v>186</v>
      </c>
      <c r="G160" s="2">
        <v>31</v>
      </c>
      <c r="H160" s="2" t="s">
        <v>33</v>
      </c>
      <c r="I160" s="2" t="s">
        <v>197</v>
      </c>
      <c r="J160" s="111"/>
      <c r="K160" s="111">
        <f t="shared" si="3"/>
        <v>0</v>
      </c>
    </row>
    <row r="161" spans="1:11">
      <c r="A161" s="109">
        <v>160</v>
      </c>
      <c r="B161" s="109" t="s">
        <v>38</v>
      </c>
      <c r="C161" s="109" t="s">
        <v>39</v>
      </c>
      <c r="D161" s="109" t="s">
        <v>897</v>
      </c>
      <c r="E161" s="2" t="s">
        <v>164</v>
      </c>
      <c r="F161" s="2" t="s">
        <v>186</v>
      </c>
      <c r="G161" s="2">
        <v>620</v>
      </c>
      <c r="H161" s="2" t="s">
        <v>33</v>
      </c>
      <c r="I161" s="2" t="s">
        <v>197</v>
      </c>
      <c r="J161" s="111">
        <v>90</v>
      </c>
      <c r="K161" s="111">
        <f t="shared" si="3"/>
        <v>5.5799999999999999E-3</v>
      </c>
    </row>
    <row r="162" spans="1:11">
      <c r="A162" s="109">
        <v>161</v>
      </c>
      <c r="B162" s="109" t="s">
        <v>38</v>
      </c>
      <c r="C162" s="109" t="s">
        <v>39</v>
      </c>
      <c r="D162" s="109" t="s">
        <v>897</v>
      </c>
      <c r="E162" s="2" t="s">
        <v>165</v>
      </c>
      <c r="F162" s="2" t="s">
        <v>186</v>
      </c>
      <c r="G162" s="2">
        <v>1389</v>
      </c>
      <c r="H162" s="2" t="s">
        <v>33</v>
      </c>
      <c r="I162" s="2" t="s">
        <v>197</v>
      </c>
      <c r="J162" s="111">
        <v>90</v>
      </c>
      <c r="K162" s="111">
        <f t="shared" si="3"/>
        <v>1.2501E-2</v>
      </c>
    </row>
    <row r="163" spans="1:11">
      <c r="A163" s="109">
        <v>162</v>
      </c>
      <c r="B163" s="109" t="s">
        <v>38</v>
      </c>
      <c r="C163" s="109" t="s">
        <v>39</v>
      </c>
      <c r="D163" s="109" t="s">
        <v>897</v>
      </c>
      <c r="E163" s="2" t="s">
        <v>166</v>
      </c>
      <c r="F163" s="2" t="s">
        <v>186</v>
      </c>
      <c r="G163" s="2">
        <v>135</v>
      </c>
      <c r="H163" s="2" t="s">
        <v>33</v>
      </c>
      <c r="I163" s="2" t="s">
        <v>197</v>
      </c>
      <c r="J163" s="111">
        <v>120</v>
      </c>
      <c r="K163" s="111">
        <f t="shared" si="3"/>
        <v>1.6199999999999999E-3</v>
      </c>
    </row>
    <row r="164" spans="1:11">
      <c r="A164" s="109">
        <v>163</v>
      </c>
      <c r="B164" s="109" t="s">
        <v>38</v>
      </c>
      <c r="C164" s="109" t="s">
        <v>39</v>
      </c>
      <c r="D164" s="109" t="s">
        <v>897</v>
      </c>
      <c r="E164" s="2" t="s">
        <v>167</v>
      </c>
      <c r="F164" s="2" t="s">
        <v>186</v>
      </c>
      <c r="G164" s="2">
        <v>159</v>
      </c>
      <c r="H164" s="2" t="s">
        <v>33</v>
      </c>
      <c r="I164" s="2" t="s">
        <v>197</v>
      </c>
      <c r="J164" s="111">
        <v>120</v>
      </c>
      <c r="K164" s="111">
        <f t="shared" si="3"/>
        <v>1.908E-3</v>
      </c>
    </row>
    <row r="165" spans="1:11">
      <c r="A165" s="109">
        <v>164</v>
      </c>
      <c r="B165" s="109" t="s">
        <v>38</v>
      </c>
      <c r="C165" s="109" t="s">
        <v>39</v>
      </c>
      <c r="D165" s="109" t="s">
        <v>897</v>
      </c>
      <c r="E165" s="2" t="s">
        <v>168</v>
      </c>
      <c r="F165" s="2" t="s">
        <v>186</v>
      </c>
      <c r="G165" s="2">
        <v>145</v>
      </c>
      <c r="H165" s="2" t="s">
        <v>33</v>
      </c>
      <c r="I165" s="2" t="s">
        <v>197</v>
      </c>
      <c r="J165" s="111">
        <v>160</v>
      </c>
      <c r="K165" s="111">
        <f t="shared" si="3"/>
        <v>2.32E-3</v>
      </c>
    </row>
    <row r="166" spans="1:11">
      <c r="A166" s="109">
        <v>165</v>
      </c>
      <c r="B166" s="109" t="s">
        <v>38</v>
      </c>
      <c r="C166" s="109" t="s">
        <v>39</v>
      </c>
      <c r="D166" s="109" t="s">
        <v>897</v>
      </c>
      <c r="E166" s="2" t="s">
        <v>169</v>
      </c>
      <c r="F166" s="2" t="s">
        <v>186</v>
      </c>
      <c r="G166" s="2">
        <v>25</v>
      </c>
      <c r="H166" s="2" t="s">
        <v>33</v>
      </c>
      <c r="I166" s="2" t="s">
        <v>197</v>
      </c>
      <c r="J166" s="111">
        <v>190</v>
      </c>
      <c r="K166" s="111">
        <f t="shared" si="3"/>
        <v>4.75E-4</v>
      </c>
    </row>
    <row r="167" spans="1:11">
      <c r="A167" s="109">
        <v>166</v>
      </c>
      <c r="B167" s="109" t="s">
        <v>38</v>
      </c>
      <c r="C167" s="109" t="s">
        <v>39</v>
      </c>
      <c r="D167" s="109" t="s">
        <v>897</v>
      </c>
      <c r="E167" s="2" t="s">
        <v>170</v>
      </c>
      <c r="F167" s="2" t="s">
        <v>187</v>
      </c>
      <c r="G167" s="2">
        <v>215</v>
      </c>
      <c r="H167" s="2" t="s">
        <v>33</v>
      </c>
      <c r="I167" s="2" t="s">
        <v>196</v>
      </c>
      <c r="J167" s="111">
        <v>328.53</v>
      </c>
      <c r="K167" s="111">
        <f>(J167*G167)/10000000</f>
        <v>7.0633950000000001E-3</v>
      </c>
    </row>
    <row r="168" spans="1:11">
      <c r="A168" s="109">
        <v>167</v>
      </c>
      <c r="B168" s="109" t="s">
        <v>38</v>
      </c>
      <c r="C168" s="109" t="s">
        <v>39</v>
      </c>
      <c r="D168" s="109" t="s">
        <v>721</v>
      </c>
      <c r="E168" s="2" t="s">
        <v>171</v>
      </c>
      <c r="F168" s="2" t="s">
        <v>187</v>
      </c>
      <c r="G168" s="2">
        <v>11</v>
      </c>
      <c r="H168" s="2" t="s">
        <v>33</v>
      </c>
      <c r="I168" s="2" t="s">
        <v>196</v>
      </c>
      <c r="J168" s="111">
        <v>461.38</v>
      </c>
      <c r="K168" s="111">
        <f t="shared" si="3"/>
        <v>5.0751799999999999E-4</v>
      </c>
    </row>
    <row r="169" spans="1:11">
      <c r="A169" s="109">
        <v>168</v>
      </c>
      <c r="B169" s="109" t="s">
        <v>38</v>
      </c>
      <c r="C169" s="109" t="s">
        <v>39</v>
      </c>
      <c r="D169" s="109" t="s">
        <v>721</v>
      </c>
      <c r="E169" s="2" t="s">
        <v>172</v>
      </c>
      <c r="F169" s="2" t="s">
        <v>187</v>
      </c>
      <c r="G169" s="2">
        <v>7</v>
      </c>
      <c r="H169" s="2" t="s">
        <v>33</v>
      </c>
      <c r="I169" s="2" t="s">
        <v>196</v>
      </c>
      <c r="J169" s="111">
        <v>461.38</v>
      </c>
      <c r="K169" s="111">
        <f t="shared" si="3"/>
        <v>3.22966E-4</v>
      </c>
    </row>
    <row r="170" spans="1:11">
      <c r="A170" s="109">
        <v>169</v>
      </c>
      <c r="B170" s="109" t="s">
        <v>38</v>
      </c>
      <c r="C170" s="109" t="s">
        <v>39</v>
      </c>
      <c r="D170" s="109" t="s">
        <v>897</v>
      </c>
      <c r="E170" s="2" t="s">
        <v>173</v>
      </c>
      <c r="F170" s="2" t="s">
        <v>187</v>
      </c>
      <c r="G170" s="2">
        <v>45</v>
      </c>
      <c r="H170" s="2" t="s">
        <v>33</v>
      </c>
      <c r="I170" s="2" t="s">
        <v>196</v>
      </c>
      <c r="J170" s="111">
        <v>461.38</v>
      </c>
      <c r="K170" s="111">
        <f t="shared" si="3"/>
        <v>2.0762099999999998E-3</v>
      </c>
    </row>
    <row r="171" spans="1:11">
      <c r="A171" s="109">
        <v>170</v>
      </c>
      <c r="B171" s="109" t="s">
        <v>38</v>
      </c>
      <c r="C171" s="109" t="s">
        <v>39</v>
      </c>
      <c r="D171" s="109" t="s">
        <v>978</v>
      </c>
      <c r="E171" s="2" t="s">
        <v>174</v>
      </c>
      <c r="F171" s="2" t="s">
        <v>187</v>
      </c>
      <c r="G171" s="2">
        <v>1098</v>
      </c>
      <c r="H171" s="2" t="s">
        <v>33</v>
      </c>
      <c r="I171" s="2" t="s">
        <v>196</v>
      </c>
      <c r="J171" s="111">
        <v>461.38</v>
      </c>
      <c r="K171" s="111">
        <f t="shared" si="3"/>
        <v>5.0659523999999997E-2</v>
      </c>
    </row>
    <row r="172" spans="1:11">
      <c r="A172" s="109">
        <v>171</v>
      </c>
      <c r="B172" s="109" t="s">
        <v>38</v>
      </c>
      <c r="C172" s="109" t="s">
        <v>39</v>
      </c>
      <c r="D172" s="109" t="s">
        <v>978</v>
      </c>
      <c r="E172" s="2" t="s">
        <v>175</v>
      </c>
      <c r="F172" s="2" t="s">
        <v>187</v>
      </c>
      <c r="G172" s="2">
        <v>1534</v>
      </c>
      <c r="H172" s="2" t="s">
        <v>33</v>
      </c>
      <c r="I172" s="2" t="s">
        <v>196</v>
      </c>
      <c r="J172" s="111">
        <v>461.38</v>
      </c>
      <c r="K172" s="111">
        <f t="shared" si="3"/>
        <v>7.0775692000000001E-2</v>
      </c>
    </row>
    <row r="173" spans="1:11">
      <c r="A173" s="109">
        <v>172</v>
      </c>
      <c r="B173" s="109" t="s">
        <v>38</v>
      </c>
      <c r="C173" s="109" t="s">
        <v>39</v>
      </c>
      <c r="D173" s="109" t="s">
        <v>978</v>
      </c>
      <c r="E173" s="2" t="s">
        <v>176</v>
      </c>
      <c r="F173" s="2" t="s">
        <v>187</v>
      </c>
      <c r="G173" s="2">
        <v>69</v>
      </c>
      <c r="H173" s="2" t="s">
        <v>33</v>
      </c>
      <c r="I173" s="2" t="s">
        <v>198</v>
      </c>
      <c r="J173" s="111">
        <v>461.38</v>
      </c>
      <c r="K173" s="111">
        <f t="shared" si="3"/>
        <v>3.1835220000000003E-3</v>
      </c>
    </row>
    <row r="174" spans="1:11">
      <c r="A174" s="109">
        <v>173</v>
      </c>
      <c r="B174" s="109" t="s">
        <v>38</v>
      </c>
      <c r="C174" s="109" t="s">
        <v>39</v>
      </c>
      <c r="D174" s="109" t="s">
        <v>721</v>
      </c>
      <c r="E174" s="2" t="s">
        <v>177</v>
      </c>
      <c r="F174" s="2" t="s">
        <v>187</v>
      </c>
      <c r="G174" s="2">
        <v>558</v>
      </c>
      <c r="H174" s="2" t="s">
        <v>33</v>
      </c>
      <c r="I174" s="2" t="s">
        <v>196</v>
      </c>
      <c r="J174" s="111">
        <v>243.46</v>
      </c>
      <c r="K174" s="111">
        <f t="shared" si="3"/>
        <v>1.3585067999999999E-2</v>
      </c>
    </row>
    <row r="175" spans="1:11">
      <c r="A175" s="109">
        <v>174</v>
      </c>
      <c r="B175" s="109" t="s">
        <v>38</v>
      </c>
      <c r="C175" s="109" t="s">
        <v>39</v>
      </c>
      <c r="D175" s="109" t="s">
        <v>716</v>
      </c>
      <c r="E175" s="2" t="s">
        <v>178</v>
      </c>
      <c r="F175" s="2" t="s">
        <v>187</v>
      </c>
      <c r="G175" s="2">
        <v>264</v>
      </c>
      <c r="H175" s="2" t="s">
        <v>33</v>
      </c>
      <c r="I175" s="2" t="s">
        <v>196</v>
      </c>
      <c r="J175" s="111">
        <v>243.46</v>
      </c>
      <c r="K175" s="111">
        <f>(J175*G175)/10000000</f>
        <v>6.4273440000000006E-3</v>
      </c>
    </row>
    <row r="176" spans="1:11">
      <c r="A176" s="109">
        <v>175</v>
      </c>
      <c r="B176" s="109" t="s">
        <v>210</v>
      </c>
      <c r="C176" s="109" t="s">
        <v>211</v>
      </c>
      <c r="D176" s="109" t="s">
        <v>862</v>
      </c>
      <c r="E176" s="109" t="s">
        <v>199</v>
      </c>
      <c r="F176" s="109" t="s">
        <v>205</v>
      </c>
      <c r="G176" s="109">
        <v>1</v>
      </c>
      <c r="H176" s="109" t="s">
        <v>33</v>
      </c>
      <c r="I176" s="109" t="s">
        <v>206</v>
      </c>
      <c r="J176" s="109">
        <v>83838</v>
      </c>
      <c r="K176" s="109">
        <v>8.3838000000000003E-3</v>
      </c>
    </row>
    <row r="177" spans="1:11">
      <c r="A177" s="109">
        <v>176</v>
      </c>
      <c r="B177" s="109" t="s">
        <v>210</v>
      </c>
      <c r="C177" s="109" t="s">
        <v>211</v>
      </c>
      <c r="D177" s="109" t="s">
        <v>862</v>
      </c>
      <c r="E177" s="109" t="s">
        <v>200</v>
      </c>
      <c r="F177" s="109" t="s">
        <v>205</v>
      </c>
      <c r="G177" s="109">
        <v>1</v>
      </c>
      <c r="H177" s="109" t="s">
        <v>33</v>
      </c>
      <c r="I177" s="109" t="s">
        <v>206</v>
      </c>
      <c r="J177" s="109">
        <v>44687</v>
      </c>
      <c r="K177" s="109">
        <v>4.4686999999999999E-3</v>
      </c>
    </row>
    <row r="178" spans="1:11">
      <c r="A178" s="109">
        <v>177</v>
      </c>
      <c r="B178" s="109" t="s">
        <v>210</v>
      </c>
      <c r="C178" s="109" t="s">
        <v>211</v>
      </c>
      <c r="D178" s="109" t="s">
        <v>897</v>
      </c>
      <c r="E178" s="109" t="s">
        <v>201</v>
      </c>
      <c r="F178" s="109" t="s">
        <v>207</v>
      </c>
      <c r="G178" s="109">
        <v>1</v>
      </c>
      <c r="H178" s="109" t="s">
        <v>33</v>
      </c>
      <c r="I178" s="109" t="s">
        <v>208</v>
      </c>
      <c r="J178" s="109">
        <v>5750</v>
      </c>
      <c r="K178" s="109">
        <v>5.7499999999999999E-4</v>
      </c>
    </row>
    <row r="179" spans="1:11">
      <c r="A179" s="109">
        <v>178</v>
      </c>
      <c r="B179" s="109" t="s">
        <v>210</v>
      </c>
      <c r="C179" s="109" t="s">
        <v>211</v>
      </c>
      <c r="D179" s="109" t="s">
        <v>897</v>
      </c>
      <c r="E179" s="109" t="s">
        <v>202</v>
      </c>
      <c r="F179" s="109" t="s">
        <v>207</v>
      </c>
      <c r="G179" s="109">
        <v>1</v>
      </c>
      <c r="H179" s="109" t="s">
        <v>33</v>
      </c>
      <c r="I179" s="109" t="s">
        <v>208</v>
      </c>
      <c r="J179" s="109">
        <v>4750</v>
      </c>
      <c r="K179" s="109">
        <v>4.75E-4</v>
      </c>
    </row>
    <row r="180" spans="1:11">
      <c r="A180" s="109">
        <v>179</v>
      </c>
      <c r="B180" s="109" t="s">
        <v>210</v>
      </c>
      <c r="C180" s="109" t="s">
        <v>211</v>
      </c>
      <c r="D180" s="109" t="s">
        <v>897</v>
      </c>
      <c r="E180" s="109" t="s">
        <v>203</v>
      </c>
      <c r="F180" s="109" t="s">
        <v>207</v>
      </c>
      <c r="G180" s="109">
        <v>1</v>
      </c>
      <c r="H180" s="109" t="s">
        <v>33</v>
      </c>
      <c r="I180" s="109" t="s">
        <v>209</v>
      </c>
      <c r="J180" s="109">
        <v>18865</v>
      </c>
      <c r="K180" s="109">
        <v>1.8864999999999999E-3</v>
      </c>
    </row>
    <row r="181" spans="1:11">
      <c r="A181" s="109">
        <v>180</v>
      </c>
      <c r="B181" s="109" t="s">
        <v>210</v>
      </c>
      <c r="C181" s="109" t="s">
        <v>211</v>
      </c>
      <c r="D181" s="109" t="s">
        <v>897</v>
      </c>
      <c r="E181" s="109" t="s">
        <v>204</v>
      </c>
      <c r="F181" s="109" t="s">
        <v>207</v>
      </c>
      <c r="G181" s="109">
        <v>1</v>
      </c>
      <c r="H181" s="109" t="s">
        <v>33</v>
      </c>
      <c r="I181" s="109" t="s">
        <v>209</v>
      </c>
      <c r="J181" s="109">
        <v>13051.5</v>
      </c>
      <c r="K181" s="109">
        <v>1.3051499999999999E-3</v>
      </c>
    </row>
    <row r="182" spans="1:11">
      <c r="A182" s="109">
        <v>181</v>
      </c>
      <c r="B182" s="109" t="s">
        <v>253</v>
      </c>
      <c r="C182" s="109" t="s">
        <v>254</v>
      </c>
      <c r="D182" s="109" t="s">
        <v>862</v>
      </c>
      <c r="E182" s="25" t="s">
        <v>212</v>
      </c>
      <c r="F182" s="109" t="s">
        <v>232</v>
      </c>
      <c r="G182" s="109">
        <v>10</v>
      </c>
      <c r="H182" s="109" t="s">
        <v>250</v>
      </c>
      <c r="I182" s="25" t="s">
        <v>244</v>
      </c>
      <c r="J182" s="112">
        <v>23800</v>
      </c>
      <c r="K182" s="112">
        <f t="shared" ref="K182:K201" si="4">(J182*G182)/10000000</f>
        <v>2.3800000000000002E-2</v>
      </c>
    </row>
    <row r="183" spans="1:11">
      <c r="A183" s="109">
        <v>182</v>
      </c>
      <c r="B183" s="109" t="s">
        <v>253</v>
      </c>
      <c r="C183" s="109" t="s">
        <v>254</v>
      </c>
      <c r="D183" s="109" t="s">
        <v>862</v>
      </c>
      <c r="E183" s="25" t="s">
        <v>213</v>
      </c>
      <c r="F183" s="109" t="s">
        <v>233</v>
      </c>
      <c r="G183" s="109">
        <v>2</v>
      </c>
      <c r="H183" s="109" t="s">
        <v>250</v>
      </c>
      <c r="I183" s="25" t="s">
        <v>245</v>
      </c>
      <c r="J183" s="112">
        <v>1398</v>
      </c>
      <c r="K183" s="112">
        <f t="shared" si="4"/>
        <v>2.7960000000000002E-4</v>
      </c>
    </row>
    <row r="184" spans="1:11">
      <c r="A184" s="109">
        <v>183</v>
      </c>
      <c r="B184" s="109" t="s">
        <v>253</v>
      </c>
      <c r="C184" s="109" t="s">
        <v>254</v>
      </c>
      <c r="D184" s="109" t="s">
        <v>862</v>
      </c>
      <c r="E184" s="25" t="s">
        <v>214</v>
      </c>
      <c r="F184" s="109" t="s">
        <v>234</v>
      </c>
      <c r="G184" s="109">
        <v>12</v>
      </c>
      <c r="H184" s="109" t="s">
        <v>250</v>
      </c>
      <c r="I184" s="109" t="s">
        <v>246</v>
      </c>
      <c r="J184" s="112">
        <v>3889</v>
      </c>
      <c r="K184" s="112">
        <f t="shared" si="4"/>
        <v>4.6667999999999996E-3</v>
      </c>
    </row>
    <row r="185" spans="1:11">
      <c r="A185" s="109">
        <v>184</v>
      </c>
      <c r="B185" s="109" t="s">
        <v>253</v>
      </c>
      <c r="C185" s="109" t="s">
        <v>254</v>
      </c>
      <c r="D185" s="109" t="s">
        <v>862</v>
      </c>
      <c r="E185" s="25" t="s">
        <v>215</v>
      </c>
      <c r="F185" s="109" t="s">
        <v>235</v>
      </c>
      <c r="G185" s="109">
        <v>6</v>
      </c>
      <c r="H185" s="109" t="s">
        <v>250</v>
      </c>
      <c r="I185" s="109" t="s">
        <v>246</v>
      </c>
      <c r="J185" s="112">
        <v>3344</v>
      </c>
      <c r="K185" s="112">
        <f t="shared" si="4"/>
        <v>2.0064000000000002E-3</v>
      </c>
    </row>
    <row r="186" spans="1:11">
      <c r="A186" s="109">
        <v>185</v>
      </c>
      <c r="B186" s="109" t="s">
        <v>253</v>
      </c>
      <c r="C186" s="109" t="s">
        <v>254</v>
      </c>
      <c r="D186" s="109" t="s">
        <v>862</v>
      </c>
      <c r="E186" s="25" t="s">
        <v>216</v>
      </c>
      <c r="F186" s="109" t="s">
        <v>236</v>
      </c>
      <c r="G186" s="109">
        <v>6</v>
      </c>
      <c r="H186" s="109" t="s">
        <v>250</v>
      </c>
      <c r="I186" s="109" t="s">
        <v>246</v>
      </c>
      <c r="J186" s="112">
        <v>2446</v>
      </c>
      <c r="K186" s="112">
        <f t="shared" si="4"/>
        <v>1.4675999999999999E-3</v>
      </c>
    </row>
    <row r="187" spans="1:11">
      <c r="A187" s="109">
        <v>186</v>
      </c>
      <c r="B187" s="109" t="s">
        <v>253</v>
      </c>
      <c r="C187" s="109" t="s">
        <v>254</v>
      </c>
      <c r="D187" s="109" t="s">
        <v>862</v>
      </c>
      <c r="E187" s="25" t="s">
        <v>217</v>
      </c>
      <c r="F187" s="109" t="s">
        <v>237</v>
      </c>
      <c r="G187" s="109">
        <v>3</v>
      </c>
      <c r="H187" s="109" t="s">
        <v>250</v>
      </c>
      <c r="I187" s="109" t="s">
        <v>246</v>
      </c>
      <c r="J187" s="54">
        <v>13052</v>
      </c>
      <c r="K187" s="112">
        <f t="shared" si="4"/>
        <v>3.9156E-3</v>
      </c>
    </row>
    <row r="188" spans="1:11">
      <c r="A188" s="109">
        <v>187</v>
      </c>
      <c r="B188" s="109" t="s">
        <v>253</v>
      </c>
      <c r="C188" s="109" t="s">
        <v>254</v>
      </c>
      <c r="D188" s="109" t="s">
        <v>862</v>
      </c>
      <c r="E188" s="25" t="s">
        <v>218</v>
      </c>
      <c r="F188" s="109" t="s">
        <v>238</v>
      </c>
      <c r="G188" s="109">
        <v>2</v>
      </c>
      <c r="H188" s="109" t="s">
        <v>250</v>
      </c>
      <c r="I188" s="109" t="s">
        <v>246</v>
      </c>
      <c r="J188" s="112">
        <v>6311</v>
      </c>
      <c r="K188" s="112">
        <f t="shared" si="4"/>
        <v>1.2622E-3</v>
      </c>
    </row>
    <row r="189" spans="1:11">
      <c r="A189" s="109">
        <v>188</v>
      </c>
      <c r="B189" s="109" t="s">
        <v>253</v>
      </c>
      <c r="C189" s="109" t="s">
        <v>254</v>
      </c>
      <c r="D189" s="109" t="s">
        <v>862</v>
      </c>
      <c r="E189" s="25" t="s">
        <v>219</v>
      </c>
      <c r="F189" s="109" t="s">
        <v>239</v>
      </c>
      <c r="G189" s="109">
        <v>3</v>
      </c>
      <c r="H189" s="109" t="s">
        <v>250</v>
      </c>
      <c r="I189" s="109" t="s">
        <v>246</v>
      </c>
      <c r="J189" s="112">
        <v>5731</v>
      </c>
      <c r="K189" s="112">
        <f t="shared" si="4"/>
        <v>1.7193E-3</v>
      </c>
    </row>
    <row r="190" spans="1:11">
      <c r="A190" s="109">
        <v>189</v>
      </c>
      <c r="B190" s="109" t="s">
        <v>253</v>
      </c>
      <c r="C190" s="109" t="s">
        <v>254</v>
      </c>
      <c r="D190" s="109" t="s">
        <v>862</v>
      </c>
      <c r="E190" s="25" t="s">
        <v>220</v>
      </c>
      <c r="F190" s="109" t="s">
        <v>235</v>
      </c>
      <c r="G190" s="109">
        <v>2</v>
      </c>
      <c r="H190" s="109" t="s">
        <v>250</v>
      </c>
      <c r="I190" s="109" t="s">
        <v>246</v>
      </c>
      <c r="J190" s="112">
        <v>9419</v>
      </c>
      <c r="K190" s="112">
        <f t="shared" si="4"/>
        <v>1.8837999999999999E-3</v>
      </c>
    </row>
    <row r="191" spans="1:11">
      <c r="A191" s="109">
        <v>190</v>
      </c>
      <c r="B191" s="109" t="s">
        <v>253</v>
      </c>
      <c r="C191" s="109" t="s">
        <v>254</v>
      </c>
      <c r="D191" s="109" t="s">
        <v>862</v>
      </c>
      <c r="E191" s="25" t="s">
        <v>221</v>
      </c>
      <c r="F191" s="109" t="s">
        <v>240</v>
      </c>
      <c r="G191" s="109">
        <v>10</v>
      </c>
      <c r="H191" s="109" t="s">
        <v>250</v>
      </c>
      <c r="I191" s="109" t="s">
        <v>246</v>
      </c>
      <c r="J191" s="112">
        <v>6538</v>
      </c>
      <c r="K191" s="112">
        <f t="shared" si="4"/>
        <v>6.5380000000000004E-3</v>
      </c>
    </row>
    <row r="192" spans="1:11">
      <c r="A192" s="109">
        <v>191</v>
      </c>
      <c r="B192" s="109" t="s">
        <v>253</v>
      </c>
      <c r="C192" s="109" t="s">
        <v>254</v>
      </c>
      <c r="D192" s="109" t="s">
        <v>862</v>
      </c>
      <c r="E192" s="25" t="s">
        <v>222</v>
      </c>
      <c r="F192" s="109" t="s">
        <v>236</v>
      </c>
      <c r="G192" s="109">
        <v>2</v>
      </c>
      <c r="H192" s="109" t="s">
        <v>250</v>
      </c>
      <c r="I192" s="109" t="s">
        <v>246</v>
      </c>
      <c r="J192" s="112">
        <v>5253</v>
      </c>
      <c r="K192" s="112">
        <f t="shared" si="4"/>
        <v>1.0506000000000001E-3</v>
      </c>
    </row>
    <row r="193" spans="1:11">
      <c r="A193" s="109">
        <v>192</v>
      </c>
      <c r="B193" s="109" t="s">
        <v>253</v>
      </c>
      <c r="C193" s="109" t="s">
        <v>254</v>
      </c>
      <c r="D193" s="109" t="s">
        <v>862</v>
      </c>
      <c r="E193" s="25" t="s">
        <v>223</v>
      </c>
      <c r="F193" s="109" t="s">
        <v>241</v>
      </c>
      <c r="G193" s="109">
        <v>1</v>
      </c>
      <c r="H193" s="109" t="s">
        <v>250</v>
      </c>
      <c r="I193" s="109" t="s">
        <v>246</v>
      </c>
      <c r="J193" s="112">
        <v>3225</v>
      </c>
      <c r="K193" s="112">
        <f t="shared" si="4"/>
        <v>3.2249999999999998E-4</v>
      </c>
    </row>
    <row r="194" spans="1:11">
      <c r="A194" s="109">
        <v>193</v>
      </c>
      <c r="B194" s="109" t="s">
        <v>253</v>
      </c>
      <c r="C194" s="109" t="s">
        <v>254</v>
      </c>
      <c r="D194" s="109" t="s">
        <v>897</v>
      </c>
      <c r="E194" s="25" t="s">
        <v>224</v>
      </c>
      <c r="F194" s="109" t="s">
        <v>240</v>
      </c>
      <c r="G194" s="109">
        <v>2</v>
      </c>
      <c r="H194" s="109" t="s">
        <v>250</v>
      </c>
      <c r="I194" s="109" t="s">
        <v>247</v>
      </c>
      <c r="J194" s="112">
        <v>6440</v>
      </c>
      <c r="K194" s="112">
        <f t="shared" si="4"/>
        <v>1.2880000000000001E-3</v>
      </c>
    </row>
    <row r="195" spans="1:11">
      <c r="A195" s="109">
        <v>194</v>
      </c>
      <c r="B195" s="109" t="s">
        <v>253</v>
      </c>
      <c r="C195" s="109" t="s">
        <v>254</v>
      </c>
      <c r="D195" s="109" t="s">
        <v>897</v>
      </c>
      <c r="E195" s="25" t="s">
        <v>225</v>
      </c>
      <c r="F195" s="109" t="s">
        <v>239</v>
      </c>
      <c r="G195" s="109">
        <v>1</v>
      </c>
      <c r="H195" s="109" t="s">
        <v>250</v>
      </c>
      <c r="I195" s="109" t="s">
        <v>247</v>
      </c>
      <c r="J195" s="112">
        <v>4665</v>
      </c>
      <c r="K195" s="112">
        <f t="shared" si="4"/>
        <v>4.6650000000000001E-4</v>
      </c>
    </row>
    <row r="196" spans="1:11">
      <c r="A196" s="109">
        <v>195</v>
      </c>
      <c r="B196" s="109" t="s">
        <v>253</v>
      </c>
      <c r="C196" s="109" t="s">
        <v>254</v>
      </c>
      <c r="D196" s="109" t="s">
        <v>895</v>
      </c>
      <c r="E196" s="25" t="s">
        <v>226</v>
      </c>
      <c r="F196" s="109" t="s">
        <v>242</v>
      </c>
      <c r="G196" s="109">
        <v>15</v>
      </c>
      <c r="H196" s="109" t="s">
        <v>251</v>
      </c>
      <c r="I196" s="109" t="s">
        <v>248</v>
      </c>
      <c r="J196" s="112">
        <v>3721</v>
      </c>
      <c r="K196" s="112">
        <f t="shared" si="4"/>
        <v>5.5814999999999997E-3</v>
      </c>
    </row>
    <row r="197" spans="1:11">
      <c r="A197" s="109">
        <v>196</v>
      </c>
      <c r="B197" s="109" t="s">
        <v>253</v>
      </c>
      <c r="C197" s="109" t="s">
        <v>254</v>
      </c>
      <c r="D197" s="109" t="s">
        <v>895</v>
      </c>
      <c r="E197" s="25" t="s">
        <v>227</v>
      </c>
      <c r="F197" s="109" t="s">
        <v>238</v>
      </c>
      <c r="G197" s="109">
        <v>5</v>
      </c>
      <c r="H197" s="109" t="s">
        <v>251</v>
      </c>
      <c r="I197" s="109" t="s">
        <v>248</v>
      </c>
      <c r="J197" s="112">
        <v>2490</v>
      </c>
      <c r="K197" s="112">
        <f t="shared" si="4"/>
        <v>1.245E-3</v>
      </c>
    </row>
    <row r="198" spans="1:11">
      <c r="A198" s="109">
        <v>197</v>
      </c>
      <c r="B198" s="109" t="s">
        <v>253</v>
      </c>
      <c r="C198" s="109" t="s">
        <v>254</v>
      </c>
      <c r="D198" s="109" t="s">
        <v>895</v>
      </c>
      <c r="E198" s="25" t="s">
        <v>228</v>
      </c>
      <c r="F198" s="109" t="s">
        <v>237</v>
      </c>
      <c r="G198" s="109">
        <v>9</v>
      </c>
      <c r="H198" s="109" t="s">
        <v>251</v>
      </c>
      <c r="I198" s="109" t="s">
        <v>248</v>
      </c>
      <c r="J198" s="112">
        <v>3129</v>
      </c>
      <c r="K198" s="112">
        <f t="shared" si="4"/>
        <v>2.8161000000000002E-3</v>
      </c>
    </row>
    <row r="199" spans="1:11">
      <c r="A199" s="109">
        <v>198</v>
      </c>
      <c r="B199" s="109" t="s">
        <v>253</v>
      </c>
      <c r="C199" s="109" t="s">
        <v>254</v>
      </c>
      <c r="D199" s="109" t="s">
        <v>895</v>
      </c>
      <c r="E199" s="25" t="s">
        <v>229</v>
      </c>
      <c r="F199" s="109" t="s">
        <v>236</v>
      </c>
      <c r="G199" s="109">
        <v>15</v>
      </c>
      <c r="H199" s="109" t="s">
        <v>251</v>
      </c>
      <c r="I199" s="109" t="s">
        <v>248</v>
      </c>
      <c r="J199" s="112">
        <v>389</v>
      </c>
      <c r="K199" s="112">
        <f t="shared" si="4"/>
        <v>5.8350000000000003E-4</v>
      </c>
    </row>
    <row r="200" spans="1:11">
      <c r="A200" s="109">
        <v>199</v>
      </c>
      <c r="B200" s="109" t="s">
        <v>253</v>
      </c>
      <c r="C200" s="109" t="s">
        <v>254</v>
      </c>
      <c r="D200" s="109" t="s">
        <v>895</v>
      </c>
      <c r="E200" s="25" t="s">
        <v>230</v>
      </c>
      <c r="F200" s="109" t="s">
        <v>239</v>
      </c>
      <c r="G200" s="109">
        <v>12</v>
      </c>
      <c r="H200" s="109" t="s">
        <v>251</v>
      </c>
      <c r="I200" s="109" t="s">
        <v>248</v>
      </c>
      <c r="J200" s="112">
        <v>499</v>
      </c>
      <c r="K200" s="112">
        <f t="shared" si="4"/>
        <v>5.9880000000000003E-4</v>
      </c>
    </row>
    <row r="201" spans="1:11">
      <c r="A201" s="109">
        <v>200</v>
      </c>
      <c r="B201" s="109" t="s">
        <v>253</v>
      </c>
      <c r="C201" s="109" t="s">
        <v>254</v>
      </c>
      <c r="D201" s="109" t="s">
        <v>897</v>
      </c>
      <c r="E201" s="25" t="s">
        <v>231</v>
      </c>
      <c r="F201" s="109" t="s">
        <v>243</v>
      </c>
      <c r="G201" s="109">
        <v>75</v>
      </c>
      <c r="H201" s="109" t="s">
        <v>252</v>
      </c>
      <c r="I201" s="25" t="s">
        <v>249</v>
      </c>
      <c r="J201" s="112">
        <v>1068</v>
      </c>
      <c r="K201" s="112">
        <f t="shared" si="4"/>
        <v>8.0099999999999998E-3</v>
      </c>
    </row>
    <row r="202" spans="1:11" ht="29">
      <c r="A202" s="109">
        <v>201</v>
      </c>
      <c r="B202" s="109" t="s">
        <v>322</v>
      </c>
      <c r="C202" s="109" t="s">
        <v>323</v>
      </c>
      <c r="D202" s="109" t="s">
        <v>897</v>
      </c>
      <c r="E202" s="36" t="s">
        <v>255</v>
      </c>
      <c r="F202" s="36" t="s">
        <v>256</v>
      </c>
      <c r="G202" s="36">
        <v>2</v>
      </c>
      <c r="H202" s="36" t="s">
        <v>33</v>
      </c>
      <c r="I202" s="36" t="s">
        <v>257</v>
      </c>
      <c r="J202" s="38">
        <v>4550</v>
      </c>
      <c r="K202" s="112">
        <f t="shared" ref="K202:K244" si="5">(J202*G202)/10000000</f>
        <v>9.1E-4</v>
      </c>
    </row>
    <row r="203" spans="1:11" ht="29">
      <c r="A203" s="109">
        <v>202</v>
      </c>
      <c r="B203" s="109" t="s">
        <v>322</v>
      </c>
      <c r="C203" s="109" t="s">
        <v>323</v>
      </c>
      <c r="D203" s="109" t="s">
        <v>897</v>
      </c>
      <c r="E203" s="36" t="s">
        <v>258</v>
      </c>
      <c r="F203" s="36" t="s">
        <v>259</v>
      </c>
      <c r="G203" s="36">
        <v>1</v>
      </c>
      <c r="H203" s="36" t="s">
        <v>33</v>
      </c>
      <c r="I203" s="36" t="s">
        <v>260</v>
      </c>
      <c r="J203" s="38">
        <v>1600</v>
      </c>
      <c r="K203" s="112">
        <f t="shared" si="5"/>
        <v>1.6000000000000001E-4</v>
      </c>
    </row>
    <row r="204" spans="1:11" ht="29">
      <c r="A204" s="109">
        <v>203</v>
      </c>
      <c r="B204" s="109" t="s">
        <v>322</v>
      </c>
      <c r="C204" s="109" t="s">
        <v>323</v>
      </c>
      <c r="D204" s="109" t="s">
        <v>897</v>
      </c>
      <c r="E204" s="36" t="s">
        <v>261</v>
      </c>
      <c r="F204" s="36" t="s">
        <v>262</v>
      </c>
      <c r="G204" s="36">
        <v>2</v>
      </c>
      <c r="H204" s="36" t="s">
        <v>33</v>
      </c>
      <c r="I204" s="36" t="s">
        <v>263</v>
      </c>
      <c r="J204" s="38">
        <v>1200</v>
      </c>
      <c r="K204" s="112">
        <f t="shared" si="5"/>
        <v>2.4000000000000001E-4</v>
      </c>
    </row>
    <row r="205" spans="1:11" ht="29">
      <c r="A205" s="109">
        <v>204</v>
      </c>
      <c r="B205" s="109" t="s">
        <v>322</v>
      </c>
      <c r="C205" s="109" t="s">
        <v>323</v>
      </c>
      <c r="D205" s="109" t="s">
        <v>897</v>
      </c>
      <c r="E205" s="36" t="s">
        <v>261</v>
      </c>
      <c r="F205" s="36" t="s">
        <v>264</v>
      </c>
      <c r="G205" s="36">
        <v>10</v>
      </c>
      <c r="H205" s="36" t="s">
        <v>33</v>
      </c>
      <c r="I205" s="36" t="s">
        <v>260</v>
      </c>
      <c r="J205" s="38">
        <v>1000</v>
      </c>
      <c r="K205" s="112">
        <f t="shared" si="5"/>
        <v>1E-3</v>
      </c>
    </row>
    <row r="206" spans="1:11">
      <c r="A206" s="109">
        <v>205</v>
      </c>
      <c r="B206" s="109" t="s">
        <v>322</v>
      </c>
      <c r="C206" s="109" t="s">
        <v>323</v>
      </c>
      <c r="D206" s="109" t="s">
        <v>897</v>
      </c>
      <c r="E206" s="36" t="s">
        <v>265</v>
      </c>
      <c r="F206" s="36" t="s">
        <v>266</v>
      </c>
      <c r="G206" s="36">
        <v>14</v>
      </c>
      <c r="H206" s="36" t="s">
        <v>33</v>
      </c>
      <c r="I206" s="36" t="s">
        <v>267</v>
      </c>
      <c r="J206" s="36">
        <v>36.409999999999997</v>
      </c>
      <c r="K206" s="112">
        <f t="shared" si="5"/>
        <v>5.0973999999999997E-5</v>
      </c>
    </row>
    <row r="207" spans="1:11">
      <c r="A207" s="109">
        <v>206</v>
      </c>
      <c r="B207" s="109" t="s">
        <v>322</v>
      </c>
      <c r="C207" s="109" t="s">
        <v>323</v>
      </c>
      <c r="D207" s="109" t="s">
        <v>897</v>
      </c>
      <c r="E207" s="36" t="s">
        <v>265</v>
      </c>
      <c r="F207" s="36" t="s">
        <v>268</v>
      </c>
      <c r="G207" s="36">
        <v>29</v>
      </c>
      <c r="H207" s="36" t="s">
        <v>33</v>
      </c>
      <c r="I207" s="36" t="s">
        <v>267</v>
      </c>
      <c r="J207" s="36">
        <v>74.010000000000005</v>
      </c>
      <c r="K207" s="112">
        <f t="shared" si="5"/>
        <v>2.1462900000000001E-4</v>
      </c>
    </row>
    <row r="208" spans="1:11" ht="29">
      <c r="A208" s="109">
        <v>207</v>
      </c>
      <c r="B208" s="109" t="s">
        <v>322</v>
      </c>
      <c r="C208" s="109" t="s">
        <v>323</v>
      </c>
      <c r="D208" s="109" t="s">
        <v>897</v>
      </c>
      <c r="E208" s="36" t="s">
        <v>265</v>
      </c>
      <c r="F208" s="36" t="s">
        <v>268</v>
      </c>
      <c r="G208" s="36">
        <v>50</v>
      </c>
      <c r="H208" s="36" t="s">
        <v>33</v>
      </c>
      <c r="I208" s="36" t="s">
        <v>269</v>
      </c>
      <c r="J208" s="36">
        <v>74.010000000000005</v>
      </c>
      <c r="K208" s="112">
        <f t="shared" si="5"/>
        <v>3.7005000000000002E-4</v>
      </c>
    </row>
    <row r="209" spans="1:11">
      <c r="A209" s="109">
        <v>208</v>
      </c>
      <c r="B209" s="109" t="s">
        <v>322</v>
      </c>
      <c r="C209" s="109" t="s">
        <v>323</v>
      </c>
      <c r="D209" s="109" t="s">
        <v>897</v>
      </c>
      <c r="E209" s="36" t="s">
        <v>265</v>
      </c>
      <c r="F209" s="36" t="s">
        <v>270</v>
      </c>
      <c r="G209" s="36">
        <v>20</v>
      </c>
      <c r="H209" s="36" t="s">
        <v>33</v>
      </c>
      <c r="I209" s="36" t="s">
        <v>267</v>
      </c>
      <c r="J209" s="36">
        <v>103.21</v>
      </c>
      <c r="K209" s="112">
        <f t="shared" si="5"/>
        <v>2.0641999999999999E-4</v>
      </c>
    </row>
    <row r="210" spans="1:11" ht="29">
      <c r="A210" s="109">
        <v>209</v>
      </c>
      <c r="B210" s="109" t="s">
        <v>322</v>
      </c>
      <c r="C210" s="109" t="s">
        <v>323</v>
      </c>
      <c r="D210" s="109" t="s">
        <v>897</v>
      </c>
      <c r="E210" s="36" t="s">
        <v>265</v>
      </c>
      <c r="F210" s="36" t="s">
        <v>270</v>
      </c>
      <c r="G210" s="36">
        <v>10</v>
      </c>
      <c r="H210" s="36" t="s">
        <v>33</v>
      </c>
      <c r="I210" s="36" t="s">
        <v>269</v>
      </c>
      <c r="J210" s="36">
        <v>103.21</v>
      </c>
      <c r="K210" s="112">
        <f t="shared" si="5"/>
        <v>1.0321E-4</v>
      </c>
    </row>
    <row r="211" spans="1:11" ht="29">
      <c r="A211" s="109">
        <v>210</v>
      </c>
      <c r="B211" s="109" t="s">
        <v>322</v>
      </c>
      <c r="C211" s="109" t="s">
        <v>323</v>
      </c>
      <c r="D211" s="109" t="s">
        <v>897</v>
      </c>
      <c r="E211" s="36" t="s">
        <v>265</v>
      </c>
      <c r="F211" s="36" t="s">
        <v>271</v>
      </c>
      <c r="G211" s="36">
        <v>37</v>
      </c>
      <c r="H211" s="36" t="s">
        <v>33</v>
      </c>
      <c r="I211" s="36" t="s">
        <v>269</v>
      </c>
      <c r="J211" s="36">
        <v>25.2</v>
      </c>
      <c r="K211" s="112">
        <f t="shared" si="5"/>
        <v>9.3239999999999995E-5</v>
      </c>
    </row>
    <row r="212" spans="1:11" ht="29">
      <c r="A212" s="109">
        <v>211</v>
      </c>
      <c r="B212" s="109" t="s">
        <v>322</v>
      </c>
      <c r="C212" s="109" t="s">
        <v>323</v>
      </c>
      <c r="D212" s="109" t="s">
        <v>897</v>
      </c>
      <c r="E212" s="36" t="s">
        <v>272</v>
      </c>
      <c r="F212" s="36" t="s">
        <v>273</v>
      </c>
      <c r="G212" s="36">
        <v>48</v>
      </c>
      <c r="H212" s="36" t="s">
        <v>33</v>
      </c>
      <c r="I212" s="36" t="s">
        <v>269</v>
      </c>
      <c r="J212" s="36">
        <v>40.119999999999997</v>
      </c>
      <c r="K212" s="112">
        <f t="shared" si="5"/>
        <v>1.9257599999999997E-4</v>
      </c>
    </row>
    <row r="213" spans="1:11" ht="29">
      <c r="A213" s="109">
        <v>212</v>
      </c>
      <c r="B213" s="109" t="s">
        <v>322</v>
      </c>
      <c r="C213" s="109" t="s">
        <v>323</v>
      </c>
      <c r="D213" s="109" t="s">
        <v>897</v>
      </c>
      <c r="E213" s="36" t="s">
        <v>272</v>
      </c>
      <c r="F213" s="36" t="s">
        <v>274</v>
      </c>
      <c r="G213" s="36">
        <v>47</v>
      </c>
      <c r="H213" s="36" t="s">
        <v>33</v>
      </c>
      <c r="I213" s="36" t="s">
        <v>269</v>
      </c>
      <c r="J213" s="36">
        <v>40.119999999999997</v>
      </c>
      <c r="K213" s="112">
        <f t="shared" si="5"/>
        <v>1.8856399999999998E-4</v>
      </c>
    </row>
    <row r="214" spans="1:11" ht="29">
      <c r="A214" s="109">
        <v>213</v>
      </c>
      <c r="B214" s="109" t="s">
        <v>322</v>
      </c>
      <c r="C214" s="109" t="s">
        <v>323</v>
      </c>
      <c r="D214" s="109" t="s">
        <v>897</v>
      </c>
      <c r="E214" s="36" t="s">
        <v>272</v>
      </c>
      <c r="F214" s="36" t="s">
        <v>266</v>
      </c>
      <c r="G214" s="36">
        <v>56</v>
      </c>
      <c r="H214" s="36" t="s">
        <v>33</v>
      </c>
      <c r="I214" s="36" t="s">
        <v>269</v>
      </c>
      <c r="J214" s="36">
        <v>40.119999999999997</v>
      </c>
      <c r="K214" s="112">
        <f t="shared" si="5"/>
        <v>2.2467199999999998E-4</v>
      </c>
    </row>
    <row r="215" spans="1:11" ht="29">
      <c r="A215" s="109">
        <v>214</v>
      </c>
      <c r="B215" s="109" t="s">
        <v>322</v>
      </c>
      <c r="C215" s="109" t="s">
        <v>323</v>
      </c>
      <c r="D215" s="109" t="s">
        <v>897</v>
      </c>
      <c r="E215" s="36" t="s">
        <v>272</v>
      </c>
      <c r="F215" s="36" t="s">
        <v>275</v>
      </c>
      <c r="G215" s="36">
        <v>32</v>
      </c>
      <c r="H215" s="36" t="s">
        <v>33</v>
      </c>
      <c r="I215" s="36" t="s">
        <v>269</v>
      </c>
      <c r="J215" s="36">
        <v>53.04</v>
      </c>
      <c r="K215" s="112">
        <f t="shared" si="5"/>
        <v>1.6972799999999999E-4</v>
      </c>
    </row>
    <row r="216" spans="1:11" ht="29">
      <c r="A216" s="109">
        <v>215</v>
      </c>
      <c r="B216" s="109" t="s">
        <v>322</v>
      </c>
      <c r="C216" s="109" t="s">
        <v>323</v>
      </c>
      <c r="D216" s="109" t="s">
        <v>897</v>
      </c>
      <c r="E216" s="36" t="s">
        <v>272</v>
      </c>
      <c r="F216" s="36" t="s">
        <v>276</v>
      </c>
      <c r="G216" s="36">
        <v>56</v>
      </c>
      <c r="H216" s="36" t="s">
        <v>33</v>
      </c>
      <c r="I216" s="36" t="s">
        <v>269</v>
      </c>
      <c r="J216" s="36">
        <v>87.04</v>
      </c>
      <c r="K216" s="112">
        <f t="shared" si="5"/>
        <v>4.8742400000000008E-4</v>
      </c>
    </row>
    <row r="217" spans="1:11" ht="29">
      <c r="A217" s="109">
        <v>216</v>
      </c>
      <c r="B217" s="109" t="s">
        <v>322</v>
      </c>
      <c r="C217" s="109" t="s">
        <v>323</v>
      </c>
      <c r="D217" s="109" t="s">
        <v>897</v>
      </c>
      <c r="E217" s="36" t="s">
        <v>272</v>
      </c>
      <c r="F217" s="36" t="s">
        <v>277</v>
      </c>
      <c r="G217" s="36">
        <v>24</v>
      </c>
      <c r="H217" s="36" t="s">
        <v>33</v>
      </c>
      <c r="I217" s="36" t="s">
        <v>269</v>
      </c>
      <c r="J217" s="36">
        <v>142.12</v>
      </c>
      <c r="K217" s="112">
        <f t="shared" si="5"/>
        <v>3.4108800000000002E-4</v>
      </c>
    </row>
    <row r="218" spans="1:11" ht="29">
      <c r="A218" s="109">
        <v>217</v>
      </c>
      <c r="B218" s="109" t="s">
        <v>322</v>
      </c>
      <c r="C218" s="109" t="s">
        <v>323</v>
      </c>
      <c r="D218" s="109" t="s">
        <v>897</v>
      </c>
      <c r="E218" s="36" t="s">
        <v>278</v>
      </c>
      <c r="F218" s="36" t="s">
        <v>279</v>
      </c>
      <c r="G218" s="36">
        <v>50</v>
      </c>
      <c r="H218" s="36" t="s">
        <v>33</v>
      </c>
      <c r="I218" s="36" t="s">
        <v>269</v>
      </c>
      <c r="J218" s="36">
        <v>22</v>
      </c>
      <c r="K218" s="112">
        <f t="shared" si="5"/>
        <v>1.1E-4</v>
      </c>
    </row>
    <row r="219" spans="1:11" ht="29">
      <c r="A219" s="109">
        <v>218</v>
      </c>
      <c r="B219" s="109" t="s">
        <v>322</v>
      </c>
      <c r="C219" s="109" t="s">
        <v>323</v>
      </c>
      <c r="D219" s="109" t="s">
        <v>897</v>
      </c>
      <c r="E219" s="36" t="s">
        <v>280</v>
      </c>
      <c r="F219" s="36" t="s">
        <v>281</v>
      </c>
      <c r="G219" s="36">
        <v>2</v>
      </c>
      <c r="H219" s="36" t="s">
        <v>33</v>
      </c>
      <c r="I219" s="36" t="s">
        <v>282</v>
      </c>
      <c r="J219" s="36">
        <v>680</v>
      </c>
      <c r="K219" s="112">
        <f t="shared" si="5"/>
        <v>1.36E-4</v>
      </c>
    </row>
    <row r="220" spans="1:11" ht="29">
      <c r="A220" s="109">
        <v>219</v>
      </c>
      <c r="B220" s="109" t="s">
        <v>322</v>
      </c>
      <c r="C220" s="109" t="s">
        <v>323</v>
      </c>
      <c r="D220" s="109" t="s">
        <v>897</v>
      </c>
      <c r="E220" s="36" t="s">
        <v>280</v>
      </c>
      <c r="F220" s="36" t="s">
        <v>283</v>
      </c>
      <c r="G220" s="36">
        <v>3</v>
      </c>
      <c r="H220" s="36" t="s">
        <v>33</v>
      </c>
      <c r="I220" s="36" t="s">
        <v>282</v>
      </c>
      <c r="J220" s="36">
        <v>540</v>
      </c>
      <c r="K220" s="112">
        <f t="shared" si="5"/>
        <v>1.6200000000000001E-4</v>
      </c>
    </row>
    <row r="221" spans="1:11" ht="29">
      <c r="A221" s="109">
        <v>220</v>
      </c>
      <c r="B221" s="109" t="s">
        <v>322</v>
      </c>
      <c r="C221" s="109" t="s">
        <v>323</v>
      </c>
      <c r="D221" s="109" t="s">
        <v>897</v>
      </c>
      <c r="E221" s="36" t="s">
        <v>280</v>
      </c>
      <c r="F221" s="36" t="s">
        <v>284</v>
      </c>
      <c r="G221" s="36">
        <v>9</v>
      </c>
      <c r="H221" s="36" t="s">
        <v>33</v>
      </c>
      <c r="I221" s="36" t="s">
        <v>282</v>
      </c>
      <c r="J221" s="36">
        <v>863</v>
      </c>
      <c r="K221" s="112">
        <f t="shared" si="5"/>
        <v>7.7669999999999996E-4</v>
      </c>
    </row>
    <row r="222" spans="1:11" ht="29">
      <c r="A222" s="109">
        <v>221</v>
      </c>
      <c r="B222" s="109" t="s">
        <v>322</v>
      </c>
      <c r="C222" s="109" t="s">
        <v>323</v>
      </c>
      <c r="D222" s="109" t="s">
        <v>897</v>
      </c>
      <c r="E222" s="36" t="s">
        <v>280</v>
      </c>
      <c r="F222" s="36" t="s">
        <v>285</v>
      </c>
      <c r="G222" s="36">
        <v>1</v>
      </c>
      <c r="H222" s="36" t="s">
        <v>33</v>
      </c>
      <c r="I222" s="36" t="s">
        <v>282</v>
      </c>
      <c r="J222" s="36">
        <v>458.25</v>
      </c>
      <c r="K222" s="112">
        <f t="shared" si="5"/>
        <v>4.5825000000000003E-5</v>
      </c>
    </row>
    <row r="223" spans="1:11" ht="58">
      <c r="A223" s="109">
        <v>222</v>
      </c>
      <c r="B223" s="109" t="s">
        <v>322</v>
      </c>
      <c r="C223" s="109" t="s">
        <v>323</v>
      </c>
      <c r="D223" s="109" t="s">
        <v>897</v>
      </c>
      <c r="E223" s="36" t="s">
        <v>286</v>
      </c>
      <c r="F223" s="36" t="s">
        <v>287</v>
      </c>
      <c r="G223" s="36">
        <v>3</v>
      </c>
      <c r="H223" s="36" t="s">
        <v>33</v>
      </c>
      <c r="I223" s="36" t="s">
        <v>282</v>
      </c>
      <c r="J223" s="38">
        <v>18781.39</v>
      </c>
      <c r="K223" s="112">
        <f t="shared" si="5"/>
        <v>5.6344170000000001E-3</v>
      </c>
    </row>
    <row r="224" spans="1:11">
      <c r="A224" s="109">
        <v>223</v>
      </c>
      <c r="B224" s="109" t="s">
        <v>322</v>
      </c>
      <c r="C224" s="109" t="s">
        <v>323</v>
      </c>
      <c r="D224" s="109" t="s">
        <v>288</v>
      </c>
      <c r="E224" s="36" t="s">
        <v>288</v>
      </c>
      <c r="F224" s="36" t="s">
        <v>289</v>
      </c>
      <c r="G224" s="36">
        <v>81</v>
      </c>
      <c r="H224" s="36" t="s">
        <v>33</v>
      </c>
      <c r="I224" s="36" t="s">
        <v>282</v>
      </c>
      <c r="J224" s="36">
        <v>88</v>
      </c>
      <c r="K224" s="112">
        <f t="shared" si="5"/>
        <v>7.1279999999999998E-4</v>
      </c>
    </row>
    <row r="225" spans="1:11">
      <c r="A225" s="109">
        <v>224</v>
      </c>
      <c r="B225" s="109" t="s">
        <v>322</v>
      </c>
      <c r="C225" s="109" t="s">
        <v>323</v>
      </c>
      <c r="D225" s="109" t="s">
        <v>288</v>
      </c>
      <c r="E225" s="36" t="s">
        <v>288</v>
      </c>
      <c r="F225" s="36" t="s">
        <v>290</v>
      </c>
      <c r="G225" s="36">
        <v>2</v>
      </c>
      <c r="H225" s="36" t="s">
        <v>33</v>
      </c>
      <c r="I225" s="36" t="s">
        <v>282</v>
      </c>
      <c r="J225" s="36">
        <v>209</v>
      </c>
      <c r="K225" s="112">
        <f t="shared" si="5"/>
        <v>4.18E-5</v>
      </c>
    </row>
    <row r="226" spans="1:11">
      <c r="A226" s="109">
        <v>225</v>
      </c>
      <c r="B226" s="109" t="s">
        <v>322</v>
      </c>
      <c r="C226" s="109" t="s">
        <v>323</v>
      </c>
      <c r="D226" s="109" t="s">
        <v>288</v>
      </c>
      <c r="E226" s="36" t="s">
        <v>288</v>
      </c>
      <c r="F226" s="36" t="s">
        <v>291</v>
      </c>
      <c r="G226" s="36">
        <v>1</v>
      </c>
      <c r="H226" s="36" t="s">
        <v>33</v>
      </c>
      <c r="I226" s="36" t="s">
        <v>282</v>
      </c>
      <c r="J226" s="36">
        <v>215</v>
      </c>
      <c r="K226" s="112">
        <f t="shared" si="5"/>
        <v>2.1500000000000001E-5</v>
      </c>
    </row>
    <row r="227" spans="1:11">
      <c r="A227" s="109">
        <v>226</v>
      </c>
      <c r="B227" s="109" t="s">
        <v>322</v>
      </c>
      <c r="C227" s="109" t="s">
        <v>323</v>
      </c>
      <c r="D227" s="109" t="s">
        <v>288</v>
      </c>
      <c r="E227" s="36" t="s">
        <v>288</v>
      </c>
      <c r="F227" s="36" t="s">
        <v>292</v>
      </c>
      <c r="G227" s="36">
        <v>2</v>
      </c>
      <c r="H227" s="36" t="s">
        <v>33</v>
      </c>
      <c r="I227" s="36" t="s">
        <v>282</v>
      </c>
      <c r="J227" s="36">
        <v>342</v>
      </c>
      <c r="K227" s="112">
        <f t="shared" si="5"/>
        <v>6.8399999999999996E-5</v>
      </c>
    </row>
    <row r="228" spans="1:11">
      <c r="A228" s="109">
        <v>227</v>
      </c>
      <c r="B228" s="109" t="s">
        <v>322</v>
      </c>
      <c r="C228" s="109" t="s">
        <v>323</v>
      </c>
      <c r="D228" s="109" t="s">
        <v>288</v>
      </c>
      <c r="E228" s="36" t="s">
        <v>288</v>
      </c>
      <c r="F228" s="36" t="s">
        <v>293</v>
      </c>
      <c r="G228" s="36">
        <v>6</v>
      </c>
      <c r="H228" s="36" t="s">
        <v>33</v>
      </c>
      <c r="I228" s="36" t="s">
        <v>282</v>
      </c>
      <c r="J228" s="36">
        <v>215</v>
      </c>
      <c r="K228" s="112">
        <f t="shared" si="5"/>
        <v>1.2899999999999999E-4</v>
      </c>
    </row>
    <row r="229" spans="1:11">
      <c r="A229" s="109">
        <v>228</v>
      </c>
      <c r="B229" s="109" t="s">
        <v>322</v>
      </c>
      <c r="C229" s="109" t="s">
        <v>323</v>
      </c>
      <c r="D229" s="109" t="s">
        <v>288</v>
      </c>
      <c r="E229" s="36" t="s">
        <v>288</v>
      </c>
      <c r="F229" s="36" t="s">
        <v>294</v>
      </c>
      <c r="G229" s="36">
        <v>9</v>
      </c>
      <c r="H229" s="36" t="s">
        <v>33</v>
      </c>
      <c r="I229" s="36" t="s">
        <v>282</v>
      </c>
      <c r="J229" s="36">
        <v>434</v>
      </c>
      <c r="K229" s="112">
        <f t="shared" si="5"/>
        <v>3.9060000000000001E-4</v>
      </c>
    </row>
    <row r="230" spans="1:11">
      <c r="A230" s="109">
        <v>229</v>
      </c>
      <c r="B230" s="109" t="s">
        <v>322</v>
      </c>
      <c r="C230" s="109" t="s">
        <v>323</v>
      </c>
      <c r="D230" s="109" t="s">
        <v>288</v>
      </c>
      <c r="E230" s="36" t="s">
        <v>288</v>
      </c>
      <c r="F230" s="36" t="s">
        <v>295</v>
      </c>
      <c r="G230" s="36">
        <v>6</v>
      </c>
      <c r="H230" s="36" t="s">
        <v>33</v>
      </c>
      <c r="I230" s="36" t="s">
        <v>282</v>
      </c>
      <c r="J230" s="36">
        <v>628</v>
      </c>
      <c r="K230" s="112">
        <f t="shared" si="5"/>
        <v>3.768E-4</v>
      </c>
    </row>
    <row r="231" spans="1:11">
      <c r="A231" s="109">
        <v>230</v>
      </c>
      <c r="B231" s="109" t="s">
        <v>322</v>
      </c>
      <c r="C231" s="109" t="s">
        <v>323</v>
      </c>
      <c r="D231" s="109" t="s">
        <v>288</v>
      </c>
      <c r="E231" s="36" t="s">
        <v>288</v>
      </c>
      <c r="F231" s="36" t="s">
        <v>296</v>
      </c>
      <c r="G231" s="36">
        <v>3</v>
      </c>
      <c r="H231" s="36" t="s">
        <v>33</v>
      </c>
      <c r="I231" s="36" t="s">
        <v>282</v>
      </c>
      <c r="J231" s="36">
        <v>628</v>
      </c>
      <c r="K231" s="112">
        <f t="shared" si="5"/>
        <v>1.884E-4</v>
      </c>
    </row>
    <row r="232" spans="1:11">
      <c r="A232" s="109">
        <v>231</v>
      </c>
      <c r="B232" s="109" t="s">
        <v>322</v>
      </c>
      <c r="C232" s="109" t="s">
        <v>323</v>
      </c>
      <c r="D232" s="109" t="s">
        <v>288</v>
      </c>
      <c r="E232" s="36" t="s">
        <v>297</v>
      </c>
      <c r="F232" s="36" t="s">
        <v>298</v>
      </c>
      <c r="G232" s="36">
        <v>4</v>
      </c>
      <c r="H232" s="36" t="s">
        <v>33</v>
      </c>
      <c r="I232" s="36" t="s">
        <v>282</v>
      </c>
      <c r="J232" s="38">
        <v>1860</v>
      </c>
      <c r="K232" s="112">
        <f t="shared" si="5"/>
        <v>7.4399999999999998E-4</v>
      </c>
    </row>
    <row r="233" spans="1:11">
      <c r="A233" s="109">
        <v>232</v>
      </c>
      <c r="B233" s="109" t="s">
        <v>322</v>
      </c>
      <c r="C233" s="109" t="s">
        <v>323</v>
      </c>
      <c r="D233" s="109" t="s">
        <v>288</v>
      </c>
      <c r="E233" s="36" t="s">
        <v>297</v>
      </c>
      <c r="F233" s="36" t="s">
        <v>299</v>
      </c>
      <c r="G233" s="36">
        <v>2</v>
      </c>
      <c r="H233" s="36" t="s">
        <v>33</v>
      </c>
      <c r="I233" s="36" t="s">
        <v>282</v>
      </c>
      <c r="J233" s="38">
        <v>2130</v>
      </c>
      <c r="K233" s="112">
        <f t="shared" si="5"/>
        <v>4.26E-4</v>
      </c>
    </row>
    <row r="234" spans="1:11">
      <c r="A234" s="109">
        <v>233</v>
      </c>
      <c r="B234" s="109" t="s">
        <v>322</v>
      </c>
      <c r="C234" s="109" t="s">
        <v>323</v>
      </c>
      <c r="D234" s="109" t="s">
        <v>288</v>
      </c>
      <c r="E234" s="36" t="s">
        <v>297</v>
      </c>
      <c r="F234" s="36" t="s">
        <v>300</v>
      </c>
      <c r="G234" s="36">
        <v>1</v>
      </c>
      <c r="H234" s="36" t="s">
        <v>33</v>
      </c>
      <c r="I234" s="36" t="s">
        <v>282</v>
      </c>
      <c r="J234" s="38">
        <v>3250</v>
      </c>
      <c r="K234" s="112">
        <f t="shared" si="5"/>
        <v>3.2499999999999999E-4</v>
      </c>
    </row>
    <row r="235" spans="1:11">
      <c r="A235" s="109">
        <v>234</v>
      </c>
      <c r="B235" s="109" t="s">
        <v>322</v>
      </c>
      <c r="C235" s="109" t="s">
        <v>323</v>
      </c>
      <c r="D235" s="109" t="s">
        <v>288</v>
      </c>
      <c r="E235" s="36" t="s">
        <v>297</v>
      </c>
      <c r="F235" s="36" t="s">
        <v>301</v>
      </c>
      <c r="G235" s="36">
        <v>4</v>
      </c>
      <c r="H235" s="36" t="s">
        <v>33</v>
      </c>
      <c r="I235" s="36" t="s">
        <v>282</v>
      </c>
      <c r="J235" s="38">
        <v>3250</v>
      </c>
      <c r="K235" s="112">
        <f t="shared" si="5"/>
        <v>1.2999999999999999E-3</v>
      </c>
    </row>
    <row r="236" spans="1:11">
      <c r="A236" s="109">
        <v>235</v>
      </c>
      <c r="B236" s="109" t="s">
        <v>322</v>
      </c>
      <c r="C236" s="109" t="s">
        <v>323</v>
      </c>
      <c r="D236" s="109" t="s">
        <v>288</v>
      </c>
      <c r="E236" s="36" t="s">
        <v>297</v>
      </c>
      <c r="F236" s="36" t="s">
        <v>302</v>
      </c>
      <c r="G236" s="36">
        <v>1</v>
      </c>
      <c r="H236" s="36" t="s">
        <v>33</v>
      </c>
      <c r="I236" s="36" t="s">
        <v>282</v>
      </c>
      <c r="J236" s="38">
        <v>3250</v>
      </c>
      <c r="K236" s="112">
        <f t="shared" si="5"/>
        <v>3.2499999999999999E-4</v>
      </c>
    </row>
    <row r="237" spans="1:11" ht="29">
      <c r="A237" s="109">
        <v>236</v>
      </c>
      <c r="B237" s="109" t="s">
        <v>322</v>
      </c>
      <c r="C237" s="109" t="s">
        <v>323</v>
      </c>
      <c r="D237" s="109" t="s">
        <v>288</v>
      </c>
      <c r="E237" s="36" t="s">
        <v>303</v>
      </c>
      <c r="F237" s="36" t="s">
        <v>304</v>
      </c>
      <c r="G237" s="36">
        <v>1</v>
      </c>
      <c r="H237" s="36" t="s">
        <v>33</v>
      </c>
      <c r="I237" s="36" t="s">
        <v>282</v>
      </c>
      <c r="J237" s="38">
        <v>2136</v>
      </c>
      <c r="K237" s="112">
        <f t="shared" si="5"/>
        <v>2.1359999999999999E-4</v>
      </c>
    </row>
    <row r="238" spans="1:11" ht="29">
      <c r="A238" s="109">
        <v>237</v>
      </c>
      <c r="B238" s="109" t="s">
        <v>322</v>
      </c>
      <c r="C238" s="109" t="s">
        <v>323</v>
      </c>
      <c r="D238" s="109" t="s">
        <v>897</v>
      </c>
      <c r="E238" s="36" t="s">
        <v>305</v>
      </c>
      <c r="F238" s="36" t="s">
        <v>306</v>
      </c>
      <c r="G238" s="36">
        <v>5</v>
      </c>
      <c r="H238" s="36" t="s">
        <v>33</v>
      </c>
      <c r="I238" s="36" t="s">
        <v>307</v>
      </c>
      <c r="J238" s="38">
        <v>1100</v>
      </c>
      <c r="K238" s="112">
        <f t="shared" si="5"/>
        <v>5.5000000000000003E-4</v>
      </c>
    </row>
    <row r="239" spans="1:11">
      <c r="A239" s="109">
        <v>238</v>
      </c>
      <c r="B239" s="109" t="s">
        <v>322</v>
      </c>
      <c r="C239" s="109" t="s">
        <v>323</v>
      </c>
      <c r="D239" s="109" t="s">
        <v>897</v>
      </c>
      <c r="E239" s="36" t="s">
        <v>308</v>
      </c>
      <c r="F239" s="36" t="s">
        <v>309</v>
      </c>
      <c r="G239" s="36">
        <v>16</v>
      </c>
      <c r="H239" s="36" t="s">
        <v>33</v>
      </c>
      <c r="I239" s="36" t="s">
        <v>267</v>
      </c>
      <c r="J239" s="36">
        <v>34.4</v>
      </c>
      <c r="K239" s="112">
        <f t="shared" si="5"/>
        <v>5.5039999999999995E-5</v>
      </c>
    </row>
    <row r="240" spans="1:11" ht="29">
      <c r="A240" s="109">
        <v>239</v>
      </c>
      <c r="B240" s="109" t="s">
        <v>322</v>
      </c>
      <c r="C240" s="109" t="s">
        <v>323</v>
      </c>
      <c r="D240" s="109" t="s">
        <v>897</v>
      </c>
      <c r="E240" s="36" t="s">
        <v>310</v>
      </c>
      <c r="F240" s="36" t="s">
        <v>311</v>
      </c>
      <c r="G240" s="36">
        <v>1</v>
      </c>
      <c r="H240" s="36" t="s">
        <v>33</v>
      </c>
      <c r="I240" s="36" t="s">
        <v>312</v>
      </c>
      <c r="J240" s="38">
        <v>3852</v>
      </c>
      <c r="K240" s="112">
        <f t="shared" si="5"/>
        <v>3.8519999999999998E-4</v>
      </c>
    </row>
    <row r="241" spans="1:11">
      <c r="A241" s="109">
        <v>240</v>
      </c>
      <c r="B241" s="109" t="s">
        <v>322</v>
      </c>
      <c r="C241" s="109" t="s">
        <v>323</v>
      </c>
      <c r="D241" s="109" t="s">
        <v>897</v>
      </c>
      <c r="E241" s="36" t="s">
        <v>313</v>
      </c>
      <c r="F241" s="36"/>
      <c r="G241" s="36">
        <v>7</v>
      </c>
      <c r="H241" s="36" t="s">
        <v>33</v>
      </c>
      <c r="I241" s="36" t="s">
        <v>314</v>
      </c>
      <c r="J241" s="36">
        <v>550</v>
      </c>
      <c r="K241" s="112">
        <f t="shared" si="5"/>
        <v>3.8499999999999998E-4</v>
      </c>
    </row>
    <row r="242" spans="1:11">
      <c r="A242" s="109">
        <v>241</v>
      </c>
      <c r="B242" s="109" t="s">
        <v>322</v>
      </c>
      <c r="C242" s="109" t="s">
        <v>323</v>
      </c>
      <c r="D242" s="109" t="s">
        <v>897</v>
      </c>
      <c r="E242" s="36" t="s">
        <v>315</v>
      </c>
      <c r="F242" s="36"/>
      <c r="G242" s="36">
        <v>1</v>
      </c>
      <c r="H242" s="36" t="s">
        <v>33</v>
      </c>
      <c r="I242" s="36" t="s">
        <v>316</v>
      </c>
      <c r="J242" s="38">
        <v>4314</v>
      </c>
      <c r="K242" s="112">
        <f t="shared" si="5"/>
        <v>4.3140000000000002E-4</v>
      </c>
    </row>
    <row r="243" spans="1:11" ht="58">
      <c r="A243" s="109">
        <v>242</v>
      </c>
      <c r="B243" s="109" t="s">
        <v>322</v>
      </c>
      <c r="C243" s="109" t="s">
        <v>323</v>
      </c>
      <c r="D243" s="109" t="s">
        <v>895</v>
      </c>
      <c r="E243" s="36" t="s">
        <v>317</v>
      </c>
      <c r="F243" s="36" t="s">
        <v>318</v>
      </c>
      <c r="G243" s="36">
        <v>520</v>
      </c>
      <c r="H243" s="36" t="s">
        <v>182</v>
      </c>
      <c r="I243" s="36" t="s">
        <v>319</v>
      </c>
      <c r="J243" s="38">
        <v>2855</v>
      </c>
      <c r="K243" s="112">
        <f t="shared" si="5"/>
        <v>0.14846000000000001</v>
      </c>
    </row>
    <row r="244" spans="1:11" ht="29">
      <c r="A244" s="109">
        <v>243</v>
      </c>
      <c r="B244" s="109" t="s">
        <v>322</v>
      </c>
      <c r="C244" s="109" t="s">
        <v>323</v>
      </c>
      <c r="D244" s="109" t="s">
        <v>897</v>
      </c>
      <c r="E244" s="36" t="s">
        <v>320</v>
      </c>
      <c r="F244" s="36" t="s">
        <v>321</v>
      </c>
      <c r="G244" s="36">
        <v>120</v>
      </c>
      <c r="H244" s="36" t="s">
        <v>33</v>
      </c>
      <c r="I244" s="36" t="s">
        <v>260</v>
      </c>
      <c r="J244" s="38">
        <v>1200</v>
      </c>
      <c r="K244" s="112">
        <f t="shared" si="5"/>
        <v>1.44E-2</v>
      </c>
    </row>
    <row r="245" spans="1:11">
      <c r="A245" s="109">
        <v>244</v>
      </c>
      <c r="B245" s="109" t="s">
        <v>324</v>
      </c>
      <c r="C245" s="109" t="s">
        <v>340</v>
      </c>
      <c r="D245" s="109" t="s">
        <v>897</v>
      </c>
      <c r="E245" s="2" t="s">
        <v>325</v>
      </c>
      <c r="F245" s="2"/>
      <c r="G245" s="2">
        <v>2</v>
      </c>
      <c r="H245" s="36" t="s">
        <v>33</v>
      </c>
      <c r="I245" s="2" t="s">
        <v>326</v>
      </c>
      <c r="J245" s="2">
        <v>582</v>
      </c>
      <c r="K245" s="112">
        <f t="shared" ref="K245:K254" si="6">(J245*G245)/10000000</f>
        <v>1.164E-4</v>
      </c>
    </row>
    <row r="246" spans="1:11">
      <c r="A246" s="109">
        <v>245</v>
      </c>
      <c r="B246" s="109" t="s">
        <v>324</v>
      </c>
      <c r="C246" s="109" t="s">
        <v>340</v>
      </c>
      <c r="D246" s="109" t="s">
        <v>897</v>
      </c>
      <c r="E246" s="2" t="s">
        <v>327</v>
      </c>
      <c r="F246" s="2"/>
      <c r="G246" s="2">
        <v>1</v>
      </c>
      <c r="H246" s="2" t="s">
        <v>33</v>
      </c>
      <c r="I246" s="2" t="s">
        <v>328</v>
      </c>
      <c r="J246" s="2">
        <v>18839</v>
      </c>
      <c r="K246" s="112">
        <f t="shared" si="6"/>
        <v>1.8839E-3</v>
      </c>
    </row>
    <row r="247" spans="1:11">
      <c r="A247" s="109">
        <v>246</v>
      </c>
      <c r="B247" s="109" t="s">
        <v>324</v>
      </c>
      <c r="C247" s="109" t="s">
        <v>340</v>
      </c>
      <c r="D247" s="109" t="s">
        <v>897</v>
      </c>
      <c r="E247" s="2" t="s">
        <v>329</v>
      </c>
      <c r="F247" s="2"/>
      <c r="G247" s="2">
        <v>2</v>
      </c>
      <c r="H247" s="2" t="s">
        <v>33</v>
      </c>
      <c r="I247" s="2" t="s">
        <v>330</v>
      </c>
      <c r="J247" s="2">
        <v>32010</v>
      </c>
      <c r="K247" s="112">
        <f t="shared" si="6"/>
        <v>6.4019999999999997E-3</v>
      </c>
    </row>
    <row r="248" spans="1:11">
      <c r="A248" s="109">
        <v>247</v>
      </c>
      <c r="B248" s="109" t="s">
        <v>324</v>
      </c>
      <c r="C248" s="109" t="s">
        <v>340</v>
      </c>
      <c r="D248" s="109" t="s">
        <v>897</v>
      </c>
      <c r="E248" s="2" t="s">
        <v>331</v>
      </c>
      <c r="F248" s="2"/>
      <c r="G248" s="2">
        <v>2</v>
      </c>
      <c r="H248" s="2" t="s">
        <v>33</v>
      </c>
      <c r="I248" s="2" t="s">
        <v>330</v>
      </c>
      <c r="J248" s="2">
        <v>6296</v>
      </c>
      <c r="K248" s="112">
        <f t="shared" si="6"/>
        <v>1.2592E-3</v>
      </c>
    </row>
    <row r="249" spans="1:11">
      <c r="A249" s="109">
        <v>248</v>
      </c>
      <c r="B249" s="109" t="s">
        <v>324</v>
      </c>
      <c r="C249" s="109" t="s">
        <v>340</v>
      </c>
      <c r="D249" s="109" t="s">
        <v>862</v>
      </c>
      <c r="E249" s="2" t="s">
        <v>332</v>
      </c>
      <c r="F249" s="2"/>
      <c r="G249" s="2">
        <v>2</v>
      </c>
      <c r="H249" s="2" t="s">
        <v>33</v>
      </c>
      <c r="I249" s="2" t="s">
        <v>333</v>
      </c>
      <c r="J249" s="2">
        <v>16874</v>
      </c>
      <c r="K249" s="112">
        <f t="shared" si="6"/>
        <v>3.3747999999999998E-3</v>
      </c>
    </row>
    <row r="250" spans="1:11">
      <c r="A250" s="109">
        <v>249</v>
      </c>
      <c r="B250" s="109" t="s">
        <v>324</v>
      </c>
      <c r="C250" s="109" t="s">
        <v>340</v>
      </c>
      <c r="D250" s="109" t="s">
        <v>862</v>
      </c>
      <c r="E250" s="2" t="s">
        <v>334</v>
      </c>
      <c r="F250" s="2"/>
      <c r="G250" s="2">
        <v>3</v>
      </c>
      <c r="H250" s="2" t="s">
        <v>33</v>
      </c>
      <c r="I250" s="2" t="s">
        <v>333</v>
      </c>
      <c r="J250" s="2">
        <v>12235</v>
      </c>
      <c r="K250" s="112">
        <f t="shared" si="6"/>
        <v>3.6705000000000002E-3</v>
      </c>
    </row>
    <row r="251" spans="1:11">
      <c r="A251" s="109">
        <v>250</v>
      </c>
      <c r="B251" s="109" t="s">
        <v>324</v>
      </c>
      <c r="C251" s="109" t="s">
        <v>340</v>
      </c>
      <c r="D251" s="109" t="s">
        <v>862</v>
      </c>
      <c r="E251" s="2" t="s">
        <v>335</v>
      </c>
      <c r="F251" s="2"/>
      <c r="G251" s="2">
        <v>3</v>
      </c>
      <c r="H251" s="2" t="s">
        <v>33</v>
      </c>
      <c r="I251" s="2" t="s">
        <v>333</v>
      </c>
      <c r="J251" s="2">
        <v>3456</v>
      </c>
      <c r="K251" s="112">
        <f t="shared" si="6"/>
        <v>1.0368E-3</v>
      </c>
    </row>
    <row r="252" spans="1:11">
      <c r="A252" s="109">
        <v>251</v>
      </c>
      <c r="B252" s="109" t="s">
        <v>324</v>
      </c>
      <c r="C252" s="109" t="s">
        <v>340</v>
      </c>
      <c r="D252" s="109" t="s">
        <v>862</v>
      </c>
      <c r="E252" s="2" t="s">
        <v>336</v>
      </c>
      <c r="F252" s="2"/>
      <c r="G252" s="2">
        <v>2</v>
      </c>
      <c r="H252" s="2" t="s">
        <v>33</v>
      </c>
      <c r="I252" s="2" t="s">
        <v>333</v>
      </c>
      <c r="J252" s="2">
        <v>2865</v>
      </c>
      <c r="K252" s="112">
        <f t="shared" si="6"/>
        <v>5.7300000000000005E-4</v>
      </c>
    </row>
    <row r="253" spans="1:11">
      <c r="A253" s="109">
        <v>252</v>
      </c>
      <c r="B253" s="109" t="s">
        <v>324</v>
      </c>
      <c r="C253" s="109" t="s">
        <v>340</v>
      </c>
      <c r="D253" s="109" t="s">
        <v>862</v>
      </c>
      <c r="E253" s="2" t="s">
        <v>336</v>
      </c>
      <c r="F253" s="2"/>
      <c r="G253" s="2">
        <v>7</v>
      </c>
      <c r="H253" s="2" t="s">
        <v>33</v>
      </c>
      <c r="I253" s="2" t="s">
        <v>337</v>
      </c>
      <c r="J253" s="2">
        <v>2650</v>
      </c>
      <c r="K253" s="112">
        <f t="shared" si="6"/>
        <v>1.8550000000000001E-3</v>
      </c>
    </row>
    <row r="254" spans="1:11">
      <c r="A254" s="109">
        <v>253</v>
      </c>
      <c r="B254" s="109" t="s">
        <v>324</v>
      </c>
      <c r="C254" s="109" t="s">
        <v>340</v>
      </c>
      <c r="D254" s="109" t="s">
        <v>897</v>
      </c>
      <c r="E254" s="2" t="s">
        <v>338</v>
      </c>
      <c r="F254" s="2"/>
      <c r="G254" s="2">
        <v>2</v>
      </c>
      <c r="H254" s="2" t="s">
        <v>33</v>
      </c>
      <c r="I254" s="2" t="s">
        <v>339</v>
      </c>
      <c r="J254" s="2">
        <v>4200</v>
      </c>
      <c r="K254" s="112">
        <f t="shared" si="6"/>
        <v>8.4000000000000003E-4</v>
      </c>
    </row>
    <row r="255" spans="1:11">
      <c r="A255" s="109">
        <v>254</v>
      </c>
      <c r="B255" s="109" t="s">
        <v>407</v>
      </c>
      <c r="C255" s="109" t="s">
        <v>408</v>
      </c>
      <c r="D255" s="109" t="s">
        <v>897</v>
      </c>
      <c r="E255" s="2" t="s">
        <v>341</v>
      </c>
      <c r="F255" s="2"/>
      <c r="G255" s="2">
        <v>7</v>
      </c>
      <c r="H255" s="2" t="s">
        <v>33</v>
      </c>
      <c r="I255" s="2" t="s">
        <v>312</v>
      </c>
      <c r="J255" s="2">
        <v>4070</v>
      </c>
      <c r="K255" s="113">
        <f t="shared" ref="K255:K318" si="7">(J255*G255)/10000000</f>
        <v>2.849E-3</v>
      </c>
    </row>
    <row r="256" spans="1:11">
      <c r="A256" s="109">
        <v>255</v>
      </c>
      <c r="B256" s="109" t="s">
        <v>407</v>
      </c>
      <c r="C256" s="109" t="s">
        <v>408</v>
      </c>
      <c r="D256" s="109" t="s">
        <v>897</v>
      </c>
      <c r="E256" s="2" t="s">
        <v>342</v>
      </c>
      <c r="F256" s="2"/>
      <c r="G256" s="2">
        <v>3</v>
      </c>
      <c r="H256" s="2" t="s">
        <v>33</v>
      </c>
      <c r="I256" s="2"/>
      <c r="J256" s="2">
        <v>949.96</v>
      </c>
      <c r="K256" s="113">
        <f t="shared" si="7"/>
        <v>2.8498800000000002E-4</v>
      </c>
    </row>
    <row r="257" spans="1:11">
      <c r="A257" s="109">
        <v>256</v>
      </c>
      <c r="B257" s="109" t="s">
        <v>407</v>
      </c>
      <c r="C257" s="109" t="s">
        <v>408</v>
      </c>
      <c r="D257" s="109" t="s">
        <v>897</v>
      </c>
      <c r="E257" s="2" t="s">
        <v>343</v>
      </c>
      <c r="F257" s="2"/>
      <c r="G257" s="2">
        <v>65</v>
      </c>
      <c r="H257" s="2" t="s">
        <v>33</v>
      </c>
      <c r="I257" s="2" t="s">
        <v>344</v>
      </c>
      <c r="J257" s="2">
        <v>810</v>
      </c>
      <c r="K257" s="113">
        <f t="shared" si="7"/>
        <v>5.2649999999999997E-3</v>
      </c>
    </row>
    <row r="258" spans="1:11">
      <c r="A258" s="109">
        <v>257</v>
      </c>
      <c r="B258" s="109" t="s">
        <v>407</v>
      </c>
      <c r="C258" s="109" t="s">
        <v>408</v>
      </c>
      <c r="D258" s="109" t="s">
        <v>897</v>
      </c>
      <c r="E258" s="2" t="s">
        <v>345</v>
      </c>
      <c r="F258" s="2"/>
      <c r="G258" s="2">
        <v>60</v>
      </c>
      <c r="H258" s="2" t="s">
        <v>33</v>
      </c>
      <c r="I258" s="2" t="s">
        <v>344</v>
      </c>
      <c r="J258" s="2">
        <v>150</v>
      </c>
      <c r="K258" s="113">
        <f t="shared" si="7"/>
        <v>8.9999999999999998E-4</v>
      </c>
    </row>
    <row r="259" spans="1:11">
      <c r="A259" s="109">
        <v>258</v>
      </c>
      <c r="B259" s="109" t="s">
        <v>407</v>
      </c>
      <c r="C259" s="109" t="s">
        <v>408</v>
      </c>
      <c r="D259" s="109" t="s">
        <v>897</v>
      </c>
      <c r="E259" s="2" t="s">
        <v>346</v>
      </c>
      <c r="F259" s="2"/>
      <c r="G259" s="2">
        <v>23</v>
      </c>
      <c r="H259" s="2" t="s">
        <v>33</v>
      </c>
      <c r="I259" s="2" t="s">
        <v>344</v>
      </c>
      <c r="J259" s="2">
        <v>150</v>
      </c>
      <c r="K259" s="113">
        <f t="shared" si="7"/>
        <v>3.4499999999999998E-4</v>
      </c>
    </row>
    <row r="260" spans="1:11">
      <c r="A260" s="109">
        <v>259</v>
      </c>
      <c r="B260" s="109" t="s">
        <v>407</v>
      </c>
      <c r="C260" s="109" t="s">
        <v>408</v>
      </c>
      <c r="D260" s="109" t="s">
        <v>897</v>
      </c>
      <c r="E260" s="2" t="s">
        <v>347</v>
      </c>
      <c r="F260" s="2"/>
      <c r="G260" s="2">
        <v>27</v>
      </c>
      <c r="H260" s="2" t="s">
        <v>33</v>
      </c>
      <c r="I260" s="2" t="s">
        <v>344</v>
      </c>
      <c r="J260" s="2">
        <v>160</v>
      </c>
      <c r="K260" s="113">
        <f t="shared" si="7"/>
        <v>4.3199999999999998E-4</v>
      </c>
    </row>
    <row r="261" spans="1:11">
      <c r="A261" s="109">
        <v>260</v>
      </c>
      <c r="B261" s="109" t="s">
        <v>407</v>
      </c>
      <c r="C261" s="109" t="s">
        <v>408</v>
      </c>
      <c r="D261" s="109" t="s">
        <v>862</v>
      </c>
      <c r="E261" s="2" t="s">
        <v>348</v>
      </c>
      <c r="F261" s="2"/>
      <c r="G261" s="2">
        <v>1</v>
      </c>
      <c r="H261" s="2" t="s">
        <v>250</v>
      </c>
      <c r="I261" s="2" t="s">
        <v>349</v>
      </c>
      <c r="J261" s="2">
        <v>3372.35</v>
      </c>
      <c r="K261" s="113">
        <f t="shared" si="7"/>
        <v>3.3723499999999997E-4</v>
      </c>
    </row>
    <row r="262" spans="1:11">
      <c r="A262" s="109">
        <v>261</v>
      </c>
      <c r="B262" s="109" t="s">
        <v>407</v>
      </c>
      <c r="C262" s="109" t="s">
        <v>408</v>
      </c>
      <c r="D262" s="109" t="s">
        <v>862</v>
      </c>
      <c r="E262" s="2" t="s">
        <v>350</v>
      </c>
      <c r="F262" s="2"/>
      <c r="G262" s="2">
        <v>2</v>
      </c>
      <c r="H262" s="2" t="s">
        <v>250</v>
      </c>
      <c r="I262" s="2" t="s">
        <v>349</v>
      </c>
      <c r="J262" s="2">
        <v>1462.06</v>
      </c>
      <c r="K262" s="113">
        <f t="shared" si="7"/>
        <v>2.9241199999999998E-4</v>
      </c>
    </row>
    <row r="263" spans="1:11">
      <c r="A263" s="109">
        <v>262</v>
      </c>
      <c r="B263" s="109" t="s">
        <v>407</v>
      </c>
      <c r="C263" s="109" t="s">
        <v>408</v>
      </c>
      <c r="D263" s="109" t="s">
        <v>897</v>
      </c>
      <c r="E263" s="2" t="s">
        <v>351</v>
      </c>
      <c r="F263" s="2"/>
      <c r="G263" s="2">
        <v>12</v>
      </c>
      <c r="H263" s="2" t="s">
        <v>250</v>
      </c>
      <c r="I263" s="2" t="s">
        <v>352</v>
      </c>
      <c r="J263" s="2">
        <v>313.45999999999998</v>
      </c>
      <c r="K263" s="113">
        <f t="shared" si="7"/>
        <v>3.7615199999999993E-4</v>
      </c>
    </row>
    <row r="264" spans="1:11">
      <c r="A264" s="109">
        <v>263</v>
      </c>
      <c r="B264" s="109" t="s">
        <v>407</v>
      </c>
      <c r="C264" s="109" t="s">
        <v>408</v>
      </c>
      <c r="D264" s="109" t="s">
        <v>897</v>
      </c>
      <c r="E264" s="2" t="s">
        <v>353</v>
      </c>
      <c r="F264" s="2"/>
      <c r="G264" s="2">
        <v>40</v>
      </c>
      <c r="H264" s="2" t="s">
        <v>250</v>
      </c>
      <c r="I264" s="2" t="s">
        <v>352</v>
      </c>
      <c r="J264" s="2">
        <v>321.89999999999998</v>
      </c>
      <c r="K264" s="113">
        <f t="shared" si="7"/>
        <v>1.2876000000000001E-3</v>
      </c>
    </row>
    <row r="265" spans="1:11">
      <c r="A265" s="109">
        <v>264</v>
      </c>
      <c r="B265" s="109" t="s">
        <v>407</v>
      </c>
      <c r="C265" s="109" t="s">
        <v>408</v>
      </c>
      <c r="D265" s="109" t="s">
        <v>895</v>
      </c>
      <c r="E265" s="2" t="s">
        <v>354</v>
      </c>
      <c r="F265" s="2"/>
      <c r="G265" s="2">
        <v>135</v>
      </c>
      <c r="H265" s="2" t="s">
        <v>355</v>
      </c>
      <c r="I265" s="2" t="s">
        <v>356</v>
      </c>
      <c r="J265" s="2">
        <v>775.33</v>
      </c>
      <c r="K265" s="113">
        <f t="shared" si="7"/>
        <v>1.0466955E-2</v>
      </c>
    </row>
    <row r="266" spans="1:11">
      <c r="A266" s="109">
        <v>265</v>
      </c>
      <c r="B266" s="109" t="s">
        <v>407</v>
      </c>
      <c r="C266" s="109" t="s">
        <v>408</v>
      </c>
      <c r="D266" s="109" t="s">
        <v>895</v>
      </c>
      <c r="E266" s="2" t="s">
        <v>357</v>
      </c>
      <c r="F266" s="2"/>
      <c r="G266" s="2">
        <v>402</v>
      </c>
      <c r="H266" s="2" t="s">
        <v>355</v>
      </c>
      <c r="I266" s="2" t="s">
        <v>356</v>
      </c>
      <c r="J266" s="2">
        <v>330.98</v>
      </c>
      <c r="K266" s="113">
        <f t="shared" si="7"/>
        <v>1.3305396000000002E-2</v>
      </c>
    </row>
    <row r="267" spans="1:11">
      <c r="A267" s="109">
        <v>266</v>
      </c>
      <c r="B267" s="109" t="s">
        <v>407</v>
      </c>
      <c r="C267" s="109" t="s">
        <v>408</v>
      </c>
      <c r="D267" s="109" t="s">
        <v>897</v>
      </c>
      <c r="E267" s="2" t="s">
        <v>358</v>
      </c>
      <c r="F267" s="2"/>
      <c r="G267" s="2">
        <v>4</v>
      </c>
      <c r="H267" s="2" t="s">
        <v>250</v>
      </c>
      <c r="I267" s="2" t="s">
        <v>356</v>
      </c>
      <c r="J267" s="2">
        <v>198.77</v>
      </c>
      <c r="K267" s="113">
        <f t="shared" si="7"/>
        <v>7.9507999999999998E-5</v>
      </c>
    </row>
    <row r="268" spans="1:11">
      <c r="A268" s="109">
        <v>267</v>
      </c>
      <c r="B268" s="109" t="s">
        <v>407</v>
      </c>
      <c r="C268" s="109" t="s">
        <v>408</v>
      </c>
      <c r="D268" s="109" t="s">
        <v>721</v>
      </c>
      <c r="E268" s="2" t="s">
        <v>359</v>
      </c>
      <c r="F268" s="2"/>
      <c r="G268" s="2">
        <v>2</v>
      </c>
      <c r="H268" s="2" t="s">
        <v>250</v>
      </c>
      <c r="I268" s="2" t="s">
        <v>356</v>
      </c>
      <c r="J268" s="2">
        <v>1595.78</v>
      </c>
      <c r="K268" s="113">
        <f t="shared" si="7"/>
        <v>3.1915600000000002E-4</v>
      </c>
    </row>
    <row r="269" spans="1:11">
      <c r="A269" s="109">
        <v>268</v>
      </c>
      <c r="B269" s="109" t="s">
        <v>407</v>
      </c>
      <c r="C269" s="109" t="s">
        <v>408</v>
      </c>
      <c r="D269" s="109" t="s">
        <v>979</v>
      </c>
      <c r="E269" s="2" t="s">
        <v>360</v>
      </c>
      <c r="F269" s="2"/>
      <c r="G269" s="2">
        <v>1</v>
      </c>
      <c r="H269" s="2" t="s">
        <v>250</v>
      </c>
      <c r="I269" s="2" t="s">
        <v>356</v>
      </c>
      <c r="J269" s="2">
        <v>1059.3800000000001</v>
      </c>
      <c r="K269" s="113">
        <f t="shared" si="7"/>
        <v>1.0593800000000001E-4</v>
      </c>
    </row>
    <row r="270" spans="1:11">
      <c r="A270" s="109">
        <v>269</v>
      </c>
      <c r="B270" s="109" t="s">
        <v>407</v>
      </c>
      <c r="C270" s="109" t="s">
        <v>408</v>
      </c>
      <c r="D270" s="109" t="s">
        <v>862</v>
      </c>
      <c r="E270" s="2" t="s">
        <v>361</v>
      </c>
      <c r="F270" s="2"/>
      <c r="G270" s="2">
        <v>1</v>
      </c>
      <c r="H270" s="2" t="s">
        <v>250</v>
      </c>
      <c r="I270" s="2" t="s">
        <v>362</v>
      </c>
      <c r="J270" s="2">
        <v>2043</v>
      </c>
      <c r="K270" s="113">
        <f t="shared" si="7"/>
        <v>2.0430000000000001E-4</v>
      </c>
    </row>
    <row r="271" spans="1:11">
      <c r="A271" s="109">
        <v>270</v>
      </c>
      <c r="B271" s="109" t="s">
        <v>407</v>
      </c>
      <c r="C271" s="109" t="s">
        <v>408</v>
      </c>
      <c r="D271" s="109" t="s">
        <v>897</v>
      </c>
      <c r="E271" s="2" t="s">
        <v>363</v>
      </c>
      <c r="F271" s="2"/>
      <c r="G271" s="2">
        <v>3</v>
      </c>
      <c r="H271" s="2" t="s">
        <v>250</v>
      </c>
      <c r="I271" s="2" t="s">
        <v>364</v>
      </c>
      <c r="J271" s="2">
        <v>3561.02</v>
      </c>
      <c r="K271" s="113">
        <f t="shared" si="7"/>
        <v>1.068306E-3</v>
      </c>
    </row>
    <row r="272" spans="1:11">
      <c r="A272" s="109">
        <v>271</v>
      </c>
      <c r="B272" s="109" t="s">
        <v>407</v>
      </c>
      <c r="C272" s="109" t="s">
        <v>408</v>
      </c>
      <c r="D272" s="109" t="s">
        <v>897</v>
      </c>
      <c r="E272" s="2" t="s">
        <v>365</v>
      </c>
      <c r="F272" s="2"/>
      <c r="G272" s="2">
        <v>1</v>
      </c>
      <c r="H272" s="2" t="s">
        <v>250</v>
      </c>
      <c r="I272" s="2" t="s">
        <v>364</v>
      </c>
      <c r="J272" s="2">
        <v>3877.12</v>
      </c>
      <c r="K272" s="113">
        <f t="shared" si="7"/>
        <v>3.8771199999999996E-4</v>
      </c>
    </row>
    <row r="273" spans="1:11">
      <c r="A273" s="109">
        <v>272</v>
      </c>
      <c r="B273" s="109" t="s">
        <v>407</v>
      </c>
      <c r="C273" s="109" t="s">
        <v>408</v>
      </c>
      <c r="D273" s="109" t="s">
        <v>897</v>
      </c>
      <c r="E273" s="2" t="s">
        <v>366</v>
      </c>
      <c r="F273" s="2"/>
      <c r="G273" s="2">
        <v>12</v>
      </c>
      <c r="H273" s="2" t="s">
        <v>250</v>
      </c>
      <c r="I273" s="2" t="s">
        <v>364</v>
      </c>
      <c r="J273" s="2">
        <v>612.26</v>
      </c>
      <c r="K273" s="113">
        <f t="shared" si="7"/>
        <v>7.34712E-4</v>
      </c>
    </row>
    <row r="274" spans="1:11">
      <c r="A274" s="109">
        <v>273</v>
      </c>
      <c r="B274" s="109" t="s">
        <v>407</v>
      </c>
      <c r="C274" s="109" t="s">
        <v>408</v>
      </c>
      <c r="D274" s="109" t="s">
        <v>897</v>
      </c>
      <c r="E274" s="2" t="s">
        <v>367</v>
      </c>
      <c r="F274" s="2"/>
      <c r="G274" s="2">
        <v>3</v>
      </c>
      <c r="H274" s="2" t="s">
        <v>250</v>
      </c>
      <c r="I274" s="2" t="s">
        <v>364</v>
      </c>
      <c r="J274" s="2">
        <v>1136.32</v>
      </c>
      <c r="K274" s="113">
        <f t="shared" si="7"/>
        <v>3.4089599999999998E-4</v>
      </c>
    </row>
    <row r="275" spans="1:11">
      <c r="A275" s="109">
        <v>274</v>
      </c>
      <c r="B275" s="109" t="s">
        <v>407</v>
      </c>
      <c r="C275" s="109" t="s">
        <v>408</v>
      </c>
      <c r="D275" s="109" t="s">
        <v>897</v>
      </c>
      <c r="E275" s="2" t="s">
        <v>368</v>
      </c>
      <c r="F275" s="2"/>
      <c r="G275" s="2">
        <v>4</v>
      </c>
      <c r="H275" s="2" t="s">
        <v>250</v>
      </c>
      <c r="I275" s="2" t="s">
        <v>364</v>
      </c>
      <c r="J275" s="2">
        <v>3033</v>
      </c>
      <c r="K275" s="113">
        <f t="shared" si="7"/>
        <v>1.2132E-3</v>
      </c>
    </row>
    <row r="276" spans="1:11">
      <c r="A276" s="109">
        <v>275</v>
      </c>
      <c r="B276" s="109" t="s">
        <v>407</v>
      </c>
      <c r="C276" s="109" t="s">
        <v>408</v>
      </c>
      <c r="D276" s="109" t="s">
        <v>897</v>
      </c>
      <c r="E276" s="2" t="s">
        <v>369</v>
      </c>
      <c r="F276" s="2"/>
      <c r="G276" s="2">
        <v>2</v>
      </c>
      <c r="H276" s="2" t="s">
        <v>250</v>
      </c>
      <c r="I276" s="2"/>
      <c r="J276" s="2">
        <v>4225.8999999999996</v>
      </c>
      <c r="K276" s="113">
        <f t="shared" si="7"/>
        <v>8.4517999999999995E-4</v>
      </c>
    </row>
    <row r="277" spans="1:11">
      <c r="A277" s="109">
        <v>276</v>
      </c>
      <c r="B277" s="109" t="s">
        <v>407</v>
      </c>
      <c r="C277" s="109" t="s">
        <v>408</v>
      </c>
      <c r="D277" s="109" t="s">
        <v>897</v>
      </c>
      <c r="E277" s="2" t="s">
        <v>370</v>
      </c>
      <c r="F277" s="2"/>
      <c r="G277" s="2">
        <v>1</v>
      </c>
      <c r="H277" s="2" t="s">
        <v>250</v>
      </c>
      <c r="I277" s="2"/>
      <c r="J277" s="2">
        <v>4225.8999999999996</v>
      </c>
      <c r="K277" s="113">
        <f t="shared" si="7"/>
        <v>4.2258999999999998E-4</v>
      </c>
    </row>
    <row r="278" spans="1:11">
      <c r="A278" s="109">
        <v>277</v>
      </c>
      <c r="B278" s="109" t="s">
        <v>407</v>
      </c>
      <c r="C278" s="109" t="s">
        <v>408</v>
      </c>
      <c r="D278" s="109" t="s">
        <v>897</v>
      </c>
      <c r="E278" s="2" t="s">
        <v>371</v>
      </c>
      <c r="F278" s="2"/>
      <c r="G278" s="2">
        <v>180</v>
      </c>
      <c r="H278" s="2" t="s">
        <v>250</v>
      </c>
      <c r="I278" s="2" t="s">
        <v>364</v>
      </c>
      <c r="J278" s="2">
        <v>122</v>
      </c>
      <c r="K278" s="113">
        <f t="shared" si="7"/>
        <v>2.196E-3</v>
      </c>
    </row>
    <row r="279" spans="1:11">
      <c r="A279" s="109">
        <v>278</v>
      </c>
      <c r="B279" s="109" t="s">
        <v>407</v>
      </c>
      <c r="C279" s="109" t="s">
        <v>408</v>
      </c>
      <c r="D279" s="109" t="s">
        <v>897</v>
      </c>
      <c r="E279" s="2" t="s">
        <v>372</v>
      </c>
      <c r="F279" s="2"/>
      <c r="G279" s="2">
        <v>33</v>
      </c>
      <c r="H279" s="2" t="s">
        <v>250</v>
      </c>
      <c r="I279" s="2" t="s">
        <v>364</v>
      </c>
      <c r="J279" s="2">
        <v>85</v>
      </c>
      <c r="K279" s="113">
        <f t="shared" si="7"/>
        <v>2.8049999999999999E-4</v>
      </c>
    </row>
    <row r="280" spans="1:11">
      <c r="A280" s="109">
        <v>279</v>
      </c>
      <c r="B280" s="109" t="s">
        <v>407</v>
      </c>
      <c r="C280" s="109" t="s">
        <v>408</v>
      </c>
      <c r="D280" s="109" t="s">
        <v>897</v>
      </c>
      <c r="E280" s="2" t="s">
        <v>373</v>
      </c>
      <c r="F280" s="2"/>
      <c r="G280" s="2">
        <v>10</v>
      </c>
      <c r="H280" s="2" t="s">
        <v>250</v>
      </c>
      <c r="I280" s="2" t="s">
        <v>364</v>
      </c>
      <c r="J280" s="2">
        <v>50.15</v>
      </c>
      <c r="K280" s="113">
        <f t="shared" si="7"/>
        <v>5.0149999999999999E-5</v>
      </c>
    </row>
    <row r="281" spans="1:11">
      <c r="A281" s="109">
        <v>280</v>
      </c>
      <c r="B281" s="109" t="s">
        <v>407</v>
      </c>
      <c r="C281" s="109" t="s">
        <v>408</v>
      </c>
      <c r="D281" s="109" t="s">
        <v>897</v>
      </c>
      <c r="E281" s="2" t="s">
        <v>374</v>
      </c>
      <c r="F281" s="2"/>
      <c r="G281" s="2">
        <v>400</v>
      </c>
      <c r="H281" s="2" t="s">
        <v>250</v>
      </c>
      <c r="I281" s="2" t="s">
        <v>364</v>
      </c>
      <c r="J281" s="2">
        <v>50.15</v>
      </c>
      <c r="K281" s="113">
        <f t="shared" si="7"/>
        <v>2.006E-3</v>
      </c>
    </row>
    <row r="282" spans="1:11">
      <c r="A282" s="109">
        <v>281</v>
      </c>
      <c r="B282" s="109" t="s">
        <v>407</v>
      </c>
      <c r="C282" s="109" t="s">
        <v>408</v>
      </c>
      <c r="D282" s="109" t="s">
        <v>897</v>
      </c>
      <c r="E282" s="2" t="s">
        <v>375</v>
      </c>
      <c r="F282" s="2"/>
      <c r="G282" s="2">
        <v>240</v>
      </c>
      <c r="H282" s="2" t="s">
        <v>250</v>
      </c>
      <c r="I282" s="2" t="s">
        <v>364</v>
      </c>
      <c r="J282" s="2">
        <v>138</v>
      </c>
      <c r="K282" s="113">
        <f t="shared" si="7"/>
        <v>3.3119999999999998E-3</v>
      </c>
    </row>
    <row r="283" spans="1:11">
      <c r="A283" s="109">
        <v>282</v>
      </c>
      <c r="B283" s="109" t="s">
        <v>407</v>
      </c>
      <c r="C283" s="109" t="s">
        <v>408</v>
      </c>
      <c r="D283" s="109" t="s">
        <v>897</v>
      </c>
      <c r="E283" s="2" t="s">
        <v>376</v>
      </c>
      <c r="F283" s="2"/>
      <c r="G283" s="2">
        <v>70</v>
      </c>
      <c r="H283" s="2" t="s">
        <v>250</v>
      </c>
      <c r="I283" s="2" t="s">
        <v>364</v>
      </c>
      <c r="J283" s="2">
        <v>77</v>
      </c>
      <c r="K283" s="113">
        <f t="shared" si="7"/>
        <v>5.3899999999999998E-4</v>
      </c>
    </row>
    <row r="284" spans="1:11">
      <c r="A284" s="109">
        <v>283</v>
      </c>
      <c r="B284" s="109" t="s">
        <v>407</v>
      </c>
      <c r="C284" s="109" t="s">
        <v>408</v>
      </c>
      <c r="D284" s="109" t="s">
        <v>897</v>
      </c>
      <c r="E284" s="2" t="s">
        <v>377</v>
      </c>
      <c r="F284" s="2"/>
      <c r="G284" s="2">
        <v>55</v>
      </c>
      <c r="H284" s="2" t="s">
        <v>250</v>
      </c>
      <c r="I284" s="2" t="s">
        <v>364</v>
      </c>
      <c r="J284" s="2">
        <v>47</v>
      </c>
      <c r="K284" s="113">
        <f t="shared" si="7"/>
        <v>2.5849999999999999E-4</v>
      </c>
    </row>
    <row r="285" spans="1:11">
      <c r="A285" s="109">
        <v>284</v>
      </c>
      <c r="B285" s="109" t="s">
        <v>407</v>
      </c>
      <c r="C285" s="109" t="s">
        <v>408</v>
      </c>
      <c r="D285" s="109" t="s">
        <v>897</v>
      </c>
      <c r="E285" s="2" t="s">
        <v>378</v>
      </c>
      <c r="F285" s="2"/>
      <c r="G285" s="2">
        <v>25</v>
      </c>
      <c r="H285" s="2" t="s">
        <v>250</v>
      </c>
      <c r="I285" s="2" t="s">
        <v>364</v>
      </c>
      <c r="J285" s="2">
        <v>85</v>
      </c>
      <c r="K285" s="113">
        <f t="shared" si="7"/>
        <v>2.1249999999999999E-4</v>
      </c>
    </row>
    <row r="286" spans="1:11">
      <c r="A286" s="109">
        <v>285</v>
      </c>
      <c r="B286" s="109" t="s">
        <v>407</v>
      </c>
      <c r="C286" s="109" t="s">
        <v>408</v>
      </c>
      <c r="D286" s="109" t="s">
        <v>897</v>
      </c>
      <c r="E286" s="2" t="s">
        <v>379</v>
      </c>
      <c r="F286" s="2"/>
      <c r="G286" s="2">
        <v>66</v>
      </c>
      <c r="H286" s="2" t="s">
        <v>250</v>
      </c>
      <c r="I286" s="2" t="s">
        <v>364</v>
      </c>
      <c r="J286" s="2">
        <v>66</v>
      </c>
      <c r="K286" s="113">
        <f t="shared" si="7"/>
        <v>4.3560000000000002E-4</v>
      </c>
    </row>
    <row r="287" spans="1:11">
      <c r="A287" s="109">
        <v>286</v>
      </c>
      <c r="B287" s="109" t="s">
        <v>407</v>
      </c>
      <c r="C287" s="109" t="s">
        <v>408</v>
      </c>
      <c r="D287" s="109" t="s">
        <v>897</v>
      </c>
      <c r="E287" s="2" t="s">
        <v>380</v>
      </c>
      <c r="F287" s="2"/>
      <c r="G287" s="2">
        <v>30</v>
      </c>
      <c r="H287" s="2" t="s">
        <v>250</v>
      </c>
      <c r="I287" s="2" t="s">
        <v>364</v>
      </c>
      <c r="J287" s="2">
        <v>52</v>
      </c>
      <c r="K287" s="113">
        <f t="shared" si="7"/>
        <v>1.56E-4</v>
      </c>
    </row>
    <row r="288" spans="1:11">
      <c r="A288" s="109">
        <v>287</v>
      </c>
      <c r="B288" s="109" t="s">
        <v>407</v>
      </c>
      <c r="C288" s="109" t="s">
        <v>408</v>
      </c>
      <c r="D288" s="109" t="s">
        <v>897</v>
      </c>
      <c r="E288" s="2" t="s">
        <v>381</v>
      </c>
      <c r="F288" s="2"/>
      <c r="G288" s="2">
        <v>210</v>
      </c>
      <c r="H288" s="2" t="s">
        <v>250</v>
      </c>
      <c r="I288" s="2" t="s">
        <v>364</v>
      </c>
      <c r="J288" s="2">
        <v>42</v>
      </c>
      <c r="K288" s="113">
        <f t="shared" si="7"/>
        <v>8.8199999999999997E-4</v>
      </c>
    </row>
    <row r="289" spans="1:11">
      <c r="A289" s="109">
        <v>288</v>
      </c>
      <c r="B289" s="109" t="s">
        <v>407</v>
      </c>
      <c r="C289" s="109" t="s">
        <v>408</v>
      </c>
      <c r="D289" s="109" t="s">
        <v>897</v>
      </c>
      <c r="E289" s="2" t="s">
        <v>381</v>
      </c>
      <c r="F289" s="2"/>
      <c r="G289" s="2">
        <v>88</v>
      </c>
      <c r="H289" s="2" t="s">
        <v>250</v>
      </c>
      <c r="I289" s="2" t="s">
        <v>382</v>
      </c>
      <c r="J289" s="2">
        <v>42</v>
      </c>
      <c r="K289" s="113">
        <f t="shared" si="7"/>
        <v>3.6959999999999998E-4</v>
      </c>
    </row>
    <row r="290" spans="1:11">
      <c r="A290" s="109">
        <v>289</v>
      </c>
      <c r="B290" s="109" t="s">
        <v>407</v>
      </c>
      <c r="C290" s="109" t="s">
        <v>408</v>
      </c>
      <c r="D290" s="109" t="s">
        <v>897</v>
      </c>
      <c r="E290" s="2" t="s">
        <v>383</v>
      </c>
      <c r="F290" s="2"/>
      <c r="G290" s="2">
        <v>1</v>
      </c>
      <c r="H290" s="2" t="s">
        <v>250</v>
      </c>
      <c r="I290" s="2" t="s">
        <v>382</v>
      </c>
      <c r="J290" s="2">
        <v>847.11</v>
      </c>
      <c r="K290" s="113">
        <f t="shared" si="7"/>
        <v>8.4710999999999996E-5</v>
      </c>
    </row>
    <row r="291" spans="1:11">
      <c r="A291" s="109">
        <v>290</v>
      </c>
      <c r="B291" s="109" t="s">
        <v>407</v>
      </c>
      <c r="C291" s="109" t="s">
        <v>408</v>
      </c>
      <c r="D291" s="109" t="s">
        <v>897</v>
      </c>
      <c r="E291" s="2" t="s">
        <v>384</v>
      </c>
      <c r="F291" s="2"/>
      <c r="G291" s="2">
        <v>1</v>
      </c>
      <c r="H291" s="2" t="s">
        <v>250</v>
      </c>
      <c r="I291" s="2" t="s">
        <v>382</v>
      </c>
      <c r="J291" s="2">
        <v>351.19</v>
      </c>
      <c r="K291" s="113">
        <f t="shared" si="7"/>
        <v>3.5119E-5</v>
      </c>
    </row>
    <row r="292" spans="1:11">
      <c r="A292" s="109">
        <v>291</v>
      </c>
      <c r="B292" s="109" t="s">
        <v>407</v>
      </c>
      <c r="C292" s="109" t="s">
        <v>408</v>
      </c>
      <c r="D292" s="109" t="s">
        <v>897</v>
      </c>
      <c r="E292" s="2" t="s">
        <v>385</v>
      </c>
      <c r="F292" s="2"/>
      <c r="G292" s="2">
        <v>3</v>
      </c>
      <c r="H292" s="2" t="s">
        <v>250</v>
      </c>
      <c r="I292" s="2" t="s">
        <v>382</v>
      </c>
      <c r="J292" s="2">
        <v>1449.77</v>
      </c>
      <c r="K292" s="113">
        <f t="shared" si="7"/>
        <v>4.3493099999999995E-4</v>
      </c>
    </row>
    <row r="293" spans="1:11">
      <c r="A293" s="109">
        <v>292</v>
      </c>
      <c r="B293" s="109" t="s">
        <v>407</v>
      </c>
      <c r="C293" s="109" t="s">
        <v>408</v>
      </c>
      <c r="D293" s="109" t="s">
        <v>897</v>
      </c>
      <c r="E293" s="2" t="s">
        <v>386</v>
      </c>
      <c r="F293" s="2"/>
      <c r="G293" s="2">
        <v>3</v>
      </c>
      <c r="H293" s="2" t="s">
        <v>250</v>
      </c>
      <c r="I293" s="2" t="s">
        <v>382</v>
      </c>
      <c r="J293" s="2">
        <v>357.03</v>
      </c>
      <c r="K293" s="113">
        <f t="shared" si="7"/>
        <v>1.0710899999999999E-4</v>
      </c>
    </row>
    <row r="294" spans="1:11">
      <c r="A294" s="109">
        <v>293</v>
      </c>
      <c r="B294" s="109" t="s">
        <v>407</v>
      </c>
      <c r="C294" s="109" t="s">
        <v>408</v>
      </c>
      <c r="D294" s="109" t="s">
        <v>897</v>
      </c>
      <c r="E294" s="2" t="s">
        <v>387</v>
      </c>
      <c r="F294" s="2"/>
      <c r="G294" s="2">
        <v>3</v>
      </c>
      <c r="H294" s="2" t="s">
        <v>250</v>
      </c>
      <c r="I294" s="2" t="s">
        <v>382</v>
      </c>
      <c r="J294" s="2">
        <v>655.69</v>
      </c>
      <c r="K294" s="113">
        <f t="shared" si="7"/>
        <v>1.9670700000000001E-4</v>
      </c>
    </row>
    <row r="295" spans="1:11">
      <c r="A295" s="109">
        <v>294</v>
      </c>
      <c r="B295" s="109" t="s">
        <v>407</v>
      </c>
      <c r="C295" s="109" t="s">
        <v>408</v>
      </c>
      <c r="D295" s="109" t="s">
        <v>897</v>
      </c>
      <c r="E295" s="2" t="s">
        <v>387</v>
      </c>
      <c r="F295" s="2"/>
      <c r="G295" s="2">
        <v>2</v>
      </c>
      <c r="H295" s="2" t="s">
        <v>250</v>
      </c>
      <c r="I295" s="2" t="s">
        <v>382</v>
      </c>
      <c r="J295" s="2">
        <v>655.69</v>
      </c>
      <c r="K295" s="113">
        <f t="shared" si="7"/>
        <v>1.3113800000000002E-4</v>
      </c>
    </row>
    <row r="296" spans="1:11">
      <c r="A296" s="109">
        <v>295</v>
      </c>
      <c r="B296" s="109" t="s">
        <v>407</v>
      </c>
      <c r="C296" s="109" t="s">
        <v>408</v>
      </c>
      <c r="D296" s="109" t="s">
        <v>897</v>
      </c>
      <c r="E296" s="2" t="s">
        <v>385</v>
      </c>
      <c r="F296" s="2"/>
      <c r="G296" s="2">
        <v>2</v>
      </c>
      <c r="H296" s="2" t="s">
        <v>250</v>
      </c>
      <c r="I296" s="2" t="s">
        <v>382</v>
      </c>
      <c r="J296" s="2">
        <v>1449.77</v>
      </c>
      <c r="K296" s="113">
        <f t="shared" si="7"/>
        <v>2.8995399999999998E-4</v>
      </c>
    </row>
    <row r="297" spans="1:11">
      <c r="A297" s="109">
        <v>296</v>
      </c>
      <c r="B297" s="109" t="s">
        <v>407</v>
      </c>
      <c r="C297" s="109" t="s">
        <v>408</v>
      </c>
      <c r="D297" s="109" t="s">
        <v>897</v>
      </c>
      <c r="E297" s="2" t="s">
        <v>388</v>
      </c>
      <c r="F297" s="2"/>
      <c r="G297" s="2">
        <v>2</v>
      </c>
      <c r="H297" s="2" t="s">
        <v>250</v>
      </c>
      <c r="I297" s="2" t="s">
        <v>382</v>
      </c>
      <c r="J297" s="2">
        <v>357.03</v>
      </c>
      <c r="K297" s="113">
        <f t="shared" si="7"/>
        <v>7.1406E-5</v>
      </c>
    </row>
    <row r="298" spans="1:11">
      <c r="A298" s="109">
        <v>297</v>
      </c>
      <c r="B298" s="109" t="s">
        <v>407</v>
      </c>
      <c r="C298" s="109" t="s">
        <v>408</v>
      </c>
      <c r="D298" s="109" t="s">
        <v>897</v>
      </c>
      <c r="E298" s="2" t="s">
        <v>385</v>
      </c>
      <c r="F298" s="2"/>
      <c r="G298" s="2">
        <v>3</v>
      </c>
      <c r="H298" s="2" t="s">
        <v>250</v>
      </c>
      <c r="I298" s="2" t="s">
        <v>382</v>
      </c>
      <c r="J298" s="2">
        <v>1449.77</v>
      </c>
      <c r="K298" s="113">
        <f t="shared" si="7"/>
        <v>4.3493099999999995E-4</v>
      </c>
    </row>
    <row r="299" spans="1:11">
      <c r="A299" s="109">
        <v>298</v>
      </c>
      <c r="B299" s="109" t="s">
        <v>407</v>
      </c>
      <c r="C299" s="109" t="s">
        <v>408</v>
      </c>
      <c r="D299" s="109" t="s">
        <v>897</v>
      </c>
      <c r="E299" s="2" t="s">
        <v>389</v>
      </c>
      <c r="F299" s="2"/>
      <c r="G299" s="2">
        <v>3</v>
      </c>
      <c r="H299" s="2" t="s">
        <v>250</v>
      </c>
      <c r="I299" s="2" t="s">
        <v>382</v>
      </c>
      <c r="J299" s="2">
        <v>579.73</v>
      </c>
      <c r="K299" s="113">
        <f t="shared" si="7"/>
        <v>1.73919E-4</v>
      </c>
    </row>
    <row r="300" spans="1:11">
      <c r="A300" s="109">
        <v>299</v>
      </c>
      <c r="B300" s="109" t="s">
        <v>407</v>
      </c>
      <c r="C300" s="109" t="s">
        <v>408</v>
      </c>
      <c r="D300" s="109" t="s">
        <v>897</v>
      </c>
      <c r="E300" s="2" t="s">
        <v>387</v>
      </c>
      <c r="F300" s="2"/>
      <c r="G300" s="2">
        <v>3</v>
      </c>
      <c r="H300" s="2" t="s">
        <v>250</v>
      </c>
      <c r="I300" s="2" t="s">
        <v>382</v>
      </c>
      <c r="J300" s="2">
        <v>655.69</v>
      </c>
      <c r="K300" s="113">
        <f t="shared" si="7"/>
        <v>1.9670700000000001E-4</v>
      </c>
    </row>
    <row r="301" spans="1:11">
      <c r="A301" s="109">
        <v>300</v>
      </c>
      <c r="B301" s="109" t="s">
        <v>407</v>
      </c>
      <c r="C301" s="109" t="s">
        <v>408</v>
      </c>
      <c r="D301" s="109" t="s">
        <v>897</v>
      </c>
      <c r="E301" s="2" t="s">
        <v>390</v>
      </c>
      <c r="F301" s="2"/>
      <c r="G301" s="2">
        <v>1</v>
      </c>
      <c r="H301" s="2" t="s">
        <v>250</v>
      </c>
      <c r="I301" s="2" t="s">
        <v>382</v>
      </c>
      <c r="J301" s="2">
        <v>1133.96</v>
      </c>
      <c r="K301" s="113">
        <f t="shared" si="7"/>
        <v>1.1339600000000001E-4</v>
      </c>
    </row>
    <row r="302" spans="1:11">
      <c r="A302" s="109">
        <v>301</v>
      </c>
      <c r="B302" s="109" t="s">
        <v>407</v>
      </c>
      <c r="C302" s="109" t="s">
        <v>408</v>
      </c>
      <c r="D302" s="109" t="s">
        <v>897</v>
      </c>
      <c r="E302" s="2" t="s">
        <v>391</v>
      </c>
      <c r="F302" s="2"/>
      <c r="G302" s="2">
        <v>1</v>
      </c>
      <c r="H302" s="2" t="s">
        <v>250</v>
      </c>
      <c r="I302" s="2" t="s">
        <v>382</v>
      </c>
      <c r="J302" s="2">
        <v>2767.64</v>
      </c>
      <c r="K302" s="113">
        <f t="shared" si="7"/>
        <v>2.7676399999999998E-4</v>
      </c>
    </row>
    <row r="303" spans="1:11">
      <c r="A303" s="109">
        <v>302</v>
      </c>
      <c r="B303" s="109" t="s">
        <v>407</v>
      </c>
      <c r="C303" s="109" t="s">
        <v>408</v>
      </c>
      <c r="D303" s="109" t="s">
        <v>897</v>
      </c>
      <c r="E303" s="2" t="s">
        <v>392</v>
      </c>
      <c r="F303" s="2"/>
      <c r="G303" s="2">
        <v>1</v>
      </c>
      <c r="H303" s="2" t="s">
        <v>250</v>
      </c>
      <c r="I303" s="2" t="s">
        <v>382</v>
      </c>
      <c r="J303" s="2">
        <v>3359.53</v>
      </c>
      <c r="K303" s="113">
        <f t="shared" si="7"/>
        <v>3.35953E-4</v>
      </c>
    </row>
    <row r="304" spans="1:11">
      <c r="A304" s="109">
        <v>303</v>
      </c>
      <c r="B304" s="109" t="s">
        <v>407</v>
      </c>
      <c r="C304" s="109" t="s">
        <v>408</v>
      </c>
      <c r="D304" s="109" t="s">
        <v>897</v>
      </c>
      <c r="E304" s="2" t="s">
        <v>392</v>
      </c>
      <c r="F304" s="2"/>
      <c r="G304" s="2">
        <v>7</v>
      </c>
      <c r="H304" s="2" t="s">
        <v>250</v>
      </c>
      <c r="I304" s="2" t="s">
        <v>382</v>
      </c>
      <c r="J304" s="2">
        <v>3359.53</v>
      </c>
      <c r="K304" s="113">
        <f t="shared" si="7"/>
        <v>2.3516710000000005E-3</v>
      </c>
    </row>
    <row r="305" spans="1:11">
      <c r="A305" s="109">
        <v>304</v>
      </c>
      <c r="B305" s="109" t="s">
        <v>407</v>
      </c>
      <c r="C305" s="109" t="s">
        <v>408</v>
      </c>
      <c r="D305" s="109" t="s">
        <v>897</v>
      </c>
      <c r="E305" s="2" t="s">
        <v>393</v>
      </c>
      <c r="F305" s="2"/>
      <c r="G305" s="2">
        <v>6</v>
      </c>
      <c r="H305" s="2" t="s">
        <v>250</v>
      </c>
      <c r="I305" s="2" t="s">
        <v>382</v>
      </c>
      <c r="J305" s="2">
        <v>610.4</v>
      </c>
      <c r="K305" s="113">
        <f t="shared" si="7"/>
        <v>3.6623999999999999E-4</v>
      </c>
    </row>
    <row r="306" spans="1:11">
      <c r="A306" s="109">
        <v>305</v>
      </c>
      <c r="B306" s="109" t="s">
        <v>407</v>
      </c>
      <c r="C306" s="109" t="s">
        <v>408</v>
      </c>
      <c r="D306" s="109" t="s">
        <v>897</v>
      </c>
      <c r="E306" s="2" t="s">
        <v>394</v>
      </c>
      <c r="F306" s="2"/>
      <c r="G306" s="2">
        <v>7</v>
      </c>
      <c r="H306" s="2" t="s">
        <v>250</v>
      </c>
      <c r="I306" s="2" t="s">
        <v>382</v>
      </c>
      <c r="J306" s="2">
        <v>2767.64</v>
      </c>
      <c r="K306" s="113">
        <f t="shared" si="7"/>
        <v>1.937348E-3</v>
      </c>
    </row>
    <row r="307" spans="1:11">
      <c r="A307" s="109">
        <v>306</v>
      </c>
      <c r="B307" s="109" t="s">
        <v>407</v>
      </c>
      <c r="C307" s="109" t="s">
        <v>408</v>
      </c>
      <c r="D307" s="109" t="s">
        <v>897</v>
      </c>
      <c r="E307" s="2" t="s">
        <v>392</v>
      </c>
      <c r="F307" s="2"/>
      <c r="G307" s="2">
        <v>5</v>
      </c>
      <c r="H307" s="2" t="s">
        <v>250</v>
      </c>
      <c r="I307" s="2" t="s">
        <v>382</v>
      </c>
      <c r="J307" s="2">
        <v>3359.53</v>
      </c>
      <c r="K307" s="113">
        <f t="shared" si="7"/>
        <v>1.6797650000000002E-3</v>
      </c>
    </row>
    <row r="308" spans="1:11">
      <c r="A308" s="109">
        <v>307</v>
      </c>
      <c r="B308" s="109" t="s">
        <v>407</v>
      </c>
      <c r="C308" s="109" t="s">
        <v>408</v>
      </c>
      <c r="D308" s="109" t="s">
        <v>897</v>
      </c>
      <c r="E308" s="2" t="s">
        <v>395</v>
      </c>
      <c r="F308" s="2"/>
      <c r="G308" s="2">
        <v>5</v>
      </c>
      <c r="H308" s="2" t="s">
        <v>250</v>
      </c>
      <c r="I308" s="2" t="s">
        <v>382</v>
      </c>
      <c r="J308" s="2">
        <v>2767.64</v>
      </c>
      <c r="K308" s="113">
        <f t="shared" si="7"/>
        <v>1.3838199999999998E-3</v>
      </c>
    </row>
    <row r="309" spans="1:11">
      <c r="A309" s="109">
        <v>308</v>
      </c>
      <c r="B309" s="109" t="s">
        <v>407</v>
      </c>
      <c r="C309" s="109" t="s">
        <v>408</v>
      </c>
      <c r="D309" s="109" t="s">
        <v>897</v>
      </c>
      <c r="E309" s="2" t="s">
        <v>396</v>
      </c>
      <c r="F309" s="2"/>
      <c r="G309" s="2">
        <v>1</v>
      </c>
      <c r="H309" s="2" t="s">
        <v>250</v>
      </c>
      <c r="I309" s="2" t="s">
        <v>382</v>
      </c>
      <c r="J309" s="2">
        <v>2773.59</v>
      </c>
      <c r="K309" s="113">
        <f t="shared" si="7"/>
        <v>2.7735900000000003E-4</v>
      </c>
    </row>
    <row r="310" spans="1:11">
      <c r="A310" s="109">
        <v>309</v>
      </c>
      <c r="B310" s="109" t="s">
        <v>407</v>
      </c>
      <c r="C310" s="109" t="s">
        <v>408</v>
      </c>
      <c r="D310" s="109" t="s">
        <v>897</v>
      </c>
      <c r="E310" s="2" t="s">
        <v>397</v>
      </c>
      <c r="F310" s="2"/>
      <c r="G310" s="2">
        <v>1</v>
      </c>
      <c r="H310" s="2" t="s">
        <v>250</v>
      </c>
      <c r="I310" s="2" t="s">
        <v>382</v>
      </c>
      <c r="J310" s="2">
        <v>9988.4500000000007</v>
      </c>
      <c r="K310" s="113">
        <f t="shared" si="7"/>
        <v>9.9884500000000016E-4</v>
      </c>
    </row>
    <row r="311" spans="1:11">
      <c r="A311" s="109">
        <v>310</v>
      </c>
      <c r="B311" s="109" t="s">
        <v>407</v>
      </c>
      <c r="C311" s="109" t="s">
        <v>408</v>
      </c>
      <c r="D311" s="109" t="s">
        <v>978</v>
      </c>
      <c r="E311" s="2" t="s">
        <v>398</v>
      </c>
      <c r="F311" s="2"/>
      <c r="G311" s="2">
        <v>1</v>
      </c>
      <c r="H311" s="2" t="s">
        <v>250</v>
      </c>
      <c r="I311" s="2" t="s">
        <v>382</v>
      </c>
      <c r="J311" s="2">
        <v>13210.99</v>
      </c>
      <c r="K311" s="113">
        <f t="shared" si="7"/>
        <v>1.3210990000000001E-3</v>
      </c>
    </row>
    <row r="312" spans="1:11">
      <c r="A312" s="109">
        <v>311</v>
      </c>
      <c r="B312" s="109" t="s">
        <v>407</v>
      </c>
      <c r="C312" s="109" t="s">
        <v>408</v>
      </c>
      <c r="D312" s="109" t="s">
        <v>899</v>
      </c>
      <c r="E312" s="2" t="s">
        <v>399</v>
      </c>
      <c r="F312" s="2"/>
      <c r="G312" s="2">
        <v>184</v>
      </c>
      <c r="H312" s="2" t="s">
        <v>355</v>
      </c>
      <c r="I312" s="2" t="s">
        <v>400</v>
      </c>
      <c r="J312" s="2">
        <v>295</v>
      </c>
      <c r="K312" s="113">
        <f t="shared" si="7"/>
        <v>5.4279999999999997E-3</v>
      </c>
    </row>
    <row r="313" spans="1:11">
      <c r="A313" s="109">
        <v>312</v>
      </c>
      <c r="B313" s="109" t="s">
        <v>407</v>
      </c>
      <c r="C313" s="109" t="s">
        <v>408</v>
      </c>
      <c r="D313" s="109" t="s">
        <v>899</v>
      </c>
      <c r="E313" s="2" t="s">
        <v>401</v>
      </c>
      <c r="F313" s="2"/>
      <c r="G313" s="2">
        <v>190</v>
      </c>
      <c r="H313" s="2" t="s">
        <v>355</v>
      </c>
      <c r="I313" s="2" t="s">
        <v>400</v>
      </c>
      <c r="J313" s="2">
        <v>214</v>
      </c>
      <c r="K313" s="113">
        <f t="shared" si="7"/>
        <v>4.0660000000000002E-3</v>
      </c>
    </row>
    <row r="314" spans="1:11">
      <c r="A314" s="109">
        <v>313</v>
      </c>
      <c r="B314" s="109" t="s">
        <v>407</v>
      </c>
      <c r="C314" s="109" t="s">
        <v>408</v>
      </c>
      <c r="D314" s="109" t="s">
        <v>899</v>
      </c>
      <c r="E314" s="2" t="s">
        <v>402</v>
      </c>
      <c r="F314" s="2"/>
      <c r="G314" s="2">
        <v>573</v>
      </c>
      <c r="H314" s="2" t="s">
        <v>355</v>
      </c>
      <c r="I314" s="2" t="s">
        <v>400</v>
      </c>
      <c r="J314" s="2">
        <v>443</v>
      </c>
      <c r="K314" s="113">
        <f t="shared" si="7"/>
        <v>2.5383900000000001E-2</v>
      </c>
    </row>
    <row r="315" spans="1:11">
      <c r="A315" s="109">
        <v>314</v>
      </c>
      <c r="B315" s="109" t="s">
        <v>407</v>
      </c>
      <c r="C315" s="109" t="s">
        <v>408</v>
      </c>
      <c r="D315" s="109" t="s">
        <v>899</v>
      </c>
      <c r="E315" s="2" t="s">
        <v>403</v>
      </c>
      <c r="F315" s="2"/>
      <c r="G315" s="2">
        <v>131</v>
      </c>
      <c r="H315" s="2" t="s">
        <v>355</v>
      </c>
      <c r="I315" s="2" t="s">
        <v>400</v>
      </c>
      <c r="J315" s="2">
        <v>334.35</v>
      </c>
      <c r="K315" s="113">
        <f t="shared" si="7"/>
        <v>4.3799850000000003E-3</v>
      </c>
    </row>
    <row r="316" spans="1:11">
      <c r="A316" s="109">
        <v>315</v>
      </c>
      <c r="B316" s="109" t="s">
        <v>407</v>
      </c>
      <c r="C316" s="109" t="s">
        <v>408</v>
      </c>
      <c r="D316" s="109" t="s">
        <v>899</v>
      </c>
      <c r="E316" s="2" t="s">
        <v>404</v>
      </c>
      <c r="F316" s="2"/>
      <c r="G316" s="2">
        <v>92</v>
      </c>
      <c r="H316" s="2" t="s">
        <v>355</v>
      </c>
      <c r="I316" s="2" t="s">
        <v>400</v>
      </c>
      <c r="J316" s="2">
        <v>696</v>
      </c>
      <c r="K316" s="113">
        <f t="shared" si="7"/>
        <v>6.4032000000000004E-3</v>
      </c>
    </row>
    <row r="317" spans="1:11">
      <c r="A317" s="109">
        <v>316</v>
      </c>
      <c r="B317" s="109" t="s">
        <v>407</v>
      </c>
      <c r="C317" s="109" t="s">
        <v>408</v>
      </c>
      <c r="D317" s="109" t="s">
        <v>897</v>
      </c>
      <c r="E317" s="2" t="s">
        <v>405</v>
      </c>
      <c r="F317" s="2"/>
      <c r="G317" s="2">
        <v>50</v>
      </c>
      <c r="H317" s="2" t="s">
        <v>182</v>
      </c>
      <c r="I317" s="2"/>
      <c r="J317" s="2">
        <v>2257.92</v>
      </c>
      <c r="K317" s="113">
        <f t="shared" si="7"/>
        <v>1.12896E-2</v>
      </c>
    </row>
    <row r="318" spans="1:11">
      <c r="A318" s="109">
        <v>317</v>
      </c>
      <c r="B318" s="109" t="s">
        <v>407</v>
      </c>
      <c r="C318" s="109" t="s">
        <v>408</v>
      </c>
      <c r="D318" s="109" t="s">
        <v>897</v>
      </c>
      <c r="E318" s="2" t="s">
        <v>406</v>
      </c>
      <c r="F318" s="2"/>
      <c r="G318" s="2">
        <v>60</v>
      </c>
      <c r="H318" s="2" t="s">
        <v>182</v>
      </c>
      <c r="I318" s="2"/>
      <c r="J318" s="2">
        <v>3763.19</v>
      </c>
      <c r="K318" s="113">
        <f t="shared" si="7"/>
        <v>2.2579140000000001E-2</v>
      </c>
    </row>
    <row r="319" spans="1:11">
      <c r="A319" s="109">
        <v>318</v>
      </c>
      <c r="B319" s="109" t="s">
        <v>416</v>
      </c>
      <c r="C319" s="109" t="s">
        <v>417</v>
      </c>
      <c r="D319" s="109" t="s">
        <v>897</v>
      </c>
      <c r="E319" s="2" t="s">
        <v>409</v>
      </c>
      <c r="F319" s="2" t="s">
        <v>410</v>
      </c>
      <c r="G319" s="36">
        <v>48</v>
      </c>
      <c r="H319" s="2" t="s">
        <v>182</v>
      </c>
      <c r="I319" s="2" t="s">
        <v>198</v>
      </c>
      <c r="J319" s="2">
        <v>366.81</v>
      </c>
      <c r="K319" s="113">
        <f>(J319*G319)/10000000</f>
        <v>1.7606880000000001E-3</v>
      </c>
    </row>
    <row r="320" spans="1:11">
      <c r="A320" s="109">
        <v>319</v>
      </c>
      <c r="B320" s="109" t="s">
        <v>416</v>
      </c>
      <c r="C320" s="109" t="s">
        <v>417</v>
      </c>
      <c r="D320" s="109" t="s">
        <v>897</v>
      </c>
      <c r="E320" s="2" t="s">
        <v>411</v>
      </c>
      <c r="F320" s="2" t="s">
        <v>410</v>
      </c>
      <c r="G320" s="36">
        <v>24</v>
      </c>
      <c r="H320" s="2" t="s">
        <v>182</v>
      </c>
      <c r="I320" s="2" t="s">
        <v>198</v>
      </c>
      <c r="J320" s="2">
        <v>694.12</v>
      </c>
      <c r="K320" s="113">
        <f>(J320*G320)/10000000</f>
        <v>1.6658880000000001E-3</v>
      </c>
    </row>
    <row r="321" spans="1:11">
      <c r="A321" s="109">
        <v>320</v>
      </c>
      <c r="B321" s="109" t="s">
        <v>416</v>
      </c>
      <c r="C321" s="109" t="s">
        <v>417</v>
      </c>
      <c r="D321" s="109" t="s">
        <v>895</v>
      </c>
      <c r="E321" s="2" t="s">
        <v>412</v>
      </c>
      <c r="F321" s="2" t="s">
        <v>413</v>
      </c>
      <c r="G321" s="36">
        <v>42</v>
      </c>
      <c r="H321" s="2" t="s">
        <v>182</v>
      </c>
      <c r="I321" s="2" t="s">
        <v>198</v>
      </c>
      <c r="J321" s="2">
        <v>181.25</v>
      </c>
      <c r="K321" s="113">
        <f>(J321*G321)/10000000</f>
        <v>7.6124999999999999E-4</v>
      </c>
    </row>
    <row r="322" spans="1:11">
      <c r="A322" s="109">
        <v>321</v>
      </c>
      <c r="B322" s="109" t="s">
        <v>416</v>
      </c>
      <c r="C322" s="109" t="s">
        <v>417</v>
      </c>
      <c r="D322" s="109" t="s">
        <v>895</v>
      </c>
      <c r="E322" s="2" t="s">
        <v>414</v>
      </c>
      <c r="F322" s="2" t="s">
        <v>415</v>
      </c>
      <c r="G322" s="36">
        <v>96</v>
      </c>
      <c r="H322" s="2" t="s">
        <v>182</v>
      </c>
      <c r="I322" s="2" t="s">
        <v>198</v>
      </c>
      <c r="J322" s="2">
        <v>478.19</v>
      </c>
      <c r="K322" s="113">
        <f>(J322*G322)/10000000</f>
        <v>4.5906239999999997E-3</v>
      </c>
    </row>
    <row r="323" spans="1:11" ht="29">
      <c r="A323" s="109">
        <v>322</v>
      </c>
      <c r="B323" s="109" t="s">
        <v>418</v>
      </c>
      <c r="C323" s="109" t="s">
        <v>421</v>
      </c>
      <c r="D323" s="109" t="s">
        <v>862</v>
      </c>
      <c r="E323" s="36" t="s">
        <v>419</v>
      </c>
      <c r="F323" s="2"/>
      <c r="G323" s="2">
        <v>7</v>
      </c>
      <c r="H323" s="2" t="s">
        <v>33</v>
      </c>
      <c r="I323" s="36" t="s">
        <v>420</v>
      </c>
      <c r="J323" s="2">
        <v>103000</v>
      </c>
      <c r="K323" s="112">
        <f>(J323*G323)/10000000</f>
        <v>7.2099999999999997E-2</v>
      </c>
    </row>
    <row r="324" spans="1:11">
      <c r="A324" s="109">
        <v>323</v>
      </c>
      <c r="B324" s="109" t="s">
        <v>422</v>
      </c>
      <c r="C324" s="109" t="s">
        <v>439</v>
      </c>
      <c r="D324" s="109" t="s">
        <v>895</v>
      </c>
      <c r="E324" s="2" t="s">
        <v>423</v>
      </c>
      <c r="F324" s="2" t="s">
        <v>424</v>
      </c>
      <c r="G324" s="2">
        <v>60</v>
      </c>
      <c r="H324" s="2" t="s">
        <v>14</v>
      </c>
      <c r="I324" s="2" t="s">
        <v>425</v>
      </c>
      <c r="J324" s="2">
        <v>2044</v>
      </c>
      <c r="K324" s="112">
        <f t="shared" ref="K324:K331" si="8">(J324*G324)/10000000</f>
        <v>1.2264000000000001E-2</v>
      </c>
    </row>
    <row r="325" spans="1:11">
      <c r="A325" s="109">
        <v>324</v>
      </c>
      <c r="B325" s="109" t="s">
        <v>422</v>
      </c>
      <c r="C325" s="109" t="s">
        <v>439</v>
      </c>
      <c r="D325" s="109" t="s">
        <v>895</v>
      </c>
      <c r="E325" s="2" t="s">
        <v>426</v>
      </c>
      <c r="F325" s="2" t="s">
        <v>424</v>
      </c>
      <c r="G325" s="2">
        <v>1002</v>
      </c>
      <c r="H325" s="2" t="s">
        <v>14</v>
      </c>
      <c r="I325" s="2" t="s">
        <v>425</v>
      </c>
      <c r="J325" s="2">
        <v>176</v>
      </c>
      <c r="K325" s="112">
        <f t="shared" si="8"/>
        <v>1.76352E-2</v>
      </c>
    </row>
    <row r="326" spans="1:11">
      <c r="A326" s="109">
        <v>325</v>
      </c>
      <c r="B326" s="109" t="s">
        <v>422</v>
      </c>
      <c r="C326" s="109" t="s">
        <v>439</v>
      </c>
      <c r="D326" s="109" t="s">
        <v>897</v>
      </c>
      <c r="E326" s="2" t="s">
        <v>427</v>
      </c>
      <c r="F326" s="2" t="s">
        <v>428</v>
      </c>
      <c r="G326" s="2">
        <v>2000</v>
      </c>
      <c r="H326" s="2" t="s">
        <v>14</v>
      </c>
      <c r="I326" s="2" t="s">
        <v>429</v>
      </c>
      <c r="J326" s="2">
        <v>355</v>
      </c>
      <c r="K326" s="112">
        <f t="shared" si="8"/>
        <v>7.0999999999999994E-2</v>
      </c>
    </row>
    <row r="327" spans="1:11" ht="29">
      <c r="A327" s="109">
        <v>326</v>
      </c>
      <c r="B327" s="109" t="s">
        <v>422</v>
      </c>
      <c r="C327" s="109" t="s">
        <v>439</v>
      </c>
      <c r="D327" s="109" t="s">
        <v>897</v>
      </c>
      <c r="E327" s="36" t="s">
        <v>430</v>
      </c>
      <c r="F327" s="2" t="s">
        <v>428</v>
      </c>
      <c r="G327" s="2">
        <v>13</v>
      </c>
      <c r="H327" s="2" t="s">
        <v>431</v>
      </c>
      <c r="I327" s="2" t="s">
        <v>432</v>
      </c>
      <c r="J327" s="2">
        <v>6950</v>
      </c>
      <c r="K327" s="112">
        <f t="shared" si="8"/>
        <v>9.0349999999999996E-3</v>
      </c>
    </row>
    <row r="328" spans="1:11">
      <c r="A328" s="109">
        <v>327</v>
      </c>
      <c r="B328" s="109" t="s">
        <v>422</v>
      </c>
      <c r="C328" s="109" t="s">
        <v>439</v>
      </c>
      <c r="D328" s="109" t="s">
        <v>899</v>
      </c>
      <c r="E328" s="2" t="s">
        <v>433</v>
      </c>
      <c r="F328" s="2" t="s">
        <v>434</v>
      </c>
      <c r="G328" s="2">
        <v>16</v>
      </c>
      <c r="H328" s="2" t="s">
        <v>14</v>
      </c>
      <c r="I328" s="2" t="s">
        <v>435</v>
      </c>
      <c r="J328" s="111">
        <v>1054</v>
      </c>
      <c r="K328" s="112">
        <f t="shared" si="8"/>
        <v>1.6864E-3</v>
      </c>
    </row>
    <row r="329" spans="1:11">
      <c r="A329" s="109">
        <v>328</v>
      </c>
      <c r="B329" s="109" t="s">
        <v>422</v>
      </c>
      <c r="C329" s="109" t="s">
        <v>439</v>
      </c>
      <c r="D329" s="109" t="s">
        <v>899</v>
      </c>
      <c r="E329" s="2" t="s">
        <v>436</v>
      </c>
      <c r="F329" s="2" t="s">
        <v>434</v>
      </c>
      <c r="G329" s="2">
        <v>135</v>
      </c>
      <c r="H329" s="2" t="s">
        <v>14</v>
      </c>
      <c r="I329" s="2" t="s">
        <v>437</v>
      </c>
      <c r="J329" s="111">
        <v>1112.8</v>
      </c>
      <c r="K329" s="112">
        <f t="shared" si="8"/>
        <v>1.5022799999999999E-2</v>
      </c>
    </row>
    <row r="330" spans="1:11">
      <c r="A330" s="109">
        <v>329</v>
      </c>
      <c r="B330" s="109" t="s">
        <v>422</v>
      </c>
      <c r="C330" s="109" t="s">
        <v>439</v>
      </c>
      <c r="D330" s="109" t="s">
        <v>899</v>
      </c>
      <c r="E330" s="2" t="s">
        <v>438</v>
      </c>
      <c r="F330" s="2" t="s">
        <v>434</v>
      </c>
      <c r="G330" s="2">
        <v>72</v>
      </c>
      <c r="H330" s="2" t="s">
        <v>14</v>
      </c>
      <c r="I330" s="2" t="s">
        <v>437</v>
      </c>
      <c r="J330" s="111">
        <v>1730.25</v>
      </c>
      <c r="K330" s="112">
        <f t="shared" si="8"/>
        <v>1.24578E-2</v>
      </c>
    </row>
    <row r="331" spans="1:11">
      <c r="A331" s="109">
        <v>330</v>
      </c>
      <c r="B331" s="109" t="s">
        <v>422</v>
      </c>
      <c r="C331" s="109" t="s">
        <v>439</v>
      </c>
      <c r="D331" s="109" t="s">
        <v>899</v>
      </c>
      <c r="E331" s="2" t="s">
        <v>438</v>
      </c>
      <c r="F331" s="2" t="s">
        <v>434</v>
      </c>
      <c r="G331" s="2">
        <v>37</v>
      </c>
      <c r="H331" s="2" t="s">
        <v>14</v>
      </c>
      <c r="I331" s="2" t="s">
        <v>437</v>
      </c>
      <c r="J331" s="111">
        <v>1730.25</v>
      </c>
      <c r="K331" s="112">
        <f t="shared" si="8"/>
        <v>6.4019250000000002E-3</v>
      </c>
    </row>
    <row r="332" spans="1:11">
      <c r="A332" s="109">
        <v>331</v>
      </c>
      <c r="B332" s="109" t="s">
        <v>589</v>
      </c>
      <c r="C332" s="109" t="s">
        <v>590</v>
      </c>
      <c r="D332" s="109" t="s">
        <v>895</v>
      </c>
      <c r="E332" s="109" t="s">
        <v>565</v>
      </c>
      <c r="F332" s="109" t="s">
        <v>566</v>
      </c>
      <c r="G332" s="109">
        <v>600</v>
      </c>
      <c r="H332" s="109" t="s">
        <v>567</v>
      </c>
      <c r="I332" s="109" t="s">
        <v>193</v>
      </c>
      <c r="J332" s="24">
        <v>1064</v>
      </c>
      <c r="K332" s="112">
        <f t="shared" ref="K332:K343" si="9">(J332*G332)/10000000</f>
        <v>6.3839999999999994E-2</v>
      </c>
    </row>
    <row r="333" spans="1:11">
      <c r="A333" s="109">
        <v>332</v>
      </c>
      <c r="B333" s="109" t="s">
        <v>589</v>
      </c>
      <c r="C333" s="109" t="s">
        <v>590</v>
      </c>
      <c r="D333" s="109" t="s">
        <v>895</v>
      </c>
      <c r="E333" s="109" t="s">
        <v>1351</v>
      </c>
      <c r="F333" s="109" t="s">
        <v>232</v>
      </c>
      <c r="G333" s="109">
        <v>800</v>
      </c>
      <c r="H333" s="109" t="s">
        <v>567</v>
      </c>
      <c r="I333" s="109" t="s">
        <v>193</v>
      </c>
      <c r="J333" s="25">
        <v>222.48</v>
      </c>
      <c r="K333" s="112">
        <f t="shared" si="9"/>
        <v>1.7798399999999999E-2</v>
      </c>
    </row>
    <row r="334" spans="1:11">
      <c r="A334" s="109">
        <v>333</v>
      </c>
      <c r="B334" s="109" t="s">
        <v>589</v>
      </c>
      <c r="C334" s="109" t="s">
        <v>590</v>
      </c>
      <c r="D334" s="109" t="s">
        <v>895</v>
      </c>
      <c r="E334" s="109" t="s">
        <v>569</v>
      </c>
      <c r="F334" s="109" t="s">
        <v>241</v>
      </c>
      <c r="G334" s="109">
        <v>200</v>
      </c>
      <c r="H334" s="109" t="s">
        <v>567</v>
      </c>
      <c r="I334" s="109" t="s">
        <v>193</v>
      </c>
      <c r="J334" s="25">
        <v>254.34</v>
      </c>
      <c r="K334" s="112">
        <f t="shared" si="9"/>
        <v>5.0867999999999998E-3</v>
      </c>
    </row>
    <row r="335" spans="1:11">
      <c r="A335" s="109">
        <v>334</v>
      </c>
      <c r="B335" s="109" t="s">
        <v>589</v>
      </c>
      <c r="C335" s="109" t="s">
        <v>590</v>
      </c>
      <c r="D335" s="109" t="s">
        <v>895</v>
      </c>
      <c r="E335" s="109" t="s">
        <v>570</v>
      </c>
      <c r="F335" s="109" t="s">
        <v>233</v>
      </c>
      <c r="G335" s="109">
        <v>900</v>
      </c>
      <c r="H335" s="109" t="s">
        <v>567</v>
      </c>
      <c r="I335" s="109" t="s">
        <v>571</v>
      </c>
      <c r="J335" s="25">
        <v>80.98</v>
      </c>
      <c r="K335" s="112">
        <f t="shared" si="9"/>
        <v>7.2881999999999999E-3</v>
      </c>
    </row>
    <row r="336" spans="1:11">
      <c r="A336" s="109">
        <v>335</v>
      </c>
      <c r="B336" s="109" t="s">
        <v>589</v>
      </c>
      <c r="C336" s="109" t="s">
        <v>590</v>
      </c>
      <c r="D336" s="109" t="s">
        <v>897</v>
      </c>
      <c r="E336" s="109" t="s">
        <v>572</v>
      </c>
      <c r="F336" s="109" t="s">
        <v>573</v>
      </c>
      <c r="G336" s="109">
        <v>2000</v>
      </c>
      <c r="H336" s="109" t="s">
        <v>431</v>
      </c>
      <c r="I336" s="109" t="s">
        <v>574</v>
      </c>
      <c r="J336" s="109">
        <v>345</v>
      </c>
      <c r="K336" s="112">
        <f t="shared" si="9"/>
        <v>6.9000000000000006E-2</v>
      </c>
    </row>
    <row r="337" spans="1:11">
      <c r="A337" s="109">
        <v>336</v>
      </c>
      <c r="B337" s="109" t="s">
        <v>589</v>
      </c>
      <c r="C337" s="109" t="s">
        <v>590</v>
      </c>
      <c r="D337" s="109" t="s">
        <v>899</v>
      </c>
      <c r="E337" s="109" t="s">
        <v>575</v>
      </c>
      <c r="F337" s="109" t="s">
        <v>576</v>
      </c>
      <c r="G337" s="109">
        <v>120</v>
      </c>
      <c r="H337" s="109" t="s">
        <v>567</v>
      </c>
      <c r="I337" s="109" t="s">
        <v>577</v>
      </c>
      <c r="J337" s="109">
        <v>455.09</v>
      </c>
      <c r="K337" s="112">
        <f t="shared" si="9"/>
        <v>5.4610799999999992E-3</v>
      </c>
    </row>
    <row r="338" spans="1:11">
      <c r="A338" s="109">
        <v>337</v>
      </c>
      <c r="B338" s="109" t="s">
        <v>589</v>
      </c>
      <c r="C338" s="109" t="s">
        <v>590</v>
      </c>
      <c r="D338" s="109" t="s">
        <v>899</v>
      </c>
      <c r="E338" s="109" t="s">
        <v>578</v>
      </c>
      <c r="F338" s="109" t="s">
        <v>579</v>
      </c>
      <c r="G338" s="109">
        <v>95</v>
      </c>
      <c r="H338" s="109" t="s">
        <v>567</v>
      </c>
      <c r="I338" s="109" t="s">
        <v>577</v>
      </c>
      <c r="J338" s="109">
        <v>546.25</v>
      </c>
      <c r="K338" s="112">
        <f t="shared" si="9"/>
        <v>5.1893750000000004E-3</v>
      </c>
    </row>
    <row r="339" spans="1:11">
      <c r="A339" s="109">
        <v>338</v>
      </c>
      <c r="B339" s="109" t="s">
        <v>589</v>
      </c>
      <c r="C339" s="109" t="s">
        <v>590</v>
      </c>
      <c r="D339" s="109" t="s">
        <v>899</v>
      </c>
      <c r="E339" s="109" t="s">
        <v>580</v>
      </c>
      <c r="F339" s="109" t="s">
        <v>581</v>
      </c>
      <c r="G339" s="109">
        <v>445</v>
      </c>
      <c r="H339" s="109" t="s">
        <v>567</v>
      </c>
      <c r="I339" s="109" t="s">
        <v>577</v>
      </c>
      <c r="J339" s="109">
        <v>411.01</v>
      </c>
      <c r="K339" s="112">
        <f t="shared" si="9"/>
        <v>1.8289944999999998E-2</v>
      </c>
    </row>
    <row r="340" spans="1:11">
      <c r="A340" s="109">
        <v>339</v>
      </c>
      <c r="B340" s="109" t="s">
        <v>589</v>
      </c>
      <c r="C340" s="109" t="s">
        <v>590</v>
      </c>
      <c r="D340" s="109" t="s">
        <v>899</v>
      </c>
      <c r="E340" s="109" t="s">
        <v>582</v>
      </c>
      <c r="F340" s="109" t="s">
        <v>583</v>
      </c>
      <c r="G340" s="109">
        <v>105</v>
      </c>
      <c r="H340" s="109" t="s">
        <v>567</v>
      </c>
      <c r="I340" s="109" t="s">
        <v>577</v>
      </c>
      <c r="J340" s="109">
        <v>985.32</v>
      </c>
      <c r="K340" s="112">
        <f t="shared" si="9"/>
        <v>1.034586E-2</v>
      </c>
    </row>
    <row r="341" spans="1:11">
      <c r="A341" s="109">
        <v>340</v>
      </c>
      <c r="B341" s="109" t="s">
        <v>589</v>
      </c>
      <c r="C341" s="109" t="s">
        <v>590</v>
      </c>
      <c r="D341" s="109" t="s">
        <v>899</v>
      </c>
      <c r="E341" s="109" t="s">
        <v>584</v>
      </c>
      <c r="F341" s="109" t="s">
        <v>583</v>
      </c>
      <c r="G341" s="109">
        <v>74</v>
      </c>
      <c r="H341" s="109" t="s">
        <v>567</v>
      </c>
      <c r="I341" s="109" t="s">
        <v>577</v>
      </c>
      <c r="J341" s="109">
        <v>1367.48</v>
      </c>
      <c r="K341" s="112">
        <f t="shared" si="9"/>
        <v>1.0119352E-2</v>
      </c>
    </row>
    <row r="342" spans="1:11">
      <c r="A342" s="109">
        <v>341</v>
      </c>
      <c r="B342" s="109" t="s">
        <v>589</v>
      </c>
      <c r="C342" s="109" t="s">
        <v>590</v>
      </c>
      <c r="D342" s="109" t="s">
        <v>897</v>
      </c>
      <c r="E342" s="109" t="s">
        <v>585</v>
      </c>
      <c r="F342" s="109" t="s">
        <v>235</v>
      </c>
      <c r="G342" s="109">
        <v>3</v>
      </c>
      <c r="H342" s="109" t="s">
        <v>586</v>
      </c>
      <c r="I342" s="109" t="s">
        <v>587</v>
      </c>
      <c r="J342" s="25">
        <v>6794.55</v>
      </c>
      <c r="K342" s="112">
        <f t="shared" si="9"/>
        <v>2.0383650000000003E-3</v>
      </c>
    </row>
    <row r="343" spans="1:11">
      <c r="A343" s="109">
        <v>342</v>
      </c>
      <c r="B343" s="109" t="s">
        <v>589</v>
      </c>
      <c r="C343" s="109" t="s">
        <v>590</v>
      </c>
      <c r="D343" s="109" t="s">
        <v>897</v>
      </c>
      <c r="E343" s="109" t="s">
        <v>588</v>
      </c>
      <c r="F343" s="109" t="s">
        <v>238</v>
      </c>
      <c r="G343" s="109">
        <v>1</v>
      </c>
      <c r="H343" s="109" t="s">
        <v>586</v>
      </c>
      <c r="I343" s="109" t="s">
        <v>587</v>
      </c>
      <c r="J343" s="25">
        <v>24606.75</v>
      </c>
      <c r="K343" s="112">
        <f t="shared" si="9"/>
        <v>2.4606749999999998E-3</v>
      </c>
    </row>
    <row r="344" spans="1:11">
      <c r="A344" s="109">
        <v>343</v>
      </c>
      <c r="B344" s="109" t="s">
        <v>620</v>
      </c>
      <c r="C344" s="109" t="s">
        <v>621</v>
      </c>
      <c r="D344" s="109" t="s">
        <v>899</v>
      </c>
      <c r="E344" s="109" t="s">
        <v>591</v>
      </c>
      <c r="F344" s="109" t="s">
        <v>592</v>
      </c>
      <c r="G344" s="109">
        <v>842</v>
      </c>
      <c r="H344" s="109" t="s">
        <v>567</v>
      </c>
      <c r="I344" s="109" t="s">
        <v>437</v>
      </c>
      <c r="J344" s="111">
        <v>2580</v>
      </c>
      <c r="K344" s="112">
        <f t="shared" ref="K344:K361" si="10">(J344*G344)/10000000</f>
        <v>0.21723600000000001</v>
      </c>
    </row>
    <row r="345" spans="1:11">
      <c r="A345" s="109">
        <v>344</v>
      </c>
      <c r="B345" s="109" t="s">
        <v>620</v>
      </c>
      <c r="C345" s="109" t="s">
        <v>621</v>
      </c>
      <c r="D345" s="109" t="s">
        <v>899</v>
      </c>
      <c r="E345" s="109" t="s">
        <v>593</v>
      </c>
      <c r="F345" s="109" t="s">
        <v>592</v>
      </c>
      <c r="G345" s="109">
        <v>425</v>
      </c>
      <c r="H345" s="109" t="s">
        <v>567</v>
      </c>
      <c r="I345" s="109" t="s">
        <v>437</v>
      </c>
      <c r="J345" s="111">
        <v>1979.66</v>
      </c>
      <c r="K345" s="112">
        <f t="shared" si="10"/>
        <v>8.4135550000000003E-2</v>
      </c>
    </row>
    <row r="346" spans="1:11">
      <c r="A346" s="109">
        <v>345</v>
      </c>
      <c r="B346" s="109" t="s">
        <v>620</v>
      </c>
      <c r="C346" s="109" t="s">
        <v>621</v>
      </c>
      <c r="D346" s="109" t="s">
        <v>899</v>
      </c>
      <c r="E346" s="109" t="s">
        <v>594</v>
      </c>
      <c r="F346" s="109" t="s">
        <v>595</v>
      </c>
      <c r="G346" s="109">
        <v>90</v>
      </c>
      <c r="H346" s="109" t="s">
        <v>567</v>
      </c>
      <c r="I346" s="109" t="s">
        <v>437</v>
      </c>
      <c r="J346" s="111">
        <v>151</v>
      </c>
      <c r="K346" s="112">
        <f t="shared" si="10"/>
        <v>1.359E-3</v>
      </c>
    </row>
    <row r="347" spans="1:11">
      <c r="A347" s="109">
        <v>346</v>
      </c>
      <c r="B347" s="109" t="s">
        <v>620</v>
      </c>
      <c r="C347" s="109" t="s">
        <v>621</v>
      </c>
      <c r="D347" s="109" t="s">
        <v>899</v>
      </c>
      <c r="E347" s="109" t="s">
        <v>596</v>
      </c>
      <c r="F347" s="109" t="s">
        <v>592</v>
      </c>
      <c r="G347" s="109">
        <v>360</v>
      </c>
      <c r="H347" s="109" t="s">
        <v>567</v>
      </c>
      <c r="I347" s="109" t="s">
        <v>437</v>
      </c>
      <c r="J347" s="111">
        <v>267.45</v>
      </c>
      <c r="K347" s="112">
        <f t="shared" si="10"/>
        <v>9.6282E-3</v>
      </c>
    </row>
    <row r="348" spans="1:11">
      <c r="A348" s="109">
        <v>347</v>
      </c>
      <c r="B348" s="109" t="s">
        <v>620</v>
      </c>
      <c r="C348" s="109" t="s">
        <v>621</v>
      </c>
      <c r="D348" s="109" t="s">
        <v>899</v>
      </c>
      <c r="E348" s="109" t="s">
        <v>597</v>
      </c>
      <c r="F348" s="109" t="s">
        <v>592</v>
      </c>
      <c r="G348" s="109">
        <v>1823</v>
      </c>
      <c r="H348" s="109" t="s">
        <v>567</v>
      </c>
      <c r="I348" s="109" t="s">
        <v>437</v>
      </c>
      <c r="J348" s="111">
        <v>162.09</v>
      </c>
      <c r="K348" s="112">
        <f t="shared" si="10"/>
        <v>2.9549007000000002E-2</v>
      </c>
    </row>
    <row r="349" spans="1:11">
      <c r="A349" s="109">
        <v>348</v>
      </c>
      <c r="B349" s="109" t="s">
        <v>620</v>
      </c>
      <c r="C349" s="109" t="s">
        <v>621</v>
      </c>
      <c r="D349" s="109" t="s">
        <v>899</v>
      </c>
      <c r="E349" s="109" t="s">
        <v>598</v>
      </c>
      <c r="F349" s="109" t="s">
        <v>599</v>
      </c>
      <c r="G349" s="109">
        <v>364</v>
      </c>
      <c r="H349" s="109" t="s">
        <v>567</v>
      </c>
      <c r="I349" s="109" t="s">
        <v>437</v>
      </c>
      <c r="J349" s="111">
        <v>235</v>
      </c>
      <c r="K349" s="112">
        <f t="shared" si="10"/>
        <v>8.5540000000000008E-3</v>
      </c>
    </row>
    <row r="350" spans="1:11">
      <c r="A350" s="109">
        <v>349</v>
      </c>
      <c r="B350" s="109" t="s">
        <v>620</v>
      </c>
      <c r="C350" s="109" t="s">
        <v>621</v>
      </c>
      <c r="D350" s="109" t="s">
        <v>899</v>
      </c>
      <c r="E350" s="109" t="s">
        <v>600</v>
      </c>
      <c r="F350" s="109" t="s">
        <v>601</v>
      </c>
      <c r="G350" s="109">
        <v>183</v>
      </c>
      <c r="H350" s="109" t="s">
        <v>567</v>
      </c>
      <c r="I350" s="109" t="s">
        <v>437</v>
      </c>
      <c r="J350" s="111">
        <v>351</v>
      </c>
      <c r="K350" s="112">
        <f t="shared" si="10"/>
        <v>6.4232999999999998E-3</v>
      </c>
    </row>
    <row r="351" spans="1:11">
      <c r="A351" s="109">
        <v>350</v>
      </c>
      <c r="B351" s="109" t="s">
        <v>620</v>
      </c>
      <c r="C351" s="109" t="s">
        <v>621</v>
      </c>
      <c r="D351" s="109" t="s">
        <v>899</v>
      </c>
      <c r="E351" s="109" t="s">
        <v>602</v>
      </c>
      <c r="F351" s="109" t="s">
        <v>601</v>
      </c>
      <c r="G351" s="109">
        <v>132</v>
      </c>
      <c r="H351" s="109" t="s">
        <v>567</v>
      </c>
      <c r="I351" s="109" t="s">
        <v>437</v>
      </c>
      <c r="J351" s="111">
        <v>435</v>
      </c>
      <c r="K351" s="112">
        <f t="shared" si="10"/>
        <v>5.7419999999999997E-3</v>
      </c>
    </row>
    <row r="352" spans="1:11">
      <c r="A352" s="109">
        <v>351</v>
      </c>
      <c r="B352" s="109" t="s">
        <v>620</v>
      </c>
      <c r="C352" s="109" t="s">
        <v>621</v>
      </c>
      <c r="D352" s="109" t="s">
        <v>899</v>
      </c>
      <c r="E352" s="109" t="s">
        <v>603</v>
      </c>
      <c r="F352" s="109" t="s">
        <v>601</v>
      </c>
      <c r="G352" s="109">
        <v>59</v>
      </c>
      <c r="H352" s="109" t="s">
        <v>567</v>
      </c>
      <c r="I352" s="109" t="s">
        <v>437</v>
      </c>
      <c r="J352" s="111">
        <v>150</v>
      </c>
      <c r="K352" s="112">
        <f t="shared" si="10"/>
        <v>8.8500000000000004E-4</v>
      </c>
    </row>
    <row r="353" spans="1:11">
      <c r="A353" s="109">
        <v>352</v>
      </c>
      <c r="B353" s="109" t="s">
        <v>620</v>
      </c>
      <c r="C353" s="109" t="s">
        <v>621</v>
      </c>
      <c r="D353" s="109" t="s">
        <v>899</v>
      </c>
      <c r="E353" s="109" t="s">
        <v>604</v>
      </c>
      <c r="F353" s="109" t="s">
        <v>601</v>
      </c>
      <c r="G353" s="109">
        <v>150</v>
      </c>
      <c r="H353" s="109" t="s">
        <v>567</v>
      </c>
      <c r="I353" s="109" t="s">
        <v>437</v>
      </c>
      <c r="J353" s="111">
        <v>831</v>
      </c>
      <c r="K353" s="112">
        <f t="shared" si="10"/>
        <v>1.2465E-2</v>
      </c>
    </row>
    <row r="354" spans="1:11">
      <c r="A354" s="109">
        <v>353</v>
      </c>
      <c r="B354" s="109" t="s">
        <v>620</v>
      </c>
      <c r="C354" s="109" t="s">
        <v>621</v>
      </c>
      <c r="D354" s="109" t="s">
        <v>899</v>
      </c>
      <c r="E354" s="109" t="s">
        <v>605</v>
      </c>
      <c r="F354" s="109" t="s">
        <v>606</v>
      </c>
      <c r="G354" s="109">
        <v>27</v>
      </c>
      <c r="H354" s="109" t="s">
        <v>567</v>
      </c>
      <c r="I354" s="109" t="s">
        <v>435</v>
      </c>
      <c r="J354" s="111">
        <v>1692</v>
      </c>
      <c r="K354" s="112">
        <f t="shared" si="10"/>
        <v>4.5684000000000002E-3</v>
      </c>
    </row>
    <row r="355" spans="1:11">
      <c r="A355" s="109">
        <v>354</v>
      </c>
      <c r="B355" s="109" t="s">
        <v>620</v>
      </c>
      <c r="C355" s="109" t="s">
        <v>621</v>
      </c>
      <c r="D355" s="109" t="s">
        <v>899</v>
      </c>
      <c r="E355" s="109" t="s">
        <v>607</v>
      </c>
      <c r="F355" s="109" t="s">
        <v>592</v>
      </c>
      <c r="G355" s="109">
        <v>164</v>
      </c>
      <c r="H355" s="109" t="s">
        <v>567</v>
      </c>
      <c r="I355" s="109" t="s">
        <v>437</v>
      </c>
      <c r="J355" s="111">
        <v>31.27</v>
      </c>
      <c r="K355" s="112">
        <f t="shared" si="10"/>
        <v>5.12828E-4</v>
      </c>
    </row>
    <row r="356" spans="1:11">
      <c r="A356" s="109">
        <v>355</v>
      </c>
      <c r="B356" s="109" t="s">
        <v>620</v>
      </c>
      <c r="C356" s="109" t="s">
        <v>621</v>
      </c>
      <c r="D356" s="109" t="s">
        <v>899</v>
      </c>
      <c r="E356" s="109" t="s">
        <v>608</v>
      </c>
      <c r="F356" s="109" t="s">
        <v>609</v>
      </c>
      <c r="G356" s="109">
        <v>428</v>
      </c>
      <c r="H356" s="109" t="s">
        <v>567</v>
      </c>
      <c r="I356" s="109" t="s">
        <v>437</v>
      </c>
      <c r="J356" s="111">
        <v>1495.13</v>
      </c>
      <c r="K356" s="112">
        <f t="shared" si="10"/>
        <v>6.3991564000000001E-2</v>
      </c>
    </row>
    <row r="357" spans="1:11">
      <c r="A357" s="109">
        <v>356</v>
      </c>
      <c r="B357" s="109" t="s">
        <v>620</v>
      </c>
      <c r="C357" s="109" t="s">
        <v>621</v>
      </c>
      <c r="D357" s="109" t="s">
        <v>899</v>
      </c>
      <c r="E357" s="109" t="s">
        <v>610</v>
      </c>
      <c r="F357" s="109" t="s">
        <v>611</v>
      </c>
      <c r="G357" s="109">
        <v>23</v>
      </c>
      <c r="H357" s="109" t="s">
        <v>567</v>
      </c>
      <c r="I357" s="109" t="s">
        <v>437</v>
      </c>
      <c r="J357" s="111">
        <v>818</v>
      </c>
      <c r="K357" s="112">
        <f t="shared" si="10"/>
        <v>1.8814000000000001E-3</v>
      </c>
    </row>
    <row r="358" spans="1:11">
      <c r="A358" s="109">
        <v>357</v>
      </c>
      <c r="B358" s="109" t="s">
        <v>620</v>
      </c>
      <c r="C358" s="109" t="s">
        <v>621</v>
      </c>
      <c r="D358" s="109" t="s">
        <v>899</v>
      </c>
      <c r="E358" s="109" t="s">
        <v>612</v>
      </c>
      <c r="F358" s="109" t="s">
        <v>595</v>
      </c>
      <c r="G358" s="109">
        <v>178</v>
      </c>
      <c r="H358" s="109" t="s">
        <v>567</v>
      </c>
      <c r="I358" s="109" t="s">
        <v>437</v>
      </c>
      <c r="J358" s="111">
        <v>1058</v>
      </c>
      <c r="K358" s="112">
        <f t="shared" si="10"/>
        <v>1.8832399999999999E-2</v>
      </c>
    </row>
    <row r="359" spans="1:11">
      <c r="A359" s="109">
        <v>358</v>
      </c>
      <c r="B359" s="109" t="s">
        <v>620</v>
      </c>
      <c r="C359" s="109" t="s">
        <v>621</v>
      </c>
      <c r="D359" s="109" t="s">
        <v>1355</v>
      </c>
      <c r="E359" s="109" t="s">
        <v>613</v>
      </c>
      <c r="F359" s="109" t="s">
        <v>614</v>
      </c>
      <c r="G359" s="109">
        <v>240</v>
      </c>
      <c r="H359" s="109" t="s">
        <v>567</v>
      </c>
      <c r="I359" s="109" t="s">
        <v>615</v>
      </c>
      <c r="J359" s="111">
        <v>641</v>
      </c>
      <c r="K359" s="112">
        <f t="shared" si="10"/>
        <v>1.5384E-2</v>
      </c>
    </row>
    <row r="360" spans="1:11">
      <c r="A360" s="109">
        <v>359</v>
      </c>
      <c r="B360" s="109" t="s">
        <v>620</v>
      </c>
      <c r="C360" s="109" t="s">
        <v>621</v>
      </c>
      <c r="D360" s="109" t="s">
        <v>1355</v>
      </c>
      <c r="E360" s="109" t="s">
        <v>616</v>
      </c>
      <c r="F360" s="109" t="s">
        <v>617</v>
      </c>
      <c r="G360" s="109">
        <v>450</v>
      </c>
      <c r="H360" s="109" t="s">
        <v>567</v>
      </c>
      <c r="I360" s="109" t="s">
        <v>618</v>
      </c>
      <c r="J360" s="111">
        <v>1625</v>
      </c>
      <c r="K360" s="112">
        <f t="shared" si="10"/>
        <v>7.3124999999999996E-2</v>
      </c>
    </row>
    <row r="361" spans="1:11">
      <c r="A361" s="109">
        <v>360</v>
      </c>
      <c r="B361" s="109" t="s">
        <v>620</v>
      </c>
      <c r="C361" s="109" t="s">
        <v>621</v>
      </c>
      <c r="D361" s="109" t="s">
        <v>1355</v>
      </c>
      <c r="E361" s="109" t="s">
        <v>619</v>
      </c>
      <c r="F361" s="109" t="s">
        <v>617</v>
      </c>
      <c r="G361" s="109">
        <v>400</v>
      </c>
      <c r="H361" s="109" t="s">
        <v>567</v>
      </c>
      <c r="I361" s="109" t="s">
        <v>615</v>
      </c>
      <c r="J361" s="111">
        <v>1103</v>
      </c>
      <c r="K361" s="112">
        <f t="shared" si="10"/>
        <v>4.4119999999999999E-2</v>
      </c>
    </row>
    <row r="362" spans="1:11">
      <c r="A362" s="109">
        <v>361</v>
      </c>
      <c r="B362" s="2" t="s">
        <v>757</v>
      </c>
      <c r="C362" s="109" t="s">
        <v>758</v>
      </c>
      <c r="D362" s="109" t="s">
        <v>895</v>
      </c>
      <c r="E362" s="2" t="s">
        <v>622</v>
      </c>
      <c r="F362" s="2" t="s">
        <v>723</v>
      </c>
      <c r="G362" s="2">
        <v>360</v>
      </c>
      <c r="H362" s="2" t="s">
        <v>355</v>
      </c>
      <c r="I362" s="2" t="s">
        <v>746</v>
      </c>
      <c r="J362" s="2">
        <v>169</v>
      </c>
      <c r="K362" s="112">
        <f t="shared" ref="K362:K425" si="11">(J362*G362)/10000000</f>
        <v>6.084E-3</v>
      </c>
    </row>
    <row r="363" spans="1:11">
      <c r="A363" s="109">
        <v>362</v>
      </c>
      <c r="B363" s="2" t="s">
        <v>757</v>
      </c>
      <c r="C363" s="109" t="s">
        <v>758</v>
      </c>
      <c r="D363" s="109" t="s">
        <v>895</v>
      </c>
      <c r="E363" s="2" t="s">
        <v>623</v>
      </c>
      <c r="F363" s="2" t="s">
        <v>723</v>
      </c>
      <c r="G363" s="2">
        <v>72</v>
      </c>
      <c r="H363" s="2" t="s">
        <v>355</v>
      </c>
      <c r="I363" s="2" t="s">
        <v>746</v>
      </c>
      <c r="J363" s="2">
        <v>202.6</v>
      </c>
      <c r="K363" s="112">
        <f t="shared" si="11"/>
        <v>1.4587199999999999E-3</v>
      </c>
    </row>
    <row r="364" spans="1:11">
      <c r="A364" s="109">
        <v>363</v>
      </c>
      <c r="B364" s="2" t="s">
        <v>757</v>
      </c>
      <c r="C364" s="109" t="s">
        <v>758</v>
      </c>
      <c r="D364" s="109" t="s">
        <v>895</v>
      </c>
      <c r="E364" s="2" t="s">
        <v>624</v>
      </c>
      <c r="F364" s="2" t="s">
        <v>723</v>
      </c>
      <c r="G364" s="2">
        <v>72</v>
      </c>
      <c r="H364" s="2" t="s">
        <v>355</v>
      </c>
      <c r="I364" s="2" t="s">
        <v>746</v>
      </c>
      <c r="J364" s="2">
        <v>253</v>
      </c>
      <c r="K364" s="112">
        <f t="shared" si="11"/>
        <v>1.8216E-3</v>
      </c>
    </row>
    <row r="365" spans="1:11">
      <c r="A365" s="109">
        <v>364</v>
      </c>
      <c r="B365" s="2" t="s">
        <v>757</v>
      </c>
      <c r="C365" s="109" t="s">
        <v>758</v>
      </c>
      <c r="D365" s="109" t="s">
        <v>895</v>
      </c>
      <c r="E365" s="2" t="s">
        <v>625</v>
      </c>
      <c r="F365" s="2" t="s">
        <v>723</v>
      </c>
      <c r="G365" s="2">
        <v>180.5</v>
      </c>
      <c r="H365" s="2" t="s">
        <v>355</v>
      </c>
      <c r="I365" s="2" t="s">
        <v>746</v>
      </c>
      <c r="J365" s="2">
        <v>3152</v>
      </c>
      <c r="K365" s="112">
        <f t="shared" si="11"/>
        <v>5.6893600000000003E-2</v>
      </c>
    </row>
    <row r="366" spans="1:11">
      <c r="A366" s="109">
        <v>365</v>
      </c>
      <c r="B366" s="2" t="s">
        <v>757</v>
      </c>
      <c r="C366" s="109" t="s">
        <v>758</v>
      </c>
      <c r="D366" s="109" t="s">
        <v>895</v>
      </c>
      <c r="E366" s="2" t="s">
        <v>626</v>
      </c>
      <c r="F366" s="2" t="s">
        <v>723</v>
      </c>
      <c r="G366" s="2">
        <v>6</v>
      </c>
      <c r="H366" s="2" t="s">
        <v>355</v>
      </c>
      <c r="I366" s="2" t="s">
        <v>746</v>
      </c>
      <c r="J366" s="2">
        <v>3560</v>
      </c>
      <c r="K366" s="112">
        <f t="shared" si="11"/>
        <v>2.1359999999999999E-3</v>
      </c>
    </row>
    <row r="367" spans="1:11">
      <c r="A367" s="109">
        <v>366</v>
      </c>
      <c r="B367" s="2" t="s">
        <v>757</v>
      </c>
      <c r="C367" s="109" t="s">
        <v>758</v>
      </c>
      <c r="D367" s="109" t="s">
        <v>895</v>
      </c>
      <c r="E367" s="2" t="s">
        <v>627</v>
      </c>
      <c r="F367" s="2" t="s">
        <v>723</v>
      </c>
      <c r="G367" s="2">
        <v>2</v>
      </c>
      <c r="H367" s="2" t="s">
        <v>355</v>
      </c>
      <c r="I367" s="2" t="s">
        <v>746</v>
      </c>
      <c r="J367" s="2">
        <v>3929</v>
      </c>
      <c r="K367" s="112">
        <f t="shared" si="11"/>
        <v>7.8580000000000002E-4</v>
      </c>
    </row>
    <row r="368" spans="1:11">
      <c r="A368" s="109">
        <v>367</v>
      </c>
      <c r="B368" s="2" t="s">
        <v>757</v>
      </c>
      <c r="C368" s="109" t="s">
        <v>758</v>
      </c>
      <c r="D368" s="109" t="s">
        <v>895</v>
      </c>
      <c r="E368" s="2" t="s">
        <v>628</v>
      </c>
      <c r="F368" s="2" t="s">
        <v>723</v>
      </c>
      <c r="G368" s="2">
        <v>17.600000000000001</v>
      </c>
      <c r="H368" s="2" t="s">
        <v>355</v>
      </c>
      <c r="I368" s="2" t="s">
        <v>746</v>
      </c>
      <c r="J368" s="2">
        <v>4400</v>
      </c>
      <c r="K368" s="112">
        <f t="shared" si="11"/>
        <v>7.744E-3</v>
      </c>
    </row>
    <row r="369" spans="1:11">
      <c r="A369" s="109">
        <v>368</v>
      </c>
      <c r="B369" s="2" t="s">
        <v>757</v>
      </c>
      <c r="C369" s="109" t="s">
        <v>758</v>
      </c>
      <c r="D369" s="109" t="s">
        <v>897</v>
      </c>
      <c r="E369" s="27" t="s">
        <v>629</v>
      </c>
      <c r="F369" s="109"/>
      <c r="G369" s="109">
        <v>140</v>
      </c>
      <c r="H369" s="109" t="s">
        <v>251</v>
      </c>
      <c r="I369" s="114" t="s">
        <v>747</v>
      </c>
      <c r="J369" s="109">
        <v>583.53</v>
      </c>
      <c r="K369" s="112">
        <f t="shared" si="11"/>
        <v>8.1694200000000002E-3</v>
      </c>
    </row>
    <row r="370" spans="1:11">
      <c r="A370" s="109">
        <v>369</v>
      </c>
      <c r="B370" s="2" t="s">
        <v>757</v>
      </c>
      <c r="C370" s="109" t="s">
        <v>758</v>
      </c>
      <c r="D370" s="109" t="s">
        <v>897</v>
      </c>
      <c r="E370" s="109" t="s">
        <v>630</v>
      </c>
      <c r="F370" s="109"/>
      <c r="G370" s="109">
        <v>125</v>
      </c>
      <c r="H370" s="109" t="s">
        <v>251</v>
      </c>
      <c r="I370" s="114"/>
      <c r="J370" s="109">
        <v>628.04999999999995</v>
      </c>
      <c r="K370" s="112">
        <f t="shared" si="11"/>
        <v>7.850625E-3</v>
      </c>
    </row>
    <row r="371" spans="1:11">
      <c r="A371" s="109">
        <v>370</v>
      </c>
      <c r="B371" s="2" t="s">
        <v>757</v>
      </c>
      <c r="C371" s="109" t="s">
        <v>758</v>
      </c>
      <c r="D371" s="109" t="s">
        <v>897</v>
      </c>
      <c r="E371" s="109" t="s">
        <v>631</v>
      </c>
      <c r="F371" s="109"/>
      <c r="G371" s="109">
        <v>288</v>
      </c>
      <c r="H371" s="109" t="s">
        <v>744</v>
      </c>
      <c r="I371" s="114" t="s">
        <v>748</v>
      </c>
      <c r="J371" s="109">
        <v>1111</v>
      </c>
      <c r="K371" s="112">
        <f t="shared" si="11"/>
        <v>3.1996799999999999E-2</v>
      </c>
    </row>
    <row r="372" spans="1:11">
      <c r="A372" s="109">
        <v>371</v>
      </c>
      <c r="B372" s="2" t="s">
        <v>757</v>
      </c>
      <c r="C372" s="109" t="s">
        <v>758</v>
      </c>
      <c r="D372" s="109" t="s">
        <v>897</v>
      </c>
      <c r="E372" s="109" t="s">
        <v>632</v>
      </c>
      <c r="F372" s="109"/>
      <c r="G372" s="109">
        <v>48</v>
      </c>
      <c r="H372" s="109" t="s">
        <v>744</v>
      </c>
      <c r="I372" s="114"/>
      <c r="J372" s="109">
        <v>940</v>
      </c>
      <c r="K372" s="112">
        <f t="shared" si="11"/>
        <v>4.5120000000000004E-3</v>
      </c>
    </row>
    <row r="373" spans="1:11">
      <c r="A373" s="109">
        <v>372</v>
      </c>
      <c r="B373" s="2" t="s">
        <v>757</v>
      </c>
      <c r="C373" s="109" t="s">
        <v>758</v>
      </c>
      <c r="D373" s="109" t="s">
        <v>897</v>
      </c>
      <c r="E373" s="109" t="s">
        <v>633</v>
      </c>
      <c r="F373" s="109" t="s">
        <v>724</v>
      </c>
      <c r="G373" s="109">
        <v>10</v>
      </c>
      <c r="H373" s="109" t="s">
        <v>745</v>
      </c>
      <c r="I373" s="109" t="s">
        <v>749</v>
      </c>
      <c r="J373" s="109">
        <v>480</v>
      </c>
      <c r="K373" s="112">
        <f t="shared" si="11"/>
        <v>4.8000000000000001E-4</v>
      </c>
    </row>
    <row r="374" spans="1:11">
      <c r="A374" s="109">
        <v>373</v>
      </c>
      <c r="B374" s="2" t="s">
        <v>757</v>
      </c>
      <c r="C374" s="109" t="s">
        <v>758</v>
      </c>
      <c r="D374" s="109" t="s">
        <v>897</v>
      </c>
      <c r="E374" s="109" t="s">
        <v>634</v>
      </c>
      <c r="F374" s="109"/>
      <c r="G374" s="109">
        <v>105</v>
      </c>
      <c r="H374" s="109" t="s">
        <v>744</v>
      </c>
      <c r="I374" s="115" t="s">
        <v>750</v>
      </c>
      <c r="J374" s="109">
        <v>151</v>
      </c>
      <c r="K374" s="112">
        <f t="shared" si="11"/>
        <v>1.5855000000000001E-3</v>
      </c>
    </row>
    <row r="375" spans="1:11">
      <c r="A375" s="109">
        <v>374</v>
      </c>
      <c r="B375" s="2" t="s">
        <v>757</v>
      </c>
      <c r="C375" s="109" t="s">
        <v>758</v>
      </c>
      <c r="D375" s="109" t="s">
        <v>897</v>
      </c>
      <c r="E375" s="110" t="s">
        <v>635</v>
      </c>
      <c r="F375" s="109"/>
      <c r="G375" s="28">
        <v>12</v>
      </c>
      <c r="H375" s="109" t="s">
        <v>250</v>
      </c>
      <c r="I375" s="115"/>
      <c r="J375" s="111">
        <v>17706</v>
      </c>
      <c r="K375" s="112">
        <f t="shared" si="11"/>
        <v>2.1247200000000001E-2</v>
      </c>
    </row>
    <row r="376" spans="1:11">
      <c r="A376" s="109">
        <v>375</v>
      </c>
      <c r="B376" s="2" t="s">
        <v>757</v>
      </c>
      <c r="C376" s="109" t="s">
        <v>758</v>
      </c>
      <c r="D376" s="109" t="s">
        <v>897</v>
      </c>
      <c r="E376" s="110" t="s">
        <v>636</v>
      </c>
      <c r="F376" s="109"/>
      <c r="G376" s="28">
        <v>4</v>
      </c>
      <c r="H376" s="109" t="s">
        <v>250</v>
      </c>
      <c r="I376" s="115"/>
      <c r="J376" s="111">
        <v>23010</v>
      </c>
      <c r="K376" s="112">
        <f t="shared" si="11"/>
        <v>9.2040000000000004E-3</v>
      </c>
    </row>
    <row r="377" spans="1:11">
      <c r="A377" s="109">
        <v>376</v>
      </c>
      <c r="B377" s="2" t="s">
        <v>757</v>
      </c>
      <c r="C377" s="109" t="s">
        <v>758</v>
      </c>
      <c r="D377" s="109" t="s">
        <v>897</v>
      </c>
      <c r="E377" s="110" t="s">
        <v>637</v>
      </c>
      <c r="F377" s="109"/>
      <c r="G377" s="28">
        <v>20</v>
      </c>
      <c r="H377" s="109" t="s">
        <v>250</v>
      </c>
      <c r="I377" s="115"/>
      <c r="J377" s="111">
        <v>23010</v>
      </c>
      <c r="K377" s="112">
        <f t="shared" si="11"/>
        <v>4.6019999999999998E-2</v>
      </c>
    </row>
    <row r="378" spans="1:11">
      <c r="A378" s="109">
        <v>377</v>
      </c>
      <c r="B378" s="2" t="s">
        <v>757</v>
      </c>
      <c r="C378" s="109" t="s">
        <v>758</v>
      </c>
      <c r="D378" s="109" t="s">
        <v>897</v>
      </c>
      <c r="E378" s="110" t="s">
        <v>638</v>
      </c>
      <c r="F378" s="109"/>
      <c r="G378" s="28">
        <v>7</v>
      </c>
      <c r="H378" s="109" t="s">
        <v>250</v>
      </c>
      <c r="I378" s="115"/>
      <c r="J378" s="111">
        <v>15366</v>
      </c>
      <c r="K378" s="112">
        <f t="shared" si="11"/>
        <v>1.07562E-2</v>
      </c>
    </row>
    <row r="379" spans="1:11">
      <c r="A379" s="109">
        <v>378</v>
      </c>
      <c r="B379" s="2" t="s">
        <v>757</v>
      </c>
      <c r="C379" s="109" t="s">
        <v>758</v>
      </c>
      <c r="D379" s="109" t="s">
        <v>1356</v>
      </c>
      <c r="E379" s="109" t="s">
        <v>639</v>
      </c>
      <c r="F379" s="115" t="s">
        <v>725</v>
      </c>
      <c r="G379" s="109">
        <v>8</v>
      </c>
      <c r="H379" s="109" t="s">
        <v>250</v>
      </c>
      <c r="I379" s="115" t="s">
        <v>432</v>
      </c>
      <c r="J379" s="109">
        <v>2800</v>
      </c>
      <c r="K379" s="112">
        <f t="shared" si="11"/>
        <v>2.2399999999999998E-3</v>
      </c>
    </row>
    <row r="380" spans="1:11">
      <c r="A380" s="109">
        <v>379</v>
      </c>
      <c r="B380" s="2" t="s">
        <v>757</v>
      </c>
      <c r="C380" s="109" t="s">
        <v>758</v>
      </c>
      <c r="D380" s="109" t="s">
        <v>1356</v>
      </c>
      <c r="E380" s="109" t="s">
        <v>640</v>
      </c>
      <c r="F380" s="115"/>
      <c r="G380" s="109">
        <v>4</v>
      </c>
      <c r="H380" s="109" t="s">
        <v>250</v>
      </c>
      <c r="I380" s="115"/>
      <c r="J380" s="109">
        <v>580</v>
      </c>
      <c r="K380" s="112">
        <f t="shared" si="11"/>
        <v>2.32E-4</v>
      </c>
    </row>
    <row r="381" spans="1:11">
      <c r="A381" s="109">
        <v>380</v>
      </c>
      <c r="B381" s="2" t="s">
        <v>757</v>
      </c>
      <c r="C381" s="109" t="s">
        <v>758</v>
      </c>
      <c r="D381" s="109" t="s">
        <v>1356</v>
      </c>
      <c r="E381" s="109" t="s">
        <v>641</v>
      </c>
      <c r="F381" s="115"/>
      <c r="G381" s="109">
        <v>4</v>
      </c>
      <c r="H381" s="109" t="s">
        <v>250</v>
      </c>
      <c r="I381" s="115"/>
      <c r="J381" s="109">
        <v>580</v>
      </c>
      <c r="K381" s="112">
        <f t="shared" si="11"/>
        <v>2.32E-4</v>
      </c>
    </row>
    <row r="382" spans="1:11">
      <c r="A382" s="109">
        <v>381</v>
      </c>
      <c r="B382" s="2" t="s">
        <v>757</v>
      </c>
      <c r="C382" s="109" t="s">
        <v>758</v>
      </c>
      <c r="D382" s="109" t="s">
        <v>1356</v>
      </c>
      <c r="E382" s="109" t="s">
        <v>640</v>
      </c>
      <c r="F382" s="115"/>
      <c r="G382" s="109">
        <v>12</v>
      </c>
      <c r="H382" s="109" t="s">
        <v>250</v>
      </c>
      <c r="I382" s="115"/>
      <c r="J382" s="109">
        <v>580</v>
      </c>
      <c r="K382" s="112">
        <f t="shared" si="11"/>
        <v>6.96E-4</v>
      </c>
    </row>
    <row r="383" spans="1:11">
      <c r="A383" s="109">
        <v>382</v>
      </c>
      <c r="B383" s="2" t="s">
        <v>757</v>
      </c>
      <c r="C383" s="109" t="s">
        <v>758</v>
      </c>
      <c r="D383" s="109" t="s">
        <v>984</v>
      </c>
      <c r="E383" s="109" t="s">
        <v>642</v>
      </c>
      <c r="F383" s="115" t="s">
        <v>726</v>
      </c>
      <c r="G383" s="109">
        <v>5</v>
      </c>
      <c r="H383" s="109" t="s">
        <v>250</v>
      </c>
      <c r="I383" s="115"/>
      <c r="J383" s="109">
        <v>823.5</v>
      </c>
      <c r="K383" s="112">
        <f t="shared" si="11"/>
        <v>4.1175000000000001E-4</v>
      </c>
    </row>
    <row r="384" spans="1:11">
      <c r="A384" s="109">
        <v>383</v>
      </c>
      <c r="B384" s="2" t="s">
        <v>757</v>
      </c>
      <c r="C384" s="109" t="s">
        <v>758</v>
      </c>
      <c r="D384" s="109" t="s">
        <v>984</v>
      </c>
      <c r="E384" s="109" t="s">
        <v>643</v>
      </c>
      <c r="F384" s="115"/>
      <c r="G384" s="109">
        <v>1</v>
      </c>
      <c r="H384" s="109" t="s">
        <v>250</v>
      </c>
      <c r="I384" s="115"/>
      <c r="J384" s="109">
        <v>823.5</v>
      </c>
      <c r="K384" s="112">
        <f t="shared" si="11"/>
        <v>8.2349999999999996E-5</v>
      </c>
    </row>
    <row r="385" spans="1:11">
      <c r="A385" s="109">
        <v>384</v>
      </c>
      <c r="B385" s="2" t="s">
        <v>757</v>
      </c>
      <c r="C385" s="109" t="s">
        <v>758</v>
      </c>
      <c r="D385" s="109" t="s">
        <v>984</v>
      </c>
      <c r="E385" s="109" t="s">
        <v>644</v>
      </c>
      <c r="F385" s="115"/>
      <c r="G385" s="109">
        <v>1</v>
      </c>
      <c r="H385" s="109" t="s">
        <v>250</v>
      </c>
      <c r="I385" s="115"/>
      <c r="J385" s="109">
        <v>823.5</v>
      </c>
      <c r="K385" s="112">
        <f t="shared" si="11"/>
        <v>8.2349999999999996E-5</v>
      </c>
    </row>
    <row r="386" spans="1:11">
      <c r="A386" s="109">
        <v>385</v>
      </c>
      <c r="B386" s="2" t="s">
        <v>757</v>
      </c>
      <c r="C386" s="109" t="s">
        <v>758</v>
      </c>
      <c r="D386" s="109" t="s">
        <v>984</v>
      </c>
      <c r="E386" s="109" t="s">
        <v>645</v>
      </c>
      <c r="F386" s="115"/>
      <c r="G386" s="109">
        <v>1</v>
      </c>
      <c r="H386" s="109" t="s">
        <v>250</v>
      </c>
      <c r="I386" s="115"/>
      <c r="J386" s="109">
        <v>823.5</v>
      </c>
      <c r="K386" s="112">
        <f t="shared" si="11"/>
        <v>8.2349999999999996E-5</v>
      </c>
    </row>
    <row r="387" spans="1:11">
      <c r="A387" s="109">
        <v>386</v>
      </c>
      <c r="B387" s="2" t="s">
        <v>757</v>
      </c>
      <c r="C387" s="109" t="s">
        <v>758</v>
      </c>
      <c r="D387" s="109" t="s">
        <v>984</v>
      </c>
      <c r="E387" s="109" t="s">
        <v>646</v>
      </c>
      <c r="F387" s="115"/>
      <c r="G387" s="109">
        <v>1</v>
      </c>
      <c r="H387" s="109" t="s">
        <v>250</v>
      </c>
      <c r="I387" s="115"/>
      <c r="J387" s="109">
        <v>823.5</v>
      </c>
      <c r="K387" s="112">
        <f t="shared" si="11"/>
        <v>8.2349999999999996E-5</v>
      </c>
    </row>
    <row r="388" spans="1:11">
      <c r="A388" s="109">
        <v>387</v>
      </c>
      <c r="B388" s="2" t="s">
        <v>757</v>
      </c>
      <c r="C388" s="109" t="s">
        <v>758</v>
      </c>
      <c r="D388" s="109" t="s">
        <v>984</v>
      </c>
      <c r="E388" s="109" t="s">
        <v>647</v>
      </c>
      <c r="F388" s="115"/>
      <c r="G388" s="109">
        <v>1</v>
      </c>
      <c r="H388" s="109" t="s">
        <v>250</v>
      </c>
      <c r="I388" s="115"/>
      <c r="J388" s="109">
        <v>823.5</v>
      </c>
      <c r="K388" s="112">
        <f t="shared" si="11"/>
        <v>8.2349999999999996E-5</v>
      </c>
    </row>
    <row r="389" spans="1:11">
      <c r="A389" s="109">
        <v>388</v>
      </c>
      <c r="B389" s="2" t="s">
        <v>757</v>
      </c>
      <c r="C389" s="109" t="s">
        <v>758</v>
      </c>
      <c r="D389" s="109" t="s">
        <v>984</v>
      </c>
      <c r="E389" s="109" t="s">
        <v>648</v>
      </c>
      <c r="F389" s="115"/>
      <c r="G389" s="109">
        <v>1</v>
      </c>
      <c r="H389" s="109" t="s">
        <v>250</v>
      </c>
      <c r="I389" s="115"/>
      <c r="J389" s="109">
        <v>3705.75</v>
      </c>
      <c r="K389" s="112">
        <f t="shared" si="11"/>
        <v>3.70575E-4</v>
      </c>
    </row>
    <row r="390" spans="1:11">
      <c r="A390" s="109">
        <v>389</v>
      </c>
      <c r="B390" s="2" t="s">
        <v>757</v>
      </c>
      <c r="C390" s="109" t="s">
        <v>758</v>
      </c>
      <c r="D390" s="109" t="s">
        <v>984</v>
      </c>
      <c r="E390" s="109" t="s">
        <v>649</v>
      </c>
      <c r="F390" s="115"/>
      <c r="G390" s="109">
        <v>1</v>
      </c>
      <c r="H390" s="109" t="s">
        <v>250</v>
      </c>
      <c r="I390" s="115"/>
      <c r="J390" s="109">
        <v>2882.25</v>
      </c>
      <c r="K390" s="112">
        <f t="shared" si="11"/>
        <v>2.8822500000000003E-4</v>
      </c>
    </row>
    <row r="391" spans="1:11">
      <c r="A391" s="109">
        <v>390</v>
      </c>
      <c r="B391" s="2" t="s">
        <v>757</v>
      </c>
      <c r="C391" s="109" t="s">
        <v>758</v>
      </c>
      <c r="D391" s="109" t="s">
        <v>984</v>
      </c>
      <c r="E391" s="109" t="s">
        <v>650</v>
      </c>
      <c r="F391" s="115"/>
      <c r="G391" s="109">
        <v>1</v>
      </c>
      <c r="H391" s="109" t="s">
        <v>250</v>
      </c>
      <c r="I391" s="115"/>
      <c r="J391" s="109">
        <v>1317.6</v>
      </c>
      <c r="K391" s="112">
        <f t="shared" si="11"/>
        <v>1.3176E-4</v>
      </c>
    </row>
    <row r="392" spans="1:11">
      <c r="A392" s="109">
        <v>391</v>
      </c>
      <c r="B392" s="2" t="s">
        <v>757</v>
      </c>
      <c r="C392" s="109" t="s">
        <v>758</v>
      </c>
      <c r="D392" s="109" t="s">
        <v>984</v>
      </c>
      <c r="E392" s="109" t="s">
        <v>651</v>
      </c>
      <c r="F392" s="115"/>
      <c r="G392" s="109">
        <v>1</v>
      </c>
      <c r="H392" s="109" t="s">
        <v>250</v>
      </c>
      <c r="I392" s="115"/>
      <c r="J392" s="109">
        <v>1029.375</v>
      </c>
      <c r="K392" s="112">
        <f t="shared" si="11"/>
        <v>1.029375E-4</v>
      </c>
    </row>
    <row r="393" spans="1:11">
      <c r="A393" s="109">
        <v>392</v>
      </c>
      <c r="B393" s="2" t="s">
        <v>757</v>
      </c>
      <c r="C393" s="109" t="s">
        <v>758</v>
      </c>
      <c r="D393" s="109" t="s">
        <v>984</v>
      </c>
      <c r="E393" s="109" t="s">
        <v>652</v>
      </c>
      <c r="F393" s="115"/>
      <c r="G393" s="109">
        <v>2</v>
      </c>
      <c r="H393" s="109" t="s">
        <v>250</v>
      </c>
      <c r="I393" s="115"/>
      <c r="J393" s="109">
        <v>823.5</v>
      </c>
      <c r="K393" s="112">
        <f t="shared" si="11"/>
        <v>1.6469999999999999E-4</v>
      </c>
    </row>
    <row r="394" spans="1:11">
      <c r="A394" s="109">
        <v>393</v>
      </c>
      <c r="B394" s="2" t="s">
        <v>757</v>
      </c>
      <c r="C394" s="109" t="s">
        <v>758</v>
      </c>
      <c r="D394" s="109" t="s">
        <v>1357</v>
      </c>
      <c r="E394" s="109" t="s">
        <v>653</v>
      </c>
      <c r="F394" s="115" t="s">
        <v>727</v>
      </c>
      <c r="G394" s="109">
        <v>7</v>
      </c>
      <c r="H394" s="109" t="s">
        <v>250</v>
      </c>
      <c r="I394" s="115"/>
      <c r="J394" s="109">
        <v>823.5</v>
      </c>
      <c r="K394" s="112">
        <f t="shared" si="11"/>
        <v>5.7645000000000005E-4</v>
      </c>
    </row>
    <row r="395" spans="1:11">
      <c r="A395" s="109">
        <v>394</v>
      </c>
      <c r="B395" s="2" t="s">
        <v>757</v>
      </c>
      <c r="C395" s="109" t="s">
        <v>758</v>
      </c>
      <c r="D395" s="109" t="s">
        <v>1357</v>
      </c>
      <c r="E395" s="109" t="s">
        <v>654</v>
      </c>
      <c r="F395" s="115"/>
      <c r="G395" s="109">
        <v>2</v>
      </c>
      <c r="H395" s="109" t="s">
        <v>250</v>
      </c>
      <c r="I395" s="115"/>
      <c r="J395" s="109">
        <v>1008.788</v>
      </c>
      <c r="K395" s="112">
        <f t="shared" si="11"/>
        <v>2.0175760000000001E-4</v>
      </c>
    </row>
    <row r="396" spans="1:11">
      <c r="A396" s="109">
        <v>395</v>
      </c>
      <c r="B396" s="2" t="s">
        <v>757</v>
      </c>
      <c r="C396" s="109" t="s">
        <v>758</v>
      </c>
      <c r="D396" s="109" t="s">
        <v>1357</v>
      </c>
      <c r="E396" s="109" t="s">
        <v>655</v>
      </c>
      <c r="F396" s="115"/>
      <c r="G396" s="109">
        <v>2</v>
      </c>
      <c r="H396" s="109" t="s">
        <v>250</v>
      </c>
      <c r="I396" s="115"/>
      <c r="J396" s="109">
        <v>823.5</v>
      </c>
      <c r="K396" s="112">
        <f t="shared" si="11"/>
        <v>1.6469999999999999E-4</v>
      </c>
    </row>
    <row r="397" spans="1:11">
      <c r="A397" s="109">
        <v>396</v>
      </c>
      <c r="B397" s="2" t="s">
        <v>757</v>
      </c>
      <c r="C397" s="109" t="s">
        <v>758</v>
      </c>
      <c r="D397" s="109" t="s">
        <v>1357</v>
      </c>
      <c r="E397" s="109" t="s">
        <v>656</v>
      </c>
      <c r="F397" s="115"/>
      <c r="G397" s="109">
        <v>9</v>
      </c>
      <c r="H397" s="109" t="s">
        <v>250</v>
      </c>
      <c r="I397" s="115"/>
      <c r="J397" s="109">
        <v>4117.5</v>
      </c>
      <c r="K397" s="112">
        <f t="shared" si="11"/>
        <v>3.7057499999999998E-3</v>
      </c>
    </row>
    <row r="398" spans="1:11">
      <c r="A398" s="109">
        <v>397</v>
      </c>
      <c r="B398" s="2" t="s">
        <v>757</v>
      </c>
      <c r="C398" s="109" t="s">
        <v>758</v>
      </c>
      <c r="D398" s="109" t="s">
        <v>1357</v>
      </c>
      <c r="E398" s="109" t="s">
        <v>657</v>
      </c>
      <c r="F398" s="115"/>
      <c r="G398" s="109">
        <v>1</v>
      </c>
      <c r="H398" s="109" t="s">
        <v>250</v>
      </c>
      <c r="I398" s="115"/>
      <c r="J398" s="109">
        <v>4282.2</v>
      </c>
      <c r="K398" s="112">
        <f t="shared" si="11"/>
        <v>4.2821999999999999E-4</v>
      </c>
    </row>
    <row r="399" spans="1:11">
      <c r="A399" s="109">
        <v>398</v>
      </c>
      <c r="B399" s="2" t="s">
        <v>757</v>
      </c>
      <c r="C399" s="109" t="s">
        <v>758</v>
      </c>
      <c r="D399" s="109" t="s">
        <v>1357</v>
      </c>
      <c r="E399" s="109" t="s">
        <v>658</v>
      </c>
      <c r="F399" s="115"/>
      <c r="G399" s="109">
        <v>1</v>
      </c>
      <c r="H399" s="109" t="s">
        <v>250</v>
      </c>
      <c r="I399" s="115"/>
      <c r="J399" s="109">
        <v>2305.8000000000002</v>
      </c>
      <c r="K399" s="112">
        <f t="shared" si="11"/>
        <v>2.3058E-4</v>
      </c>
    </row>
    <row r="400" spans="1:11">
      <c r="A400" s="109">
        <v>399</v>
      </c>
      <c r="B400" s="2" t="s">
        <v>757</v>
      </c>
      <c r="C400" s="109" t="s">
        <v>758</v>
      </c>
      <c r="D400" s="109" t="s">
        <v>1357</v>
      </c>
      <c r="E400" s="109" t="s">
        <v>659</v>
      </c>
      <c r="F400" s="115"/>
      <c r="G400" s="109">
        <v>4</v>
      </c>
      <c r="H400" s="109" t="s">
        <v>250</v>
      </c>
      <c r="I400" s="115"/>
      <c r="J400" s="109">
        <v>4611.6000000000004</v>
      </c>
      <c r="K400" s="112">
        <f t="shared" si="11"/>
        <v>1.84464E-3</v>
      </c>
    </row>
    <row r="401" spans="1:11">
      <c r="A401" s="109">
        <v>400</v>
      </c>
      <c r="B401" s="2" t="s">
        <v>757</v>
      </c>
      <c r="C401" s="109" t="s">
        <v>758</v>
      </c>
      <c r="D401" s="109" t="s">
        <v>897</v>
      </c>
      <c r="E401" s="109" t="s">
        <v>660</v>
      </c>
      <c r="F401" s="115" t="s">
        <v>728</v>
      </c>
      <c r="G401" s="109">
        <v>5</v>
      </c>
      <c r="H401" s="109" t="s">
        <v>250</v>
      </c>
      <c r="I401" s="115"/>
      <c r="J401" s="109">
        <v>1350</v>
      </c>
      <c r="K401" s="112">
        <f t="shared" si="11"/>
        <v>6.7500000000000004E-4</v>
      </c>
    </row>
    <row r="402" spans="1:11">
      <c r="A402" s="109">
        <v>401</v>
      </c>
      <c r="B402" s="2" t="s">
        <v>757</v>
      </c>
      <c r="C402" s="109" t="s">
        <v>758</v>
      </c>
      <c r="D402" s="109" t="s">
        <v>897</v>
      </c>
      <c r="E402" s="109" t="s">
        <v>661</v>
      </c>
      <c r="F402" s="115"/>
      <c r="G402" s="109">
        <v>1</v>
      </c>
      <c r="H402" s="109" t="s">
        <v>250</v>
      </c>
      <c r="I402" s="115"/>
      <c r="J402" s="109">
        <v>1687.5</v>
      </c>
      <c r="K402" s="112">
        <f t="shared" si="11"/>
        <v>1.6875000000000001E-4</v>
      </c>
    </row>
    <row r="403" spans="1:11">
      <c r="A403" s="109">
        <v>402</v>
      </c>
      <c r="B403" s="2" t="s">
        <v>757</v>
      </c>
      <c r="C403" s="109" t="s">
        <v>758</v>
      </c>
      <c r="D403" s="109" t="s">
        <v>862</v>
      </c>
      <c r="E403" s="110" t="s">
        <v>662</v>
      </c>
      <c r="F403" s="109"/>
      <c r="G403" s="109">
        <v>1</v>
      </c>
      <c r="H403" s="109" t="s">
        <v>250</v>
      </c>
      <c r="I403" s="115" t="s">
        <v>751</v>
      </c>
      <c r="J403" s="111">
        <v>46831</v>
      </c>
      <c r="K403" s="112">
        <f t="shared" si="11"/>
        <v>4.6830999999999999E-3</v>
      </c>
    </row>
    <row r="404" spans="1:11">
      <c r="A404" s="109">
        <v>403</v>
      </c>
      <c r="B404" s="2" t="s">
        <v>757</v>
      </c>
      <c r="C404" s="109" t="s">
        <v>758</v>
      </c>
      <c r="D404" s="109" t="s">
        <v>862</v>
      </c>
      <c r="E404" s="110" t="s">
        <v>663</v>
      </c>
      <c r="F404" s="109"/>
      <c r="G404" s="109">
        <v>4</v>
      </c>
      <c r="H404" s="109" t="s">
        <v>250</v>
      </c>
      <c r="I404" s="115"/>
      <c r="J404" s="111">
        <v>42873</v>
      </c>
      <c r="K404" s="112">
        <f t="shared" si="11"/>
        <v>1.71492E-2</v>
      </c>
    </row>
    <row r="405" spans="1:11">
      <c r="A405" s="109">
        <v>404</v>
      </c>
      <c r="B405" s="2" t="s">
        <v>757</v>
      </c>
      <c r="C405" s="109" t="s">
        <v>758</v>
      </c>
      <c r="D405" s="109" t="s">
        <v>862</v>
      </c>
      <c r="E405" s="110" t="s">
        <v>664</v>
      </c>
      <c r="F405" s="109"/>
      <c r="G405" s="109">
        <v>8</v>
      </c>
      <c r="H405" s="109" t="s">
        <v>250</v>
      </c>
      <c r="I405" s="115"/>
      <c r="J405" s="109">
        <v>746</v>
      </c>
      <c r="K405" s="112">
        <f t="shared" si="11"/>
        <v>5.9679999999999998E-4</v>
      </c>
    </row>
    <row r="406" spans="1:11">
      <c r="A406" s="109">
        <v>405</v>
      </c>
      <c r="B406" s="2" t="s">
        <v>757</v>
      </c>
      <c r="C406" s="109" t="s">
        <v>758</v>
      </c>
      <c r="D406" s="109" t="s">
        <v>897</v>
      </c>
      <c r="E406" s="110" t="s">
        <v>665</v>
      </c>
      <c r="F406" s="109"/>
      <c r="G406" s="109">
        <v>12</v>
      </c>
      <c r="H406" s="109" t="s">
        <v>250</v>
      </c>
      <c r="I406" s="115"/>
      <c r="J406" s="109">
        <v>332</v>
      </c>
      <c r="K406" s="112">
        <f t="shared" si="11"/>
        <v>3.9839999999999998E-4</v>
      </c>
    </row>
    <row r="407" spans="1:11">
      <c r="A407" s="109">
        <v>406</v>
      </c>
      <c r="B407" s="2" t="s">
        <v>757</v>
      </c>
      <c r="C407" s="109" t="s">
        <v>758</v>
      </c>
      <c r="D407" s="109" t="s">
        <v>1355</v>
      </c>
      <c r="E407" s="109" t="s">
        <v>666</v>
      </c>
      <c r="F407" s="109"/>
      <c r="G407" s="109">
        <v>85</v>
      </c>
      <c r="H407" s="109" t="s">
        <v>250</v>
      </c>
      <c r="I407" s="114" t="s">
        <v>752</v>
      </c>
      <c r="J407" s="111">
        <v>780</v>
      </c>
      <c r="K407" s="112">
        <f t="shared" si="11"/>
        <v>6.6299999999999996E-3</v>
      </c>
    </row>
    <row r="408" spans="1:11">
      <c r="A408" s="109">
        <v>407</v>
      </c>
      <c r="B408" s="2" t="s">
        <v>757</v>
      </c>
      <c r="C408" s="109" t="s">
        <v>758</v>
      </c>
      <c r="D408" s="109" t="s">
        <v>1355</v>
      </c>
      <c r="E408" s="109" t="s">
        <v>667</v>
      </c>
      <c r="F408" s="109"/>
      <c r="G408" s="109">
        <v>145</v>
      </c>
      <c r="H408" s="109" t="s">
        <v>250</v>
      </c>
      <c r="I408" s="114"/>
      <c r="J408" s="111">
        <v>561</v>
      </c>
      <c r="K408" s="112">
        <f t="shared" si="11"/>
        <v>8.1344999999999994E-3</v>
      </c>
    </row>
    <row r="409" spans="1:11">
      <c r="A409" s="109">
        <v>408</v>
      </c>
      <c r="B409" s="2" t="s">
        <v>757</v>
      </c>
      <c r="C409" s="109" t="s">
        <v>758</v>
      </c>
      <c r="D409" s="109" t="s">
        <v>1355</v>
      </c>
      <c r="E409" s="109" t="s">
        <v>668</v>
      </c>
      <c r="F409" s="109"/>
      <c r="G409" s="109">
        <v>34</v>
      </c>
      <c r="H409" s="109" t="s">
        <v>250</v>
      </c>
      <c r="I409" s="114"/>
      <c r="J409" s="111">
        <v>233</v>
      </c>
      <c r="K409" s="112">
        <f t="shared" si="11"/>
        <v>7.9219999999999996E-4</v>
      </c>
    </row>
    <row r="410" spans="1:11">
      <c r="A410" s="109">
        <v>409</v>
      </c>
      <c r="B410" s="2" t="s">
        <v>757</v>
      </c>
      <c r="C410" s="109" t="s">
        <v>758</v>
      </c>
      <c r="D410" s="109" t="s">
        <v>1355</v>
      </c>
      <c r="E410" s="109" t="s">
        <v>669</v>
      </c>
      <c r="F410" s="109"/>
      <c r="G410" s="109">
        <v>110</v>
      </c>
      <c r="H410" s="109" t="s">
        <v>250</v>
      </c>
      <c r="I410" s="114"/>
      <c r="J410" s="111">
        <v>233</v>
      </c>
      <c r="K410" s="112">
        <f t="shared" si="11"/>
        <v>2.5630000000000002E-3</v>
      </c>
    </row>
    <row r="411" spans="1:11">
      <c r="A411" s="109">
        <v>410</v>
      </c>
      <c r="B411" s="2" t="s">
        <v>757</v>
      </c>
      <c r="C411" s="109" t="s">
        <v>758</v>
      </c>
      <c r="D411" s="109" t="s">
        <v>1355</v>
      </c>
      <c r="E411" s="109" t="s">
        <v>670</v>
      </c>
      <c r="F411" s="109"/>
      <c r="G411" s="109">
        <v>200</v>
      </c>
      <c r="H411" s="109" t="s">
        <v>250</v>
      </c>
      <c r="I411" s="114"/>
      <c r="J411" s="111">
        <v>233</v>
      </c>
      <c r="K411" s="112">
        <f t="shared" si="11"/>
        <v>4.6600000000000001E-3</v>
      </c>
    </row>
    <row r="412" spans="1:11">
      <c r="A412" s="109">
        <v>411</v>
      </c>
      <c r="B412" s="2" t="s">
        <v>757</v>
      </c>
      <c r="C412" s="109" t="s">
        <v>758</v>
      </c>
      <c r="D412" s="109" t="s">
        <v>1355</v>
      </c>
      <c r="E412" s="109" t="s">
        <v>671</v>
      </c>
      <c r="F412" s="109"/>
      <c r="G412" s="109">
        <v>100</v>
      </c>
      <c r="H412" s="109" t="s">
        <v>250</v>
      </c>
      <c r="I412" s="114"/>
      <c r="J412" s="109">
        <v>260</v>
      </c>
      <c r="K412" s="112">
        <f t="shared" si="11"/>
        <v>2.5999999999999999E-3</v>
      </c>
    </row>
    <row r="413" spans="1:11">
      <c r="A413" s="109">
        <v>412</v>
      </c>
      <c r="B413" s="2" t="s">
        <v>757</v>
      </c>
      <c r="C413" s="109" t="s">
        <v>758</v>
      </c>
      <c r="D413" s="109" t="s">
        <v>1355</v>
      </c>
      <c r="E413" s="109" t="s">
        <v>672</v>
      </c>
      <c r="F413" s="109"/>
      <c r="G413" s="109">
        <v>17</v>
      </c>
      <c r="H413" s="109" t="s">
        <v>250</v>
      </c>
      <c r="I413" s="114"/>
      <c r="J413" s="109">
        <v>342</v>
      </c>
      <c r="K413" s="112">
        <f t="shared" si="11"/>
        <v>5.8140000000000004E-4</v>
      </c>
    </row>
    <row r="414" spans="1:11">
      <c r="A414" s="109">
        <v>413</v>
      </c>
      <c r="B414" s="2" t="s">
        <v>757</v>
      </c>
      <c r="C414" s="109" t="s">
        <v>758</v>
      </c>
      <c r="D414" s="109" t="s">
        <v>1355</v>
      </c>
      <c r="E414" s="109" t="s">
        <v>673</v>
      </c>
      <c r="F414" s="109"/>
      <c r="G414" s="109">
        <v>10</v>
      </c>
      <c r="H414" s="109" t="s">
        <v>250</v>
      </c>
      <c r="I414" s="114"/>
      <c r="J414" s="109">
        <v>427</v>
      </c>
      <c r="K414" s="112">
        <f t="shared" si="11"/>
        <v>4.2700000000000002E-4</v>
      </c>
    </row>
    <row r="415" spans="1:11">
      <c r="A415" s="109">
        <v>414</v>
      </c>
      <c r="B415" s="2" t="s">
        <v>757</v>
      </c>
      <c r="C415" s="109" t="s">
        <v>758</v>
      </c>
      <c r="D415" s="109" t="s">
        <v>1355</v>
      </c>
      <c r="E415" s="109" t="s">
        <v>674</v>
      </c>
      <c r="F415" s="109"/>
      <c r="G415" s="109">
        <v>29</v>
      </c>
      <c r="H415" s="109" t="s">
        <v>250</v>
      </c>
      <c r="I415" s="114"/>
      <c r="J415" s="109">
        <v>944</v>
      </c>
      <c r="K415" s="112">
        <f t="shared" si="11"/>
        <v>2.7376000000000002E-3</v>
      </c>
    </row>
    <row r="416" spans="1:11">
      <c r="A416" s="109">
        <v>415</v>
      </c>
      <c r="B416" s="2" t="s">
        <v>757</v>
      </c>
      <c r="C416" s="109" t="s">
        <v>758</v>
      </c>
      <c r="D416" s="109" t="s">
        <v>1355</v>
      </c>
      <c r="E416" s="109" t="s">
        <v>675</v>
      </c>
      <c r="F416" s="109"/>
      <c r="G416" s="109">
        <v>12</v>
      </c>
      <c r="H416" s="109" t="s">
        <v>250</v>
      </c>
      <c r="I416" s="114"/>
      <c r="J416" s="109">
        <v>911</v>
      </c>
      <c r="K416" s="112">
        <f t="shared" si="11"/>
        <v>1.0931999999999999E-3</v>
      </c>
    </row>
    <row r="417" spans="1:11">
      <c r="A417" s="109">
        <v>416</v>
      </c>
      <c r="B417" s="2" t="s">
        <v>757</v>
      </c>
      <c r="C417" s="109" t="s">
        <v>758</v>
      </c>
      <c r="D417" s="109" t="s">
        <v>897</v>
      </c>
      <c r="E417" s="109" t="s">
        <v>676</v>
      </c>
      <c r="F417" s="109"/>
      <c r="G417" s="109">
        <v>7</v>
      </c>
      <c r="H417" s="109" t="s">
        <v>250</v>
      </c>
      <c r="I417" s="114"/>
      <c r="J417" s="109">
        <v>428</v>
      </c>
      <c r="K417" s="112">
        <f>(J417*G417)/10000000</f>
        <v>2.9960000000000002E-4</v>
      </c>
    </row>
    <row r="418" spans="1:11">
      <c r="A418" s="109">
        <v>417</v>
      </c>
      <c r="B418" s="2" t="s">
        <v>757</v>
      </c>
      <c r="C418" s="109" t="s">
        <v>758</v>
      </c>
      <c r="D418" s="109" t="s">
        <v>716</v>
      </c>
      <c r="E418" s="109" t="s">
        <v>677</v>
      </c>
      <c r="F418" s="109" t="s">
        <v>729</v>
      </c>
      <c r="G418" s="109">
        <v>2</v>
      </c>
      <c r="H418" s="109" t="s">
        <v>250</v>
      </c>
      <c r="I418" s="114"/>
      <c r="J418" s="111">
        <v>1597</v>
      </c>
      <c r="K418" s="112">
        <f t="shared" si="11"/>
        <v>3.1940000000000001E-4</v>
      </c>
    </row>
    <row r="419" spans="1:11">
      <c r="A419" s="109">
        <v>418</v>
      </c>
      <c r="B419" s="2" t="s">
        <v>757</v>
      </c>
      <c r="C419" s="109" t="s">
        <v>758</v>
      </c>
      <c r="D419" s="109" t="s">
        <v>716</v>
      </c>
      <c r="E419" s="109" t="s">
        <v>678</v>
      </c>
      <c r="F419" s="109" t="s">
        <v>729</v>
      </c>
      <c r="G419" s="109">
        <v>7</v>
      </c>
      <c r="H419" s="109" t="s">
        <v>250</v>
      </c>
      <c r="I419" s="114"/>
      <c r="J419" s="111">
        <v>1810</v>
      </c>
      <c r="K419" s="112">
        <f t="shared" si="11"/>
        <v>1.2669999999999999E-3</v>
      </c>
    </row>
    <row r="420" spans="1:11">
      <c r="A420" s="109">
        <v>419</v>
      </c>
      <c r="B420" s="2" t="s">
        <v>757</v>
      </c>
      <c r="C420" s="109" t="s">
        <v>758</v>
      </c>
      <c r="D420" s="109" t="s">
        <v>716</v>
      </c>
      <c r="E420" s="109" t="s">
        <v>679</v>
      </c>
      <c r="F420" s="109" t="s">
        <v>729</v>
      </c>
      <c r="G420" s="109">
        <v>18</v>
      </c>
      <c r="H420" s="109" t="s">
        <v>250</v>
      </c>
      <c r="I420" s="114"/>
      <c r="J420" s="111">
        <v>1025.5</v>
      </c>
      <c r="K420" s="112">
        <f t="shared" si="11"/>
        <v>1.8458999999999999E-3</v>
      </c>
    </row>
    <row r="421" spans="1:11">
      <c r="A421" s="109">
        <v>420</v>
      </c>
      <c r="B421" s="2" t="s">
        <v>757</v>
      </c>
      <c r="C421" s="109" t="s">
        <v>758</v>
      </c>
      <c r="D421" s="109" t="s">
        <v>716</v>
      </c>
      <c r="E421" s="109" t="s">
        <v>680</v>
      </c>
      <c r="F421" s="109" t="s">
        <v>729</v>
      </c>
      <c r="G421" s="109">
        <v>16</v>
      </c>
      <c r="H421" s="109" t="s">
        <v>250</v>
      </c>
      <c r="I421" s="114"/>
      <c r="J421" s="111">
        <v>1597.2</v>
      </c>
      <c r="K421" s="112">
        <f t="shared" si="11"/>
        <v>2.5555199999999999E-3</v>
      </c>
    </row>
    <row r="422" spans="1:11">
      <c r="A422" s="109">
        <v>421</v>
      </c>
      <c r="B422" s="2" t="s">
        <v>757</v>
      </c>
      <c r="C422" s="109" t="s">
        <v>758</v>
      </c>
      <c r="D422" s="109" t="s">
        <v>716</v>
      </c>
      <c r="E422" s="109" t="s">
        <v>681</v>
      </c>
      <c r="F422" s="109" t="s">
        <v>729</v>
      </c>
      <c r="G422" s="109">
        <v>5</v>
      </c>
      <c r="H422" s="109" t="s">
        <v>250</v>
      </c>
      <c r="I422" s="114"/>
      <c r="J422" s="111">
        <v>1234.5</v>
      </c>
      <c r="K422" s="112">
        <f t="shared" si="11"/>
        <v>6.1724999999999996E-4</v>
      </c>
    </row>
    <row r="423" spans="1:11">
      <c r="A423" s="109">
        <v>422</v>
      </c>
      <c r="B423" s="2" t="s">
        <v>757</v>
      </c>
      <c r="C423" s="109" t="s">
        <v>758</v>
      </c>
      <c r="D423" s="109" t="s">
        <v>716</v>
      </c>
      <c r="E423" s="109" t="s">
        <v>682</v>
      </c>
      <c r="F423" s="109" t="s">
        <v>729</v>
      </c>
      <c r="G423" s="109">
        <v>2</v>
      </c>
      <c r="H423" s="109" t="s">
        <v>250</v>
      </c>
      <c r="I423" s="114"/>
      <c r="J423" s="111">
        <v>1234.5</v>
      </c>
      <c r="K423" s="112">
        <f t="shared" si="11"/>
        <v>2.4689999999999998E-4</v>
      </c>
    </row>
    <row r="424" spans="1:11">
      <c r="A424" s="109">
        <v>423</v>
      </c>
      <c r="B424" s="2" t="s">
        <v>757</v>
      </c>
      <c r="C424" s="109" t="s">
        <v>758</v>
      </c>
      <c r="D424" s="109" t="s">
        <v>716</v>
      </c>
      <c r="E424" s="109" t="s">
        <v>683</v>
      </c>
      <c r="F424" s="109" t="s">
        <v>729</v>
      </c>
      <c r="G424" s="109">
        <v>12</v>
      </c>
      <c r="H424" s="109" t="s">
        <v>250</v>
      </c>
      <c r="I424" s="114"/>
      <c r="J424" s="111">
        <v>1597.2</v>
      </c>
      <c r="K424" s="112">
        <f t="shared" si="11"/>
        <v>1.9166400000000001E-3</v>
      </c>
    </row>
    <row r="425" spans="1:11">
      <c r="A425" s="109">
        <v>424</v>
      </c>
      <c r="B425" s="2" t="s">
        <v>757</v>
      </c>
      <c r="C425" s="109" t="s">
        <v>758</v>
      </c>
      <c r="D425" s="109" t="s">
        <v>716</v>
      </c>
      <c r="E425" s="109" t="s">
        <v>684</v>
      </c>
      <c r="F425" s="109"/>
      <c r="G425" s="109">
        <f>63+4+36</f>
        <v>103</v>
      </c>
      <c r="H425" s="109" t="s">
        <v>250</v>
      </c>
      <c r="I425" s="114"/>
      <c r="J425" s="111">
        <v>2868.6</v>
      </c>
      <c r="K425" s="112">
        <f t="shared" si="11"/>
        <v>2.9546579999999999E-2</v>
      </c>
    </row>
    <row r="426" spans="1:11">
      <c r="A426" s="109">
        <v>425</v>
      </c>
      <c r="B426" s="2" t="s">
        <v>757</v>
      </c>
      <c r="C426" s="109" t="s">
        <v>758</v>
      </c>
      <c r="D426" s="109" t="s">
        <v>716</v>
      </c>
      <c r="E426" s="109" t="s">
        <v>685</v>
      </c>
      <c r="F426" s="109"/>
      <c r="G426" s="109">
        <v>25</v>
      </c>
      <c r="H426" s="109" t="s">
        <v>250</v>
      </c>
      <c r="I426" s="114"/>
      <c r="J426" s="111">
        <v>1425.6</v>
      </c>
      <c r="K426" s="112">
        <f t="shared" ref="K426:K489" si="12">(J426*G426)/10000000</f>
        <v>3.5639999999999999E-3</v>
      </c>
    </row>
    <row r="427" spans="1:11">
      <c r="A427" s="109">
        <v>426</v>
      </c>
      <c r="B427" s="2" t="s">
        <v>757</v>
      </c>
      <c r="C427" s="109" t="s">
        <v>758</v>
      </c>
      <c r="D427" s="109" t="s">
        <v>716</v>
      </c>
      <c r="E427" s="109" t="s">
        <v>686</v>
      </c>
      <c r="F427" s="109"/>
      <c r="G427" s="109">
        <v>9</v>
      </c>
      <c r="H427" s="109" t="s">
        <v>250</v>
      </c>
      <c r="I427" s="114"/>
      <c r="J427" s="111">
        <v>1600</v>
      </c>
      <c r="K427" s="112">
        <f t="shared" si="12"/>
        <v>1.4400000000000001E-3</v>
      </c>
    </row>
    <row r="428" spans="1:11">
      <c r="A428" s="109">
        <v>427</v>
      </c>
      <c r="B428" s="2" t="s">
        <v>757</v>
      </c>
      <c r="C428" s="109" t="s">
        <v>758</v>
      </c>
      <c r="D428" s="109" t="s">
        <v>716</v>
      </c>
      <c r="E428" s="109" t="s">
        <v>687</v>
      </c>
      <c r="F428" s="109"/>
      <c r="G428" s="109">
        <f>85+15+8+5+12+12</f>
        <v>137</v>
      </c>
      <c r="H428" s="109" t="s">
        <v>250</v>
      </c>
      <c r="I428" s="114"/>
      <c r="J428" s="111">
        <v>1160</v>
      </c>
      <c r="K428" s="112">
        <f t="shared" si="12"/>
        <v>1.5892E-2</v>
      </c>
    </row>
    <row r="429" spans="1:11">
      <c r="A429" s="109">
        <v>428</v>
      </c>
      <c r="B429" s="2" t="s">
        <v>757</v>
      </c>
      <c r="C429" s="109" t="s">
        <v>758</v>
      </c>
      <c r="D429" s="109" t="s">
        <v>716</v>
      </c>
      <c r="E429" s="109" t="s">
        <v>688</v>
      </c>
      <c r="F429" s="109"/>
      <c r="G429" s="109">
        <v>26</v>
      </c>
      <c r="H429" s="109" t="s">
        <v>250</v>
      </c>
      <c r="I429" s="114"/>
      <c r="J429" s="111">
        <v>823</v>
      </c>
      <c r="K429" s="112">
        <f t="shared" si="12"/>
        <v>2.1397999999999999E-3</v>
      </c>
    </row>
    <row r="430" spans="1:11">
      <c r="A430" s="109">
        <v>429</v>
      </c>
      <c r="B430" s="2" t="s">
        <v>757</v>
      </c>
      <c r="C430" s="109" t="s">
        <v>758</v>
      </c>
      <c r="D430" s="109" t="s">
        <v>716</v>
      </c>
      <c r="E430" s="109" t="s">
        <v>689</v>
      </c>
      <c r="F430" s="109"/>
      <c r="G430" s="109">
        <v>10</v>
      </c>
      <c r="H430" s="109" t="s">
        <v>250</v>
      </c>
      <c r="I430" s="114"/>
      <c r="J430" s="111">
        <v>2868.6</v>
      </c>
      <c r="K430" s="112">
        <f t="shared" si="12"/>
        <v>2.8685999999999998E-3</v>
      </c>
    </row>
    <row r="431" spans="1:11">
      <c r="A431" s="109">
        <v>430</v>
      </c>
      <c r="B431" s="2" t="s">
        <v>757</v>
      </c>
      <c r="C431" s="109" t="s">
        <v>758</v>
      </c>
      <c r="D431" s="109" t="s">
        <v>716</v>
      </c>
      <c r="E431" s="109" t="s">
        <v>690</v>
      </c>
      <c r="F431" s="109"/>
      <c r="G431" s="109">
        <v>12</v>
      </c>
      <c r="H431" s="109" t="s">
        <v>250</v>
      </c>
      <c r="I431" s="114"/>
      <c r="J431" s="111">
        <v>1540</v>
      </c>
      <c r="K431" s="112">
        <f t="shared" si="12"/>
        <v>1.848E-3</v>
      </c>
    </row>
    <row r="432" spans="1:11">
      <c r="A432" s="109">
        <v>431</v>
      </c>
      <c r="B432" s="2" t="s">
        <v>757</v>
      </c>
      <c r="C432" s="109" t="s">
        <v>758</v>
      </c>
      <c r="D432" s="109" t="s">
        <v>716</v>
      </c>
      <c r="E432" s="109" t="s">
        <v>691</v>
      </c>
      <c r="F432" s="109"/>
      <c r="G432" s="109">
        <v>16</v>
      </c>
      <c r="H432" s="109" t="s">
        <v>250</v>
      </c>
      <c r="I432" s="114"/>
      <c r="J432" s="111">
        <v>1160</v>
      </c>
      <c r="K432" s="112">
        <f t="shared" si="12"/>
        <v>1.856E-3</v>
      </c>
    </row>
    <row r="433" spans="1:11">
      <c r="A433" s="109">
        <v>432</v>
      </c>
      <c r="B433" s="2" t="s">
        <v>757</v>
      </c>
      <c r="C433" s="109" t="s">
        <v>758</v>
      </c>
      <c r="D433" s="109" t="s">
        <v>716</v>
      </c>
      <c r="E433" s="109" t="s">
        <v>692</v>
      </c>
      <c r="F433" s="109"/>
      <c r="G433" s="109">
        <v>6</v>
      </c>
      <c r="H433" s="109" t="s">
        <v>250</v>
      </c>
      <c r="I433" s="114"/>
      <c r="J433" s="111">
        <v>1425.6</v>
      </c>
      <c r="K433" s="112">
        <f t="shared" si="12"/>
        <v>8.5535999999999989E-4</v>
      </c>
    </row>
    <row r="434" spans="1:11">
      <c r="A434" s="109">
        <v>433</v>
      </c>
      <c r="B434" s="2" t="s">
        <v>757</v>
      </c>
      <c r="C434" s="109" t="s">
        <v>758</v>
      </c>
      <c r="D434" s="109" t="s">
        <v>716</v>
      </c>
      <c r="E434" s="109" t="s">
        <v>693</v>
      </c>
      <c r="F434" s="109"/>
      <c r="G434" s="109">
        <v>30</v>
      </c>
      <c r="H434" s="109" t="s">
        <v>250</v>
      </c>
      <c r="I434" s="114"/>
      <c r="J434" s="111">
        <v>1860</v>
      </c>
      <c r="K434" s="112">
        <f t="shared" si="12"/>
        <v>5.5799999999999999E-3</v>
      </c>
    </row>
    <row r="435" spans="1:11">
      <c r="A435" s="109">
        <v>434</v>
      </c>
      <c r="B435" s="2" t="s">
        <v>757</v>
      </c>
      <c r="C435" s="109" t="s">
        <v>758</v>
      </c>
      <c r="D435" s="109" t="s">
        <v>716</v>
      </c>
      <c r="E435" s="109" t="s">
        <v>694</v>
      </c>
      <c r="F435" s="109"/>
      <c r="G435" s="109">
        <v>10</v>
      </c>
      <c r="H435" s="109" t="s">
        <v>250</v>
      </c>
      <c r="I435" s="114"/>
      <c r="J435" s="111">
        <v>1860</v>
      </c>
      <c r="K435" s="112">
        <f t="shared" si="12"/>
        <v>1.8600000000000001E-3</v>
      </c>
    </row>
    <row r="436" spans="1:11">
      <c r="A436" s="109">
        <v>435</v>
      </c>
      <c r="B436" s="2" t="s">
        <v>757</v>
      </c>
      <c r="C436" s="109" t="s">
        <v>758</v>
      </c>
      <c r="D436" s="109" t="s">
        <v>897</v>
      </c>
      <c r="E436" s="109" t="s">
        <v>695</v>
      </c>
      <c r="F436" s="109"/>
      <c r="G436" s="109">
        <v>5</v>
      </c>
      <c r="H436" s="109" t="s">
        <v>250</v>
      </c>
      <c r="I436" s="114"/>
      <c r="J436" s="111">
        <v>1500</v>
      </c>
      <c r="K436" s="112">
        <f t="shared" si="12"/>
        <v>7.5000000000000002E-4</v>
      </c>
    </row>
    <row r="437" spans="1:11">
      <c r="A437" s="109">
        <v>436</v>
      </c>
      <c r="B437" s="2" t="s">
        <v>757</v>
      </c>
      <c r="C437" s="109" t="s">
        <v>758</v>
      </c>
      <c r="D437" s="109" t="s">
        <v>897</v>
      </c>
      <c r="E437" s="109" t="s">
        <v>696</v>
      </c>
      <c r="F437" s="109"/>
      <c r="G437" s="109">
        <v>100</v>
      </c>
      <c r="H437" s="109" t="s">
        <v>250</v>
      </c>
      <c r="I437" s="114"/>
      <c r="J437" s="111">
        <v>480</v>
      </c>
      <c r="K437" s="112">
        <f t="shared" si="12"/>
        <v>4.7999999999999996E-3</v>
      </c>
    </row>
    <row r="438" spans="1:11">
      <c r="A438" s="109">
        <v>437</v>
      </c>
      <c r="B438" s="2" t="s">
        <v>757</v>
      </c>
      <c r="C438" s="109" t="s">
        <v>758</v>
      </c>
      <c r="D438" s="109" t="s">
        <v>897</v>
      </c>
      <c r="E438" s="109" t="s">
        <v>697</v>
      </c>
      <c r="F438" s="109"/>
      <c r="G438" s="109">
        <v>15</v>
      </c>
      <c r="H438" s="109" t="s">
        <v>250</v>
      </c>
      <c r="I438" s="114"/>
      <c r="J438" s="111">
        <v>972</v>
      </c>
      <c r="K438" s="112">
        <f t="shared" si="12"/>
        <v>1.4580000000000001E-3</v>
      </c>
    </row>
    <row r="439" spans="1:11">
      <c r="A439" s="109">
        <v>438</v>
      </c>
      <c r="B439" s="2" t="s">
        <v>757</v>
      </c>
      <c r="C439" s="109" t="s">
        <v>758</v>
      </c>
      <c r="D439" s="109" t="s">
        <v>897</v>
      </c>
      <c r="E439" s="109" t="s">
        <v>698</v>
      </c>
      <c r="F439" s="109"/>
      <c r="G439" s="109">
        <v>80</v>
      </c>
      <c r="H439" s="109" t="s">
        <v>250</v>
      </c>
      <c r="I439" s="114"/>
      <c r="J439" s="111">
        <v>426</v>
      </c>
      <c r="K439" s="112">
        <f t="shared" si="12"/>
        <v>3.408E-3</v>
      </c>
    </row>
    <row r="440" spans="1:11">
      <c r="A440" s="109">
        <v>439</v>
      </c>
      <c r="B440" s="2" t="s">
        <v>757</v>
      </c>
      <c r="C440" s="109" t="s">
        <v>758</v>
      </c>
      <c r="D440" s="109" t="s">
        <v>899</v>
      </c>
      <c r="E440" s="109" t="s">
        <v>699</v>
      </c>
      <c r="F440" s="109" t="s">
        <v>730</v>
      </c>
      <c r="G440" s="109">
        <v>1500</v>
      </c>
      <c r="H440" s="109" t="s">
        <v>182</v>
      </c>
      <c r="I440" s="109" t="s">
        <v>753</v>
      </c>
      <c r="J440" s="111">
        <v>129</v>
      </c>
      <c r="K440" s="112">
        <f t="shared" si="12"/>
        <v>1.9349999999999999E-2</v>
      </c>
    </row>
    <row r="441" spans="1:11">
      <c r="A441" s="109">
        <v>440</v>
      </c>
      <c r="B441" s="2" t="s">
        <v>757</v>
      </c>
      <c r="C441" s="109" t="s">
        <v>758</v>
      </c>
      <c r="D441" s="109" t="s">
        <v>899</v>
      </c>
      <c r="E441" s="109" t="s">
        <v>700</v>
      </c>
      <c r="F441" s="109" t="s">
        <v>730</v>
      </c>
      <c r="G441" s="109">
        <v>3000</v>
      </c>
      <c r="H441" s="109" t="s">
        <v>182</v>
      </c>
      <c r="I441" s="109" t="s">
        <v>753</v>
      </c>
      <c r="J441" s="111">
        <v>182</v>
      </c>
      <c r="K441" s="112">
        <f t="shared" si="12"/>
        <v>5.4600000000000003E-2</v>
      </c>
    </row>
    <row r="442" spans="1:11">
      <c r="A442" s="109">
        <v>441</v>
      </c>
      <c r="B442" s="2" t="s">
        <v>757</v>
      </c>
      <c r="C442" s="109" t="s">
        <v>758</v>
      </c>
      <c r="D442" s="109" t="s">
        <v>899</v>
      </c>
      <c r="E442" s="109" t="s">
        <v>701</v>
      </c>
      <c r="F442" s="109" t="s">
        <v>730</v>
      </c>
      <c r="G442" s="109">
        <v>400</v>
      </c>
      <c r="H442" s="109" t="s">
        <v>182</v>
      </c>
      <c r="I442" s="109" t="s">
        <v>753</v>
      </c>
      <c r="J442" s="111">
        <v>115</v>
      </c>
      <c r="K442" s="112">
        <f t="shared" si="12"/>
        <v>4.5999999999999999E-3</v>
      </c>
    </row>
    <row r="443" spans="1:11">
      <c r="A443" s="109">
        <v>442</v>
      </c>
      <c r="B443" s="2" t="s">
        <v>757</v>
      </c>
      <c r="C443" s="109" t="s">
        <v>758</v>
      </c>
      <c r="D443" s="109" t="s">
        <v>899</v>
      </c>
      <c r="E443" s="109" t="s">
        <v>702</v>
      </c>
      <c r="F443" s="109" t="s">
        <v>730</v>
      </c>
      <c r="G443" s="109">
        <v>149</v>
      </c>
      <c r="H443" s="109" t="s">
        <v>182</v>
      </c>
      <c r="I443" s="109" t="s">
        <v>753</v>
      </c>
      <c r="J443" s="111">
        <v>166</v>
      </c>
      <c r="K443" s="112">
        <f t="shared" si="12"/>
        <v>2.4734000000000002E-3</v>
      </c>
    </row>
    <row r="444" spans="1:11">
      <c r="A444" s="109">
        <v>443</v>
      </c>
      <c r="B444" s="2" t="s">
        <v>757</v>
      </c>
      <c r="C444" s="109" t="s">
        <v>758</v>
      </c>
      <c r="D444" s="109" t="s">
        <v>899</v>
      </c>
      <c r="E444" s="109" t="s">
        <v>703</v>
      </c>
      <c r="F444" s="109" t="s">
        <v>730</v>
      </c>
      <c r="G444" s="109">
        <v>79</v>
      </c>
      <c r="H444" s="109" t="s">
        <v>182</v>
      </c>
      <c r="I444" s="109" t="s">
        <v>753</v>
      </c>
      <c r="J444" s="111">
        <v>288</v>
      </c>
      <c r="K444" s="112">
        <f t="shared" si="12"/>
        <v>2.2751999999999998E-3</v>
      </c>
    </row>
    <row r="445" spans="1:11">
      <c r="A445" s="109">
        <v>444</v>
      </c>
      <c r="B445" s="2" t="s">
        <v>757</v>
      </c>
      <c r="C445" s="109" t="s">
        <v>758</v>
      </c>
      <c r="D445" s="109" t="s">
        <v>899</v>
      </c>
      <c r="E445" s="109" t="s">
        <v>704</v>
      </c>
      <c r="F445" s="109" t="s">
        <v>730</v>
      </c>
      <c r="G445" s="109">
        <v>107</v>
      </c>
      <c r="H445" s="109" t="s">
        <v>182</v>
      </c>
      <c r="I445" s="109" t="s">
        <v>753</v>
      </c>
      <c r="J445" s="111">
        <v>359</v>
      </c>
      <c r="K445" s="112">
        <f t="shared" si="12"/>
        <v>3.8413000000000002E-3</v>
      </c>
    </row>
    <row r="446" spans="1:11">
      <c r="A446" s="109">
        <v>445</v>
      </c>
      <c r="B446" s="2" t="s">
        <v>757</v>
      </c>
      <c r="C446" s="109" t="s">
        <v>758</v>
      </c>
      <c r="D446" s="109" t="s">
        <v>899</v>
      </c>
      <c r="E446" s="109" t="s">
        <v>705</v>
      </c>
      <c r="F446" s="109" t="s">
        <v>730</v>
      </c>
      <c r="G446" s="109">
        <v>348</v>
      </c>
      <c r="H446" s="109" t="s">
        <v>182</v>
      </c>
      <c r="I446" s="109" t="s">
        <v>753</v>
      </c>
      <c r="J446" s="111">
        <v>534</v>
      </c>
      <c r="K446" s="112">
        <f t="shared" si="12"/>
        <v>1.8583200000000001E-2</v>
      </c>
    </row>
    <row r="447" spans="1:11">
      <c r="A447" s="109">
        <v>446</v>
      </c>
      <c r="B447" s="2" t="s">
        <v>757</v>
      </c>
      <c r="C447" s="109" t="s">
        <v>758</v>
      </c>
      <c r="D447" s="109" t="s">
        <v>899</v>
      </c>
      <c r="E447" s="109" t="s">
        <v>706</v>
      </c>
      <c r="F447" s="109" t="s">
        <v>730</v>
      </c>
      <c r="G447" s="109">
        <v>129</v>
      </c>
      <c r="H447" s="109" t="s">
        <v>182</v>
      </c>
      <c r="I447" s="109" t="s">
        <v>753</v>
      </c>
      <c r="J447" s="111">
        <v>849</v>
      </c>
      <c r="K447" s="112">
        <f t="shared" si="12"/>
        <v>1.0952099999999999E-2</v>
      </c>
    </row>
    <row r="448" spans="1:11">
      <c r="A448" s="109">
        <v>447</v>
      </c>
      <c r="B448" s="2" t="s">
        <v>757</v>
      </c>
      <c r="C448" s="109" t="s">
        <v>758</v>
      </c>
      <c r="D448" s="109" t="s">
        <v>899</v>
      </c>
      <c r="E448" s="109" t="s">
        <v>699</v>
      </c>
      <c r="F448" s="109" t="s">
        <v>731</v>
      </c>
      <c r="G448" s="109">
        <v>49</v>
      </c>
      <c r="H448" s="109" t="s">
        <v>182</v>
      </c>
      <c r="I448" s="109" t="s">
        <v>754</v>
      </c>
      <c r="J448" s="111">
        <v>187</v>
      </c>
      <c r="K448" s="112">
        <f t="shared" si="12"/>
        <v>9.1629999999999999E-4</v>
      </c>
    </row>
    <row r="449" spans="1:11">
      <c r="A449" s="109">
        <v>448</v>
      </c>
      <c r="B449" s="2" t="s">
        <v>757</v>
      </c>
      <c r="C449" s="109" t="s">
        <v>758</v>
      </c>
      <c r="D449" s="109" t="s">
        <v>899</v>
      </c>
      <c r="E449" s="109" t="s">
        <v>700</v>
      </c>
      <c r="F449" s="109" t="s">
        <v>731</v>
      </c>
      <c r="G449" s="109">
        <v>100</v>
      </c>
      <c r="H449" s="109" t="s">
        <v>182</v>
      </c>
      <c r="I449" s="109" t="s">
        <v>754</v>
      </c>
      <c r="J449" s="111">
        <v>255</v>
      </c>
      <c r="K449" s="112">
        <f t="shared" si="12"/>
        <v>2.5500000000000002E-3</v>
      </c>
    </row>
    <row r="450" spans="1:11">
      <c r="A450" s="109">
        <v>449</v>
      </c>
      <c r="B450" s="2" t="s">
        <v>757</v>
      </c>
      <c r="C450" s="109" t="s">
        <v>758</v>
      </c>
      <c r="D450" s="109" t="s">
        <v>899</v>
      </c>
      <c r="E450" s="109" t="s">
        <v>702</v>
      </c>
      <c r="F450" s="109" t="s">
        <v>731</v>
      </c>
      <c r="G450" s="109">
        <v>50</v>
      </c>
      <c r="H450" s="109" t="s">
        <v>182</v>
      </c>
      <c r="I450" s="109" t="s">
        <v>754</v>
      </c>
      <c r="J450" s="111">
        <v>239</v>
      </c>
      <c r="K450" s="112">
        <f t="shared" si="12"/>
        <v>1.1950000000000001E-3</v>
      </c>
    </row>
    <row r="451" spans="1:11">
      <c r="A451" s="109">
        <v>450</v>
      </c>
      <c r="B451" s="2" t="s">
        <v>757</v>
      </c>
      <c r="C451" s="109" t="s">
        <v>758</v>
      </c>
      <c r="D451" s="109" t="s">
        <v>899</v>
      </c>
      <c r="E451" s="109" t="s">
        <v>707</v>
      </c>
      <c r="F451" s="109" t="s">
        <v>731</v>
      </c>
      <c r="G451" s="109">
        <v>201</v>
      </c>
      <c r="H451" s="109" t="s">
        <v>182</v>
      </c>
      <c r="I451" s="109" t="s">
        <v>754</v>
      </c>
      <c r="J451" s="111">
        <v>332</v>
      </c>
      <c r="K451" s="112">
        <f t="shared" si="12"/>
        <v>6.6731999999999998E-3</v>
      </c>
    </row>
    <row r="452" spans="1:11">
      <c r="A452" s="109">
        <v>451</v>
      </c>
      <c r="B452" s="2" t="s">
        <v>757</v>
      </c>
      <c r="C452" s="109" t="s">
        <v>758</v>
      </c>
      <c r="D452" s="109" t="s">
        <v>288</v>
      </c>
      <c r="E452" s="109" t="s">
        <v>288</v>
      </c>
      <c r="F452" s="109" t="s">
        <v>732</v>
      </c>
      <c r="G452" s="109">
        <v>31</v>
      </c>
      <c r="H452" s="109" t="s">
        <v>250</v>
      </c>
      <c r="I452" s="109"/>
      <c r="J452" s="109"/>
      <c r="K452" s="112">
        <f t="shared" si="12"/>
        <v>0</v>
      </c>
    </row>
    <row r="453" spans="1:11">
      <c r="A453" s="109">
        <v>452</v>
      </c>
      <c r="B453" s="2" t="s">
        <v>757</v>
      </c>
      <c r="C453" s="109" t="s">
        <v>758</v>
      </c>
      <c r="D453" s="109" t="s">
        <v>288</v>
      </c>
      <c r="E453" s="109" t="s">
        <v>288</v>
      </c>
      <c r="F453" s="109" t="s">
        <v>733</v>
      </c>
      <c r="G453" s="109">
        <v>24</v>
      </c>
      <c r="H453" s="109" t="s">
        <v>250</v>
      </c>
      <c r="I453" s="109"/>
      <c r="J453" s="109"/>
      <c r="K453" s="112">
        <f t="shared" si="12"/>
        <v>0</v>
      </c>
    </row>
    <row r="454" spans="1:11">
      <c r="A454" s="109">
        <v>453</v>
      </c>
      <c r="B454" s="2" t="s">
        <v>757</v>
      </c>
      <c r="C454" s="109" t="s">
        <v>758</v>
      </c>
      <c r="D454" s="109" t="s">
        <v>288</v>
      </c>
      <c r="E454" s="109" t="s">
        <v>288</v>
      </c>
      <c r="F454" s="109" t="s">
        <v>734</v>
      </c>
      <c r="G454" s="109">
        <v>21</v>
      </c>
      <c r="H454" s="109" t="s">
        <v>250</v>
      </c>
      <c r="I454" s="109"/>
      <c r="J454" s="109"/>
      <c r="K454" s="112">
        <f t="shared" si="12"/>
        <v>0</v>
      </c>
    </row>
    <row r="455" spans="1:11">
      <c r="A455" s="109">
        <v>454</v>
      </c>
      <c r="B455" s="2" t="s">
        <v>757</v>
      </c>
      <c r="C455" s="109" t="s">
        <v>758</v>
      </c>
      <c r="D455" s="109" t="s">
        <v>288</v>
      </c>
      <c r="E455" s="109" t="s">
        <v>288</v>
      </c>
      <c r="F455" s="109" t="s">
        <v>735</v>
      </c>
      <c r="G455" s="109">
        <v>12</v>
      </c>
      <c r="H455" s="109" t="s">
        <v>250</v>
      </c>
      <c r="I455" s="109"/>
      <c r="J455" s="109"/>
      <c r="K455" s="112">
        <f t="shared" si="12"/>
        <v>0</v>
      </c>
    </row>
    <row r="456" spans="1:11">
      <c r="A456" s="109">
        <v>455</v>
      </c>
      <c r="B456" s="2" t="s">
        <v>757</v>
      </c>
      <c r="C456" s="109" t="s">
        <v>758</v>
      </c>
      <c r="D456" s="109" t="s">
        <v>288</v>
      </c>
      <c r="E456" s="109" t="s">
        <v>303</v>
      </c>
      <c r="F456" s="109" t="s">
        <v>736</v>
      </c>
      <c r="G456" s="109">
        <v>12</v>
      </c>
      <c r="H456" s="109" t="s">
        <v>250</v>
      </c>
      <c r="I456" s="109"/>
      <c r="J456" s="109"/>
      <c r="K456" s="112">
        <f t="shared" si="12"/>
        <v>0</v>
      </c>
    </row>
    <row r="457" spans="1:11">
      <c r="A457" s="109">
        <v>456</v>
      </c>
      <c r="B457" s="2" t="s">
        <v>757</v>
      </c>
      <c r="C457" s="109" t="s">
        <v>758</v>
      </c>
      <c r="D457" s="109" t="s">
        <v>288</v>
      </c>
      <c r="E457" s="109" t="s">
        <v>303</v>
      </c>
      <c r="F457" s="109" t="s">
        <v>737</v>
      </c>
      <c r="G457" s="109">
        <v>84</v>
      </c>
      <c r="H457" s="109" t="s">
        <v>250</v>
      </c>
      <c r="I457" s="109"/>
      <c r="J457" s="109"/>
      <c r="K457" s="112">
        <f t="shared" si="12"/>
        <v>0</v>
      </c>
    </row>
    <row r="458" spans="1:11">
      <c r="A458" s="109">
        <v>457</v>
      </c>
      <c r="B458" s="2" t="s">
        <v>757</v>
      </c>
      <c r="C458" s="109" t="s">
        <v>758</v>
      </c>
      <c r="D458" s="109" t="s">
        <v>288</v>
      </c>
      <c r="E458" s="109" t="s">
        <v>288</v>
      </c>
      <c r="F458" s="109" t="s">
        <v>738</v>
      </c>
      <c r="G458" s="109">
        <v>1</v>
      </c>
      <c r="H458" s="109" t="s">
        <v>250</v>
      </c>
      <c r="I458" s="109"/>
      <c r="J458" s="109"/>
      <c r="K458" s="112">
        <f t="shared" si="12"/>
        <v>0</v>
      </c>
    </row>
    <row r="459" spans="1:11">
      <c r="A459" s="109">
        <v>458</v>
      </c>
      <c r="B459" s="2" t="s">
        <v>757</v>
      </c>
      <c r="C459" s="109" t="s">
        <v>758</v>
      </c>
      <c r="D459" s="109" t="s">
        <v>288</v>
      </c>
      <c r="E459" s="109" t="s">
        <v>708</v>
      </c>
      <c r="F459" s="109" t="s">
        <v>739</v>
      </c>
      <c r="G459" s="109">
        <v>66</v>
      </c>
      <c r="H459" s="109" t="s">
        <v>250</v>
      </c>
      <c r="I459" s="109"/>
      <c r="J459" s="109"/>
      <c r="K459" s="112">
        <f t="shared" si="12"/>
        <v>0</v>
      </c>
    </row>
    <row r="460" spans="1:11">
      <c r="A460" s="109">
        <v>459</v>
      </c>
      <c r="B460" s="2" t="s">
        <v>757</v>
      </c>
      <c r="C460" s="109" t="s">
        <v>758</v>
      </c>
      <c r="D460" s="109" t="s">
        <v>288</v>
      </c>
      <c r="E460" s="109" t="s">
        <v>288</v>
      </c>
      <c r="F460" s="109" t="s">
        <v>740</v>
      </c>
      <c r="G460" s="109">
        <v>329</v>
      </c>
      <c r="H460" s="109" t="s">
        <v>250</v>
      </c>
      <c r="I460" s="109"/>
      <c r="J460" s="109"/>
      <c r="K460" s="112">
        <f t="shared" si="12"/>
        <v>0</v>
      </c>
    </row>
    <row r="461" spans="1:11">
      <c r="A461" s="109">
        <v>460</v>
      </c>
      <c r="B461" s="2" t="s">
        <v>757</v>
      </c>
      <c r="C461" s="109" t="s">
        <v>758</v>
      </c>
      <c r="D461" s="109" t="s">
        <v>288</v>
      </c>
      <c r="E461" s="109" t="s">
        <v>288</v>
      </c>
      <c r="F461" s="109" t="s">
        <v>741</v>
      </c>
      <c r="G461" s="109">
        <v>853</v>
      </c>
      <c r="H461" s="109" t="s">
        <v>250</v>
      </c>
      <c r="I461" s="109"/>
      <c r="J461" s="109"/>
      <c r="K461" s="112">
        <f t="shared" si="12"/>
        <v>0</v>
      </c>
    </row>
    <row r="462" spans="1:11">
      <c r="A462" s="109">
        <v>461</v>
      </c>
      <c r="B462" s="2" t="s">
        <v>757</v>
      </c>
      <c r="C462" s="109" t="s">
        <v>758</v>
      </c>
      <c r="D462" s="109" t="s">
        <v>288</v>
      </c>
      <c r="E462" s="109" t="s">
        <v>288</v>
      </c>
      <c r="F462" s="109" t="s">
        <v>742</v>
      </c>
      <c r="G462" s="109">
        <v>2</v>
      </c>
      <c r="H462" s="109" t="s">
        <v>250</v>
      </c>
      <c r="I462" s="109"/>
      <c r="J462" s="109"/>
      <c r="K462" s="112">
        <f t="shared" si="12"/>
        <v>0</v>
      </c>
    </row>
    <row r="463" spans="1:11">
      <c r="A463" s="109">
        <v>462</v>
      </c>
      <c r="B463" s="2" t="s">
        <v>757</v>
      </c>
      <c r="C463" s="109" t="s">
        <v>758</v>
      </c>
      <c r="D463" s="109" t="s">
        <v>897</v>
      </c>
      <c r="E463" s="109" t="s">
        <v>709</v>
      </c>
      <c r="F463" s="109"/>
      <c r="G463" s="109">
        <v>38</v>
      </c>
      <c r="H463" s="109" t="s">
        <v>250</v>
      </c>
      <c r="I463" s="109"/>
      <c r="J463" s="109"/>
      <c r="K463" s="112">
        <f t="shared" si="12"/>
        <v>0</v>
      </c>
    </row>
    <row r="464" spans="1:11">
      <c r="A464" s="109">
        <v>463</v>
      </c>
      <c r="B464" s="2" t="s">
        <v>757</v>
      </c>
      <c r="C464" s="109" t="s">
        <v>758</v>
      </c>
      <c r="D464" s="109" t="s">
        <v>897</v>
      </c>
      <c r="E464" s="109" t="s">
        <v>710</v>
      </c>
      <c r="F464" s="109"/>
      <c r="G464" s="109">
        <v>3</v>
      </c>
      <c r="H464" s="109" t="s">
        <v>250</v>
      </c>
      <c r="I464" s="109"/>
      <c r="J464" s="109"/>
      <c r="K464" s="112">
        <f t="shared" si="12"/>
        <v>0</v>
      </c>
    </row>
    <row r="465" spans="1:11">
      <c r="A465" s="109">
        <v>464</v>
      </c>
      <c r="B465" s="2" t="s">
        <v>757</v>
      </c>
      <c r="C465" s="109" t="s">
        <v>758</v>
      </c>
      <c r="D465" s="109" t="s">
        <v>897</v>
      </c>
      <c r="E465" s="109" t="s">
        <v>711</v>
      </c>
      <c r="F465" s="109"/>
      <c r="G465" s="109">
        <v>7</v>
      </c>
      <c r="H465" s="109" t="s">
        <v>250</v>
      </c>
      <c r="I465" s="109"/>
      <c r="J465" s="109"/>
      <c r="K465" s="112">
        <f t="shared" si="12"/>
        <v>0</v>
      </c>
    </row>
    <row r="466" spans="1:11">
      <c r="A466" s="109">
        <v>465</v>
      </c>
      <c r="B466" s="2" t="s">
        <v>757</v>
      </c>
      <c r="C466" s="109" t="s">
        <v>758</v>
      </c>
      <c r="D466" s="109" t="s">
        <v>897</v>
      </c>
      <c r="E466" s="110" t="s">
        <v>712</v>
      </c>
      <c r="F466" s="109"/>
      <c r="G466" s="109">
        <v>46</v>
      </c>
      <c r="H466" s="109" t="s">
        <v>250</v>
      </c>
      <c r="I466" s="110" t="s">
        <v>755</v>
      </c>
      <c r="J466" s="111">
        <v>4135</v>
      </c>
      <c r="K466" s="112">
        <f t="shared" si="12"/>
        <v>1.9021E-2</v>
      </c>
    </row>
    <row r="467" spans="1:11">
      <c r="A467" s="109">
        <v>466</v>
      </c>
      <c r="B467" s="2" t="s">
        <v>757</v>
      </c>
      <c r="C467" s="109" t="s">
        <v>758</v>
      </c>
      <c r="D467" s="109" t="s">
        <v>897</v>
      </c>
      <c r="E467" s="110" t="s">
        <v>713</v>
      </c>
      <c r="F467" s="109"/>
      <c r="G467" s="109">
        <v>400</v>
      </c>
      <c r="H467" s="109" t="s">
        <v>355</v>
      </c>
      <c r="I467" s="109"/>
      <c r="J467" s="111">
        <v>80</v>
      </c>
      <c r="K467" s="112">
        <f t="shared" si="12"/>
        <v>3.2000000000000002E-3</v>
      </c>
    </row>
    <row r="468" spans="1:11">
      <c r="A468" s="109">
        <v>467</v>
      </c>
      <c r="B468" s="2" t="s">
        <v>757</v>
      </c>
      <c r="C468" s="109" t="s">
        <v>758</v>
      </c>
      <c r="D468" s="109" t="s">
        <v>897</v>
      </c>
      <c r="E468" s="109" t="s">
        <v>714</v>
      </c>
      <c r="F468" s="109"/>
      <c r="G468" s="109">
        <v>50</v>
      </c>
      <c r="H468" s="109" t="s">
        <v>355</v>
      </c>
      <c r="I468" s="109"/>
      <c r="J468" s="111">
        <v>102</v>
      </c>
      <c r="K468" s="112">
        <f t="shared" si="12"/>
        <v>5.1000000000000004E-4</v>
      </c>
    </row>
    <row r="469" spans="1:11" ht="29">
      <c r="A469" s="109">
        <v>468</v>
      </c>
      <c r="B469" s="2" t="s">
        <v>757</v>
      </c>
      <c r="C469" s="109" t="s">
        <v>758</v>
      </c>
      <c r="D469" s="109" t="s">
        <v>897</v>
      </c>
      <c r="E469" s="28" t="s">
        <v>715</v>
      </c>
      <c r="F469" s="109" t="s">
        <v>743</v>
      </c>
      <c r="G469" s="109">
        <v>300</v>
      </c>
      <c r="H469" s="109" t="s">
        <v>33</v>
      </c>
      <c r="I469" s="28" t="s">
        <v>756</v>
      </c>
      <c r="J469" s="111">
        <v>720</v>
      </c>
      <c r="K469" s="112">
        <f t="shared" si="12"/>
        <v>2.1600000000000001E-2</v>
      </c>
    </row>
    <row r="470" spans="1:11">
      <c r="A470" s="109">
        <v>469</v>
      </c>
      <c r="B470" s="2" t="s">
        <v>757</v>
      </c>
      <c r="C470" s="109" t="s">
        <v>758</v>
      </c>
      <c r="D470" s="109" t="s">
        <v>716</v>
      </c>
      <c r="E470" s="116" t="s">
        <v>716</v>
      </c>
      <c r="F470" s="117"/>
      <c r="G470" s="109">
        <v>24</v>
      </c>
      <c r="H470" s="109"/>
      <c r="I470" s="109"/>
      <c r="J470" s="111">
        <v>223</v>
      </c>
      <c r="K470" s="112">
        <f t="shared" si="12"/>
        <v>5.352E-4</v>
      </c>
    </row>
    <row r="471" spans="1:11">
      <c r="A471" s="109">
        <v>470</v>
      </c>
      <c r="B471" s="2" t="s">
        <v>757</v>
      </c>
      <c r="C471" s="109" t="s">
        <v>758</v>
      </c>
      <c r="D471" s="109" t="s">
        <v>716</v>
      </c>
      <c r="E471" s="116" t="s">
        <v>716</v>
      </c>
      <c r="F471" s="117"/>
      <c r="G471" s="109">
        <v>6</v>
      </c>
      <c r="H471" s="109"/>
      <c r="I471" s="109"/>
      <c r="J471" s="111">
        <v>304</v>
      </c>
      <c r="K471" s="112">
        <f t="shared" si="12"/>
        <v>1.8239999999999999E-4</v>
      </c>
    </row>
    <row r="472" spans="1:11">
      <c r="A472" s="109">
        <v>471</v>
      </c>
      <c r="B472" s="2" t="s">
        <v>757</v>
      </c>
      <c r="C472" s="109" t="s">
        <v>758</v>
      </c>
      <c r="D472" s="109" t="s">
        <v>716</v>
      </c>
      <c r="E472" s="116" t="s">
        <v>716</v>
      </c>
      <c r="F472" s="117"/>
      <c r="G472" s="109">
        <v>20</v>
      </c>
      <c r="H472" s="109"/>
      <c r="I472" s="109"/>
      <c r="J472" s="111">
        <v>445</v>
      </c>
      <c r="K472" s="112">
        <f t="shared" si="12"/>
        <v>8.8999999999999995E-4</v>
      </c>
    </row>
    <row r="473" spans="1:11">
      <c r="A473" s="109">
        <v>472</v>
      </c>
      <c r="B473" s="2" t="s">
        <v>757</v>
      </c>
      <c r="C473" s="109" t="s">
        <v>758</v>
      </c>
      <c r="D473" s="109" t="s">
        <v>897</v>
      </c>
      <c r="E473" s="116" t="s">
        <v>717</v>
      </c>
      <c r="F473" s="117"/>
      <c r="G473" s="109">
        <v>26</v>
      </c>
      <c r="H473" s="109"/>
      <c r="I473" s="109"/>
      <c r="J473" s="111">
        <v>55.17</v>
      </c>
      <c r="K473" s="112">
        <f t="shared" si="12"/>
        <v>1.43442E-4</v>
      </c>
    </row>
    <row r="474" spans="1:11">
      <c r="A474" s="109">
        <v>473</v>
      </c>
      <c r="B474" s="2" t="s">
        <v>757</v>
      </c>
      <c r="C474" s="109" t="s">
        <v>758</v>
      </c>
      <c r="D474" s="109" t="s">
        <v>897</v>
      </c>
      <c r="E474" s="116" t="s">
        <v>717</v>
      </c>
      <c r="F474" s="117"/>
      <c r="G474" s="109">
        <v>7</v>
      </c>
      <c r="H474" s="109"/>
      <c r="I474" s="109"/>
      <c r="J474" s="111">
        <v>1860</v>
      </c>
      <c r="K474" s="112">
        <f t="shared" si="12"/>
        <v>1.302E-3</v>
      </c>
    </row>
    <row r="475" spans="1:11">
      <c r="A475" s="109">
        <v>474</v>
      </c>
      <c r="B475" s="2" t="s">
        <v>757</v>
      </c>
      <c r="C475" s="109" t="s">
        <v>758</v>
      </c>
      <c r="D475" s="109" t="s">
        <v>721</v>
      </c>
      <c r="E475" s="116" t="s">
        <v>718</v>
      </c>
      <c r="F475" s="117"/>
      <c r="G475" s="109">
        <v>250</v>
      </c>
      <c r="H475" s="109"/>
      <c r="I475" s="109"/>
      <c r="J475" s="111">
        <v>136.51</v>
      </c>
      <c r="K475" s="112">
        <f t="shared" si="12"/>
        <v>3.41275E-3</v>
      </c>
    </row>
    <row r="476" spans="1:11">
      <c r="A476" s="109">
        <v>475</v>
      </c>
      <c r="B476" s="2" t="s">
        <v>757</v>
      </c>
      <c r="C476" s="109" t="s">
        <v>758</v>
      </c>
      <c r="D476" s="109" t="s">
        <v>716</v>
      </c>
      <c r="E476" s="116" t="s">
        <v>719</v>
      </c>
      <c r="F476" s="117"/>
      <c r="G476" s="109">
        <v>400</v>
      </c>
      <c r="H476" s="109"/>
      <c r="I476" s="109"/>
      <c r="J476" s="111">
        <v>97</v>
      </c>
      <c r="K476" s="112">
        <f t="shared" si="12"/>
        <v>3.8800000000000002E-3</v>
      </c>
    </row>
    <row r="477" spans="1:11">
      <c r="A477" s="109">
        <v>476</v>
      </c>
      <c r="B477" s="2" t="s">
        <v>757</v>
      </c>
      <c r="C477" s="109" t="s">
        <v>758</v>
      </c>
      <c r="D477" s="109" t="s">
        <v>716</v>
      </c>
      <c r="E477" s="116" t="s">
        <v>719</v>
      </c>
      <c r="F477" s="117"/>
      <c r="G477" s="109">
        <v>200</v>
      </c>
      <c r="H477" s="109"/>
      <c r="I477" s="109"/>
      <c r="J477" s="111">
        <v>97</v>
      </c>
      <c r="K477" s="112">
        <f t="shared" si="12"/>
        <v>1.9400000000000001E-3</v>
      </c>
    </row>
    <row r="478" spans="1:11">
      <c r="A478" s="109">
        <v>477</v>
      </c>
      <c r="B478" s="2" t="s">
        <v>757</v>
      </c>
      <c r="C478" s="109" t="s">
        <v>758</v>
      </c>
      <c r="D478" s="109" t="s">
        <v>716</v>
      </c>
      <c r="E478" s="116" t="s">
        <v>720</v>
      </c>
      <c r="F478" s="117"/>
      <c r="G478" s="109">
        <v>4</v>
      </c>
      <c r="H478" s="109"/>
      <c r="I478" s="109"/>
      <c r="J478" s="111">
        <v>1860</v>
      </c>
      <c r="K478" s="112">
        <f t="shared" si="12"/>
        <v>7.4399999999999998E-4</v>
      </c>
    </row>
    <row r="479" spans="1:11">
      <c r="A479" s="109">
        <v>478</v>
      </c>
      <c r="B479" s="2" t="s">
        <v>757</v>
      </c>
      <c r="C479" s="109" t="s">
        <v>758</v>
      </c>
      <c r="D479" s="109" t="s">
        <v>716</v>
      </c>
      <c r="E479" s="118" t="s">
        <v>720</v>
      </c>
      <c r="F479" s="117"/>
      <c r="G479" s="109">
        <v>2</v>
      </c>
      <c r="H479" s="109"/>
      <c r="I479" s="109"/>
      <c r="J479" s="111">
        <v>1234.8</v>
      </c>
      <c r="K479" s="112">
        <f t="shared" si="12"/>
        <v>2.4696000000000001E-4</v>
      </c>
    </row>
    <row r="480" spans="1:11">
      <c r="A480" s="109">
        <v>479</v>
      </c>
      <c r="B480" s="2" t="s">
        <v>757</v>
      </c>
      <c r="C480" s="109" t="s">
        <v>758</v>
      </c>
      <c r="D480" s="109" t="s">
        <v>716</v>
      </c>
      <c r="E480" s="116" t="s">
        <v>720</v>
      </c>
      <c r="F480" s="117"/>
      <c r="G480" s="109">
        <v>5</v>
      </c>
      <c r="H480" s="109"/>
      <c r="I480" s="109"/>
      <c r="J480" s="111">
        <v>1830</v>
      </c>
      <c r="K480" s="112">
        <f t="shared" si="12"/>
        <v>9.1500000000000001E-4</v>
      </c>
    </row>
    <row r="481" spans="1:11">
      <c r="A481" s="109">
        <v>480</v>
      </c>
      <c r="B481" s="2" t="s">
        <v>757</v>
      </c>
      <c r="C481" s="109" t="s">
        <v>758</v>
      </c>
      <c r="D481" s="109" t="s">
        <v>897</v>
      </c>
      <c r="E481" s="109" t="s">
        <v>717</v>
      </c>
      <c r="F481" s="114"/>
      <c r="G481" s="109">
        <v>5</v>
      </c>
      <c r="H481" s="109"/>
      <c r="I481" s="109"/>
      <c r="J481" s="111">
        <v>476</v>
      </c>
      <c r="K481" s="112">
        <f t="shared" si="12"/>
        <v>2.3800000000000001E-4</v>
      </c>
    </row>
    <row r="482" spans="1:11">
      <c r="A482" s="109">
        <v>481</v>
      </c>
      <c r="B482" s="2" t="s">
        <v>757</v>
      </c>
      <c r="C482" s="109" t="s">
        <v>758</v>
      </c>
      <c r="D482" s="109" t="s">
        <v>897</v>
      </c>
      <c r="E482" s="109" t="s">
        <v>717</v>
      </c>
      <c r="F482" s="114"/>
      <c r="G482" s="109">
        <v>3</v>
      </c>
      <c r="H482" s="109"/>
      <c r="I482" s="109"/>
      <c r="J482" s="111">
        <v>1118.18</v>
      </c>
      <c r="K482" s="112">
        <f t="shared" si="12"/>
        <v>3.35454E-4</v>
      </c>
    </row>
    <row r="483" spans="1:11">
      <c r="A483" s="109">
        <v>482</v>
      </c>
      <c r="B483" s="2" t="s">
        <v>757</v>
      </c>
      <c r="C483" s="109" t="s">
        <v>758</v>
      </c>
      <c r="D483" s="109" t="s">
        <v>897</v>
      </c>
      <c r="E483" s="109" t="s">
        <v>717</v>
      </c>
      <c r="F483" s="114"/>
      <c r="G483" s="109">
        <v>5</v>
      </c>
      <c r="H483" s="109"/>
      <c r="I483" s="109"/>
      <c r="J483" s="111">
        <v>253.13</v>
      </c>
      <c r="K483" s="112">
        <f t="shared" si="12"/>
        <v>1.2656500000000001E-4</v>
      </c>
    </row>
    <row r="484" spans="1:11">
      <c r="A484" s="109">
        <v>483</v>
      </c>
      <c r="B484" s="2" t="s">
        <v>757</v>
      </c>
      <c r="C484" s="109" t="s">
        <v>758</v>
      </c>
      <c r="D484" s="109" t="s">
        <v>897</v>
      </c>
      <c r="E484" s="109" t="s">
        <v>717</v>
      </c>
      <c r="F484" s="114"/>
      <c r="G484" s="109">
        <v>9</v>
      </c>
      <c r="H484" s="109"/>
      <c r="I484" s="109"/>
      <c r="J484" s="111">
        <v>1863</v>
      </c>
      <c r="K484" s="112">
        <f t="shared" si="12"/>
        <v>1.6766999999999999E-3</v>
      </c>
    </row>
    <row r="485" spans="1:11">
      <c r="A485" s="109">
        <v>484</v>
      </c>
      <c r="B485" s="2" t="s">
        <v>757</v>
      </c>
      <c r="C485" s="109" t="s">
        <v>758</v>
      </c>
      <c r="D485" s="109" t="s">
        <v>897</v>
      </c>
      <c r="E485" s="109" t="s">
        <v>717</v>
      </c>
      <c r="F485" s="114"/>
      <c r="G485" s="109">
        <v>5</v>
      </c>
      <c r="H485" s="109"/>
      <c r="I485" s="109"/>
      <c r="J485" s="111">
        <v>1400</v>
      </c>
      <c r="K485" s="112">
        <f t="shared" si="12"/>
        <v>6.9999999999999999E-4</v>
      </c>
    </row>
    <row r="486" spans="1:11">
      <c r="A486" s="109">
        <v>485</v>
      </c>
      <c r="B486" s="2" t="s">
        <v>757</v>
      </c>
      <c r="C486" s="109" t="s">
        <v>758</v>
      </c>
      <c r="D486" s="109" t="s">
        <v>721</v>
      </c>
      <c r="E486" s="109" t="s">
        <v>721</v>
      </c>
      <c r="F486" s="114"/>
      <c r="G486" s="109">
        <v>5</v>
      </c>
      <c r="H486" s="109"/>
      <c r="I486" s="109"/>
      <c r="J486" s="111">
        <v>1283</v>
      </c>
      <c r="K486" s="112">
        <f t="shared" si="12"/>
        <v>6.4150000000000003E-4</v>
      </c>
    </row>
    <row r="487" spans="1:11">
      <c r="A487" s="109">
        <v>486</v>
      </c>
      <c r="B487" s="2" t="s">
        <v>757</v>
      </c>
      <c r="C487" s="109" t="s">
        <v>758</v>
      </c>
      <c r="D487" s="109" t="s">
        <v>716</v>
      </c>
      <c r="E487" s="109" t="s">
        <v>722</v>
      </c>
      <c r="F487" s="114"/>
      <c r="G487" s="109">
        <v>10</v>
      </c>
      <c r="H487" s="109"/>
      <c r="I487" s="109"/>
      <c r="J487" s="111">
        <v>780.5</v>
      </c>
      <c r="K487" s="112">
        <f t="shared" si="12"/>
        <v>7.8050000000000005E-4</v>
      </c>
    </row>
    <row r="488" spans="1:11">
      <c r="A488" s="109">
        <v>487</v>
      </c>
      <c r="B488" s="2" t="s">
        <v>757</v>
      </c>
      <c r="C488" s="109" t="s">
        <v>758</v>
      </c>
      <c r="D488" s="109" t="s">
        <v>716</v>
      </c>
      <c r="E488" s="109" t="s">
        <v>722</v>
      </c>
      <c r="F488" s="114"/>
      <c r="G488" s="109">
        <v>20</v>
      </c>
      <c r="H488" s="109"/>
      <c r="I488" s="109"/>
      <c r="J488" s="111">
        <v>1029</v>
      </c>
      <c r="K488" s="112">
        <f t="shared" si="12"/>
        <v>2.0579999999999999E-3</v>
      </c>
    </row>
    <row r="489" spans="1:11">
      <c r="A489" s="109">
        <v>488</v>
      </c>
      <c r="B489" s="2" t="s">
        <v>757</v>
      </c>
      <c r="C489" s="109" t="s">
        <v>758</v>
      </c>
      <c r="D489" s="109" t="s">
        <v>716</v>
      </c>
      <c r="E489" s="109" t="s">
        <v>722</v>
      </c>
      <c r="F489" s="114"/>
      <c r="G489" s="109">
        <v>6</v>
      </c>
      <c r="H489" s="109"/>
      <c r="I489" s="109"/>
      <c r="J489" s="111">
        <v>1201.9000000000001</v>
      </c>
      <c r="K489" s="112">
        <f t="shared" si="12"/>
        <v>7.2114000000000011E-4</v>
      </c>
    </row>
    <row r="490" spans="1:11">
      <c r="A490" s="109">
        <v>489</v>
      </c>
      <c r="B490" s="2" t="s">
        <v>757</v>
      </c>
      <c r="C490" s="109" t="s">
        <v>758</v>
      </c>
      <c r="D490" s="109" t="s">
        <v>716</v>
      </c>
      <c r="E490" s="109" t="s">
        <v>722</v>
      </c>
      <c r="F490" s="114"/>
      <c r="G490" s="109">
        <v>16</v>
      </c>
      <c r="H490" s="109"/>
      <c r="I490" s="109"/>
      <c r="J490" s="111">
        <v>1000</v>
      </c>
      <c r="K490" s="112">
        <f t="shared" ref="K490:K499" si="13">(J490*G490)/10000000</f>
        <v>1.6000000000000001E-3</v>
      </c>
    </row>
    <row r="491" spans="1:11">
      <c r="A491" s="109">
        <v>490</v>
      </c>
      <c r="B491" s="2" t="s">
        <v>757</v>
      </c>
      <c r="C491" s="109" t="s">
        <v>758</v>
      </c>
      <c r="D491" s="109" t="s">
        <v>716</v>
      </c>
      <c r="E491" s="109" t="s">
        <v>722</v>
      </c>
      <c r="F491" s="114"/>
      <c r="G491" s="109">
        <v>7</v>
      </c>
      <c r="H491" s="109"/>
      <c r="I491" s="109"/>
      <c r="J491" s="111">
        <v>4347</v>
      </c>
      <c r="K491" s="112">
        <f t="shared" si="13"/>
        <v>3.0428999999999999E-3</v>
      </c>
    </row>
    <row r="492" spans="1:11">
      <c r="A492" s="109">
        <v>491</v>
      </c>
      <c r="B492" s="2" t="s">
        <v>757</v>
      </c>
      <c r="C492" s="109" t="s">
        <v>758</v>
      </c>
      <c r="D492" s="109" t="s">
        <v>716</v>
      </c>
      <c r="E492" s="109" t="s">
        <v>719</v>
      </c>
      <c r="F492" s="114"/>
      <c r="G492" s="109">
        <v>13</v>
      </c>
      <c r="H492" s="109"/>
      <c r="I492" s="109"/>
      <c r="J492" s="111">
        <v>624</v>
      </c>
      <c r="K492" s="112">
        <f t="shared" si="13"/>
        <v>8.1119999999999999E-4</v>
      </c>
    </row>
    <row r="493" spans="1:11">
      <c r="A493" s="109">
        <v>492</v>
      </c>
      <c r="B493" s="2" t="s">
        <v>757</v>
      </c>
      <c r="C493" s="109" t="s">
        <v>758</v>
      </c>
      <c r="D493" s="109" t="s">
        <v>716</v>
      </c>
      <c r="E493" s="109" t="s">
        <v>719</v>
      </c>
      <c r="F493" s="114"/>
      <c r="G493" s="109">
        <v>2</v>
      </c>
      <c r="H493" s="109"/>
      <c r="I493" s="109"/>
      <c r="J493" s="111">
        <v>1202</v>
      </c>
      <c r="K493" s="112">
        <f t="shared" si="13"/>
        <v>2.4039999999999999E-4</v>
      </c>
    </row>
    <row r="494" spans="1:11">
      <c r="A494" s="109">
        <v>493</v>
      </c>
      <c r="B494" s="2" t="s">
        <v>757</v>
      </c>
      <c r="C494" s="109" t="s">
        <v>758</v>
      </c>
      <c r="D494" s="109" t="s">
        <v>716</v>
      </c>
      <c r="E494" s="109" t="s">
        <v>719</v>
      </c>
      <c r="F494" s="114"/>
      <c r="G494" s="109">
        <v>5</v>
      </c>
      <c r="H494" s="109"/>
      <c r="I494" s="109"/>
      <c r="J494" s="111">
        <v>1202</v>
      </c>
      <c r="K494" s="112">
        <f t="shared" si="13"/>
        <v>6.0099999999999997E-4</v>
      </c>
    </row>
    <row r="495" spans="1:11">
      <c r="A495" s="109">
        <v>494</v>
      </c>
      <c r="B495" s="2" t="s">
        <v>757</v>
      </c>
      <c r="C495" s="109" t="s">
        <v>758</v>
      </c>
      <c r="D495" s="109" t="s">
        <v>716</v>
      </c>
      <c r="E495" s="109" t="s">
        <v>719</v>
      </c>
      <c r="F495" s="114"/>
      <c r="G495" s="109">
        <v>1</v>
      </c>
      <c r="H495" s="109"/>
      <c r="I495" s="109"/>
      <c r="J495" s="111">
        <v>823</v>
      </c>
      <c r="K495" s="112">
        <f t="shared" si="13"/>
        <v>8.2299999999999995E-5</v>
      </c>
    </row>
    <row r="496" spans="1:11">
      <c r="A496" s="109">
        <v>495</v>
      </c>
      <c r="B496" s="2" t="s">
        <v>757</v>
      </c>
      <c r="C496" s="109" t="s">
        <v>758</v>
      </c>
      <c r="D496" s="109" t="s">
        <v>716</v>
      </c>
      <c r="E496" s="109" t="s">
        <v>719</v>
      </c>
      <c r="F496" s="114"/>
      <c r="G496" s="109">
        <v>1</v>
      </c>
      <c r="H496" s="109"/>
      <c r="I496" s="109"/>
      <c r="J496" s="111">
        <v>823</v>
      </c>
      <c r="K496" s="112">
        <f t="shared" si="13"/>
        <v>8.2299999999999995E-5</v>
      </c>
    </row>
    <row r="497" spans="1:13">
      <c r="A497" s="109">
        <v>496</v>
      </c>
      <c r="B497" s="2" t="s">
        <v>757</v>
      </c>
      <c r="C497" s="109" t="s">
        <v>758</v>
      </c>
      <c r="D497" s="109" t="s">
        <v>716</v>
      </c>
      <c r="E497" s="109" t="s">
        <v>719</v>
      </c>
      <c r="F497" s="114"/>
      <c r="G497" s="109">
        <v>2</v>
      </c>
      <c r="H497" s="109"/>
      <c r="I497" s="109"/>
      <c r="J497" s="111">
        <v>780.5</v>
      </c>
      <c r="K497" s="112">
        <f t="shared" si="13"/>
        <v>1.561E-4</v>
      </c>
    </row>
    <row r="498" spans="1:13">
      <c r="A498" s="109">
        <v>497</v>
      </c>
      <c r="B498" s="2" t="s">
        <v>757</v>
      </c>
      <c r="C498" s="109" t="s">
        <v>758</v>
      </c>
      <c r="D498" s="109" t="s">
        <v>716</v>
      </c>
      <c r="E498" s="109" t="s">
        <v>719</v>
      </c>
      <c r="F498" s="114"/>
      <c r="G498" s="109">
        <v>4</v>
      </c>
      <c r="H498" s="109"/>
      <c r="I498" s="109"/>
      <c r="J498" s="111">
        <v>780.5</v>
      </c>
      <c r="K498" s="112">
        <f t="shared" si="13"/>
        <v>3.122E-4</v>
      </c>
    </row>
    <row r="499" spans="1:13">
      <c r="A499" s="109">
        <v>498</v>
      </c>
      <c r="B499" s="2" t="s">
        <v>757</v>
      </c>
      <c r="C499" s="109" t="s">
        <v>758</v>
      </c>
      <c r="D499" s="109" t="s">
        <v>716</v>
      </c>
      <c r="E499" s="109" t="s">
        <v>719</v>
      </c>
      <c r="F499" s="114"/>
      <c r="G499" s="109">
        <v>1</v>
      </c>
      <c r="H499" s="109"/>
      <c r="I499" s="109"/>
      <c r="J499" s="111">
        <v>1029</v>
      </c>
      <c r="K499" s="112">
        <f t="shared" si="13"/>
        <v>1.0289999999999999E-4</v>
      </c>
    </row>
    <row r="500" spans="1:13">
      <c r="A500" s="109">
        <v>499</v>
      </c>
      <c r="B500" s="109" t="s">
        <v>771</v>
      </c>
      <c r="C500" s="109" t="s">
        <v>772</v>
      </c>
      <c r="D500" s="109" t="s">
        <v>895</v>
      </c>
      <c r="E500" s="119" t="s">
        <v>759</v>
      </c>
      <c r="F500" s="119" t="s">
        <v>760</v>
      </c>
      <c r="G500" s="119">
        <v>580</v>
      </c>
      <c r="H500" s="119" t="s">
        <v>567</v>
      </c>
      <c r="I500" s="109"/>
      <c r="J500" s="111">
        <v>150</v>
      </c>
      <c r="K500" s="109">
        <f>(J500*G500)/10000000</f>
        <v>8.6999999999999994E-3</v>
      </c>
    </row>
    <row r="501" spans="1:13" ht="87">
      <c r="A501" s="109">
        <v>500</v>
      </c>
      <c r="B501" s="109" t="s">
        <v>771</v>
      </c>
      <c r="C501" s="109" t="s">
        <v>772</v>
      </c>
      <c r="D501" s="109" t="s">
        <v>897</v>
      </c>
      <c r="E501" s="119" t="s">
        <v>761</v>
      </c>
      <c r="F501" s="120" t="s">
        <v>762</v>
      </c>
      <c r="G501" s="119">
        <v>310</v>
      </c>
      <c r="H501" s="119" t="s">
        <v>567</v>
      </c>
      <c r="I501" s="109"/>
      <c r="J501" s="111">
        <v>864</v>
      </c>
      <c r="K501" s="109">
        <f>(J501*G501)/10000000</f>
        <v>2.6783999999999999E-2</v>
      </c>
    </row>
    <row r="502" spans="1:13">
      <c r="A502" s="109">
        <v>501</v>
      </c>
      <c r="B502" s="109" t="s">
        <v>771</v>
      </c>
      <c r="C502" s="109" t="s">
        <v>772</v>
      </c>
      <c r="D502" s="109" t="s">
        <v>1358</v>
      </c>
      <c r="E502" s="119" t="s">
        <v>763</v>
      </c>
      <c r="F502" s="119" t="s">
        <v>764</v>
      </c>
      <c r="G502" s="119">
        <v>39</v>
      </c>
      <c r="H502" s="119" t="s">
        <v>765</v>
      </c>
      <c r="I502" s="109"/>
      <c r="J502" s="121">
        <v>1386</v>
      </c>
      <c r="K502" s="109">
        <f>(J502*G502)/10000000</f>
        <v>5.4054000000000003E-3</v>
      </c>
    </row>
    <row r="503" spans="1:13">
      <c r="A503" s="109">
        <v>502</v>
      </c>
      <c r="B503" s="109" t="s">
        <v>771</v>
      </c>
      <c r="C503" s="109" t="s">
        <v>772</v>
      </c>
      <c r="D503" s="109" t="s">
        <v>1358</v>
      </c>
      <c r="E503" s="119" t="s">
        <v>763</v>
      </c>
      <c r="F503" s="119" t="s">
        <v>766</v>
      </c>
      <c r="G503" s="119">
        <v>47</v>
      </c>
      <c r="H503" s="119" t="s">
        <v>765</v>
      </c>
      <c r="I503" s="109"/>
      <c r="J503" s="121">
        <v>1386</v>
      </c>
      <c r="K503" s="109">
        <f>(J503*G503)/10000000</f>
        <v>6.5142000000000004E-3</v>
      </c>
    </row>
    <row r="504" spans="1:13">
      <c r="A504" s="109">
        <v>503</v>
      </c>
      <c r="B504" s="109" t="s">
        <v>771</v>
      </c>
      <c r="C504" s="109" t="s">
        <v>772</v>
      </c>
      <c r="D504" s="109" t="s">
        <v>1358</v>
      </c>
      <c r="E504" s="119" t="s">
        <v>763</v>
      </c>
      <c r="F504" s="119" t="s">
        <v>767</v>
      </c>
      <c r="G504" s="119">
        <v>39</v>
      </c>
      <c r="H504" s="119" t="s">
        <v>765</v>
      </c>
      <c r="I504" s="109"/>
      <c r="J504" s="121">
        <v>1386</v>
      </c>
      <c r="K504" s="109">
        <f>(J504*G504)/10000000</f>
        <v>5.4054000000000003E-3</v>
      </c>
    </row>
    <row r="505" spans="1:13">
      <c r="A505" s="109">
        <v>504</v>
      </c>
      <c r="B505" s="109" t="s">
        <v>771</v>
      </c>
      <c r="C505" s="109" t="s">
        <v>772</v>
      </c>
      <c r="D505" s="109" t="s">
        <v>1358</v>
      </c>
      <c r="E505" s="119" t="s">
        <v>763</v>
      </c>
      <c r="F505" s="119" t="s">
        <v>768</v>
      </c>
      <c r="G505" s="119">
        <v>42</v>
      </c>
      <c r="H505" s="119" t="s">
        <v>765</v>
      </c>
      <c r="I505" s="109"/>
      <c r="J505" s="121">
        <v>1386</v>
      </c>
      <c r="K505" s="109">
        <f>(J505*G505)/10000000</f>
        <v>5.8212000000000003E-3</v>
      </c>
    </row>
    <row r="506" spans="1:13">
      <c r="A506" s="109">
        <v>505</v>
      </c>
      <c r="B506" s="109" t="s">
        <v>771</v>
      </c>
      <c r="C506" s="109" t="s">
        <v>772</v>
      </c>
      <c r="D506" s="109" t="s">
        <v>1358</v>
      </c>
      <c r="E506" s="119" t="s">
        <v>763</v>
      </c>
      <c r="F506" s="119" t="s">
        <v>769</v>
      </c>
      <c r="G506" s="119">
        <v>52</v>
      </c>
      <c r="H506" s="119" t="s">
        <v>765</v>
      </c>
      <c r="I506" s="109"/>
      <c r="J506" s="121">
        <v>1386</v>
      </c>
      <c r="K506" s="109">
        <f>(J506*G506)/10000000</f>
        <v>7.2072000000000004E-3</v>
      </c>
    </row>
    <row r="507" spans="1:13">
      <c r="A507" s="109">
        <v>506</v>
      </c>
      <c r="B507" s="109" t="s">
        <v>771</v>
      </c>
      <c r="C507" s="109" t="s">
        <v>772</v>
      </c>
      <c r="D507" s="109" t="s">
        <v>1358</v>
      </c>
      <c r="E507" s="119" t="s">
        <v>763</v>
      </c>
      <c r="F507" s="119" t="s">
        <v>770</v>
      </c>
      <c r="G507" s="119">
        <v>50</v>
      </c>
      <c r="H507" s="119" t="s">
        <v>765</v>
      </c>
      <c r="I507" s="109"/>
      <c r="J507" s="121">
        <v>1386</v>
      </c>
      <c r="K507" s="109">
        <f>(J507*G507)/10000000</f>
        <v>6.9300000000000004E-3</v>
      </c>
    </row>
    <row r="508" spans="1:13">
      <c r="A508" s="109">
        <v>507</v>
      </c>
      <c r="B508" s="109" t="s">
        <v>828</v>
      </c>
      <c r="C508" s="109" t="s">
        <v>829</v>
      </c>
      <c r="D508" s="109" t="s">
        <v>985</v>
      </c>
      <c r="E508" s="109" t="s">
        <v>773</v>
      </c>
      <c r="F508" s="109" t="s">
        <v>774</v>
      </c>
      <c r="G508" s="109">
        <v>2</v>
      </c>
      <c r="H508" s="109" t="s">
        <v>250</v>
      </c>
      <c r="I508" s="109" t="s">
        <v>775</v>
      </c>
      <c r="J508" s="109">
        <v>80500</v>
      </c>
      <c r="K508" s="109">
        <v>6.8230994999999997E-3</v>
      </c>
    </row>
    <row r="509" spans="1:13">
      <c r="A509" s="109">
        <v>508</v>
      </c>
      <c r="B509" s="109" t="s">
        <v>828</v>
      </c>
      <c r="C509" s="109" t="s">
        <v>829</v>
      </c>
      <c r="D509" s="109" t="s">
        <v>985</v>
      </c>
      <c r="E509" s="109" t="s">
        <v>776</v>
      </c>
      <c r="F509" s="109" t="s">
        <v>777</v>
      </c>
      <c r="G509" s="109">
        <v>5</v>
      </c>
      <c r="H509" s="109" t="s">
        <v>250</v>
      </c>
      <c r="I509" s="109" t="s">
        <v>778</v>
      </c>
      <c r="J509" s="109">
        <v>7850</v>
      </c>
      <c r="K509" s="109">
        <v>3.9249999999999997E-3</v>
      </c>
      <c r="M509">
        <v>10000000</v>
      </c>
    </row>
    <row r="510" spans="1:13">
      <c r="A510" s="109">
        <v>509</v>
      </c>
      <c r="B510" s="109" t="s">
        <v>828</v>
      </c>
      <c r="C510" s="109" t="s">
        <v>829</v>
      </c>
      <c r="D510" s="109" t="s">
        <v>985</v>
      </c>
      <c r="E510" s="109" t="s">
        <v>779</v>
      </c>
      <c r="F510" s="109" t="s">
        <v>774</v>
      </c>
      <c r="G510" s="109">
        <v>2</v>
      </c>
      <c r="H510" s="109" t="s">
        <v>250</v>
      </c>
      <c r="I510" s="109" t="s">
        <v>775</v>
      </c>
      <c r="J510" s="109">
        <v>79000</v>
      </c>
      <c r="K510" s="109">
        <v>3.9037059999999998E-3</v>
      </c>
    </row>
    <row r="511" spans="1:13">
      <c r="A511" s="109">
        <v>510</v>
      </c>
      <c r="B511" s="109" t="s">
        <v>828</v>
      </c>
      <c r="C511" s="109" t="s">
        <v>829</v>
      </c>
      <c r="D511" s="109" t="s">
        <v>985</v>
      </c>
      <c r="E511" s="109" t="s">
        <v>780</v>
      </c>
      <c r="F511" s="109" t="s">
        <v>774</v>
      </c>
      <c r="G511" s="109">
        <v>2</v>
      </c>
      <c r="H511" s="109" t="s">
        <v>250</v>
      </c>
      <c r="I511" s="109" t="s">
        <v>775</v>
      </c>
      <c r="J511" s="109">
        <v>79000</v>
      </c>
      <c r="K511" s="109">
        <v>1.2882530000000001E-3</v>
      </c>
    </row>
    <row r="512" spans="1:13">
      <c r="A512" s="109">
        <v>511</v>
      </c>
      <c r="B512" s="109" t="s">
        <v>828</v>
      </c>
      <c r="C512" s="109" t="s">
        <v>829</v>
      </c>
      <c r="D512" s="109" t="s">
        <v>985</v>
      </c>
      <c r="E512" s="109" t="s">
        <v>781</v>
      </c>
      <c r="F512" s="109" t="s">
        <v>774</v>
      </c>
      <c r="G512" s="109">
        <v>6</v>
      </c>
      <c r="H512" s="109" t="s">
        <v>250</v>
      </c>
      <c r="I512" s="109" t="s">
        <v>775</v>
      </c>
      <c r="J512" s="109">
        <v>79000</v>
      </c>
      <c r="K512" s="109">
        <v>4.1110019999999999E-3</v>
      </c>
    </row>
    <row r="513" spans="1:11">
      <c r="A513" s="109">
        <v>512</v>
      </c>
      <c r="B513" s="109" t="s">
        <v>828</v>
      </c>
      <c r="C513" s="109" t="s">
        <v>829</v>
      </c>
      <c r="D513" s="109" t="s">
        <v>985</v>
      </c>
      <c r="E513" s="109" t="s">
        <v>782</v>
      </c>
      <c r="F513" s="109" t="s">
        <v>774</v>
      </c>
      <c r="G513" s="109">
        <v>35</v>
      </c>
      <c r="H513" s="109" t="s">
        <v>250</v>
      </c>
      <c r="I513" s="109" t="s">
        <v>775</v>
      </c>
      <c r="J513" s="109">
        <v>79000</v>
      </c>
      <c r="K513" s="109">
        <v>2.5501595000000002E-2</v>
      </c>
    </row>
    <row r="514" spans="1:11">
      <c r="A514" s="109">
        <v>513</v>
      </c>
      <c r="B514" s="109" t="s">
        <v>828</v>
      </c>
      <c r="C514" s="109" t="s">
        <v>829</v>
      </c>
      <c r="D514" s="109" t="s">
        <v>985</v>
      </c>
      <c r="E514" s="109" t="s">
        <v>783</v>
      </c>
      <c r="F514" s="109" t="s">
        <v>774</v>
      </c>
      <c r="G514" s="109">
        <v>3</v>
      </c>
      <c r="H514" s="109" t="s">
        <v>250</v>
      </c>
      <c r="I514" s="109" t="s">
        <v>775</v>
      </c>
      <c r="J514" s="109">
        <v>79000</v>
      </c>
      <c r="K514" s="109">
        <v>3.4000809999999997E-3</v>
      </c>
    </row>
    <row r="515" spans="1:11">
      <c r="A515" s="109">
        <v>514</v>
      </c>
      <c r="B515" s="109" t="s">
        <v>828</v>
      </c>
      <c r="C515" s="109" t="s">
        <v>829</v>
      </c>
      <c r="D515" s="109" t="s">
        <v>985</v>
      </c>
      <c r="E515" s="109" t="s">
        <v>784</v>
      </c>
      <c r="F515" s="109" t="s">
        <v>774</v>
      </c>
      <c r="G515" s="109">
        <v>4</v>
      </c>
      <c r="H515" s="109" t="s">
        <v>250</v>
      </c>
      <c r="I515" s="109" t="s">
        <v>775</v>
      </c>
      <c r="J515" s="109">
        <v>79000</v>
      </c>
      <c r="K515" s="109">
        <v>2.7229720000000002E-3</v>
      </c>
    </row>
    <row r="516" spans="1:11">
      <c r="A516" s="109">
        <v>515</v>
      </c>
      <c r="B516" s="109" t="s">
        <v>828</v>
      </c>
      <c r="C516" s="109" t="s">
        <v>829</v>
      </c>
      <c r="D516" s="109" t="s">
        <v>985</v>
      </c>
      <c r="E516" s="109" t="s">
        <v>785</v>
      </c>
      <c r="F516" s="109" t="s">
        <v>774</v>
      </c>
      <c r="G516" s="109">
        <v>11</v>
      </c>
      <c r="H516" s="109" t="s">
        <v>250</v>
      </c>
      <c r="I516" s="109" t="s">
        <v>775</v>
      </c>
      <c r="J516" s="109">
        <v>79000</v>
      </c>
      <c r="K516" s="109">
        <v>5.9622089999999996E-3</v>
      </c>
    </row>
    <row r="517" spans="1:11">
      <c r="A517" s="109">
        <v>516</v>
      </c>
      <c r="B517" s="109" t="s">
        <v>828</v>
      </c>
      <c r="C517" s="109" t="s">
        <v>829</v>
      </c>
      <c r="D517" s="109" t="s">
        <v>985</v>
      </c>
      <c r="E517" s="109" t="s">
        <v>786</v>
      </c>
      <c r="F517" s="109" t="s">
        <v>774</v>
      </c>
      <c r="G517" s="109">
        <v>3</v>
      </c>
      <c r="H517" s="109" t="s">
        <v>250</v>
      </c>
      <c r="I517" s="109" t="s">
        <v>775</v>
      </c>
      <c r="J517" s="109">
        <v>79000</v>
      </c>
      <c r="K517" s="109">
        <v>2.1108009999999998E-3</v>
      </c>
    </row>
    <row r="518" spans="1:11">
      <c r="A518" s="109">
        <v>517</v>
      </c>
      <c r="B518" s="109" t="s">
        <v>828</v>
      </c>
      <c r="C518" s="109" t="s">
        <v>829</v>
      </c>
      <c r="D518" s="109" t="s">
        <v>1359</v>
      </c>
      <c r="E518" s="109" t="s">
        <v>787</v>
      </c>
      <c r="F518" s="109" t="s">
        <v>788</v>
      </c>
      <c r="G518" s="109">
        <v>280</v>
      </c>
      <c r="H518" s="109" t="s">
        <v>250</v>
      </c>
      <c r="I518" s="109" t="s">
        <v>789</v>
      </c>
      <c r="J518" s="109">
        <v>640</v>
      </c>
      <c r="K518" s="109">
        <v>1.7919999999999998E-2</v>
      </c>
    </row>
    <row r="519" spans="1:11">
      <c r="A519" s="109">
        <v>518</v>
      </c>
      <c r="B519" s="109" t="s">
        <v>828</v>
      </c>
      <c r="C519" s="109" t="s">
        <v>829</v>
      </c>
      <c r="D519" s="109" t="s">
        <v>986</v>
      </c>
      <c r="E519" s="109" t="s">
        <v>790</v>
      </c>
      <c r="F519" s="109" t="s">
        <v>791</v>
      </c>
      <c r="G519" s="109">
        <v>60</v>
      </c>
      <c r="H519" s="109" t="s">
        <v>355</v>
      </c>
      <c r="I519" s="109" t="s">
        <v>792</v>
      </c>
      <c r="J519" s="109">
        <v>330</v>
      </c>
      <c r="K519" s="109">
        <v>1.98E-3</v>
      </c>
    </row>
    <row r="520" spans="1:11">
      <c r="A520" s="109">
        <v>519</v>
      </c>
      <c r="B520" s="109" t="s">
        <v>828</v>
      </c>
      <c r="C520" s="109" t="s">
        <v>829</v>
      </c>
      <c r="D520" s="109" t="s">
        <v>986</v>
      </c>
      <c r="E520" s="109" t="s">
        <v>793</v>
      </c>
      <c r="F520" s="109" t="s">
        <v>794</v>
      </c>
      <c r="G520" s="109">
        <v>450</v>
      </c>
      <c r="H520" s="109" t="s">
        <v>355</v>
      </c>
      <c r="I520" s="109" t="s">
        <v>792</v>
      </c>
      <c r="J520" s="109">
        <v>600</v>
      </c>
      <c r="K520" s="109">
        <v>2.7E-2</v>
      </c>
    </row>
    <row r="521" spans="1:11">
      <c r="A521" s="109">
        <v>520</v>
      </c>
      <c r="B521" s="109" t="s">
        <v>828</v>
      </c>
      <c r="C521" s="109" t="s">
        <v>829</v>
      </c>
      <c r="D521" s="109" t="s">
        <v>987</v>
      </c>
      <c r="E521" s="109" t="s">
        <v>795</v>
      </c>
      <c r="F521" s="109" t="s">
        <v>796</v>
      </c>
      <c r="G521" s="109">
        <v>200</v>
      </c>
      <c r="H521" s="109" t="s">
        <v>355</v>
      </c>
      <c r="I521" s="109" t="s">
        <v>792</v>
      </c>
      <c r="J521" s="109">
        <v>191</v>
      </c>
      <c r="K521" s="109">
        <v>3.82E-3</v>
      </c>
    </row>
    <row r="522" spans="1:11">
      <c r="A522" s="109">
        <v>521</v>
      </c>
      <c r="B522" s="109" t="s">
        <v>828</v>
      </c>
      <c r="C522" s="109" t="s">
        <v>829</v>
      </c>
      <c r="D522" s="109" t="s">
        <v>987</v>
      </c>
      <c r="E522" s="109" t="s">
        <v>797</v>
      </c>
      <c r="F522" s="109" t="s">
        <v>798</v>
      </c>
      <c r="G522" s="109">
        <v>540</v>
      </c>
      <c r="H522" s="109" t="s">
        <v>355</v>
      </c>
      <c r="I522" s="109" t="s">
        <v>792</v>
      </c>
      <c r="J522" s="109">
        <v>191</v>
      </c>
      <c r="K522" s="109">
        <v>1.0314E-2</v>
      </c>
    </row>
    <row r="523" spans="1:11">
      <c r="A523" s="109">
        <v>522</v>
      </c>
      <c r="B523" s="109" t="s">
        <v>828</v>
      </c>
      <c r="C523" s="109" t="s">
        <v>829</v>
      </c>
      <c r="D523" s="109" t="s">
        <v>987</v>
      </c>
      <c r="E523" s="109" t="s">
        <v>799</v>
      </c>
      <c r="F523" s="109" t="s">
        <v>800</v>
      </c>
      <c r="G523" s="109">
        <v>350</v>
      </c>
      <c r="H523" s="109" t="s">
        <v>355</v>
      </c>
      <c r="I523" s="109" t="s">
        <v>801</v>
      </c>
      <c r="J523" s="109">
        <v>1207.49</v>
      </c>
      <c r="K523" s="109">
        <v>4.2262149999999998E-2</v>
      </c>
    </row>
    <row r="524" spans="1:11">
      <c r="A524" s="109">
        <v>523</v>
      </c>
      <c r="B524" s="109" t="s">
        <v>828</v>
      </c>
      <c r="C524" s="109" t="s">
        <v>829</v>
      </c>
      <c r="D524" s="109" t="s">
        <v>987</v>
      </c>
      <c r="E524" s="109" t="s">
        <v>802</v>
      </c>
      <c r="F524" s="109" t="s">
        <v>803</v>
      </c>
      <c r="G524" s="109">
        <v>800</v>
      </c>
      <c r="H524" s="109" t="s">
        <v>355</v>
      </c>
      <c r="I524" s="109" t="s">
        <v>801</v>
      </c>
      <c r="J524" s="109">
        <v>1372.49</v>
      </c>
      <c r="K524" s="109">
        <v>0.1097992</v>
      </c>
    </row>
    <row r="525" spans="1:11">
      <c r="A525" s="109">
        <v>524</v>
      </c>
      <c r="B525" s="109" t="s">
        <v>828</v>
      </c>
      <c r="C525" s="109" t="s">
        <v>829</v>
      </c>
      <c r="D525" s="109" t="s">
        <v>988</v>
      </c>
      <c r="E525" s="109" t="s">
        <v>804</v>
      </c>
      <c r="F525" s="109" t="s">
        <v>805</v>
      </c>
      <c r="G525" s="109">
        <v>8000</v>
      </c>
      <c r="H525" s="109" t="s">
        <v>250</v>
      </c>
      <c r="I525" s="109" t="s">
        <v>806</v>
      </c>
      <c r="J525" s="109">
        <v>16.02</v>
      </c>
      <c r="K525" s="109">
        <v>1.2815999999999999E-2</v>
      </c>
    </row>
    <row r="526" spans="1:11">
      <c r="A526" s="109">
        <v>525</v>
      </c>
      <c r="B526" s="109" t="s">
        <v>828</v>
      </c>
      <c r="C526" s="109" t="s">
        <v>829</v>
      </c>
      <c r="D526" s="109" t="s">
        <v>899</v>
      </c>
      <c r="E526" s="109" t="s">
        <v>807</v>
      </c>
      <c r="F526" s="109" t="s">
        <v>808</v>
      </c>
      <c r="G526" s="109">
        <v>484</v>
      </c>
      <c r="H526" s="109" t="s">
        <v>355</v>
      </c>
      <c r="I526" s="109" t="s">
        <v>809</v>
      </c>
      <c r="J526" s="109">
        <v>359.7</v>
      </c>
      <c r="K526" s="109">
        <v>1.7409479999999998E-2</v>
      </c>
    </row>
    <row r="527" spans="1:11">
      <c r="A527" s="109">
        <v>526</v>
      </c>
      <c r="B527" s="109" t="s">
        <v>828</v>
      </c>
      <c r="C527" s="109" t="s">
        <v>829</v>
      </c>
      <c r="D527" s="109" t="s">
        <v>899</v>
      </c>
      <c r="E527" s="109" t="s">
        <v>810</v>
      </c>
      <c r="F527" s="109" t="s">
        <v>811</v>
      </c>
      <c r="G527" s="109">
        <v>600</v>
      </c>
      <c r="H527" s="109" t="s">
        <v>355</v>
      </c>
      <c r="I527" s="109" t="s">
        <v>809</v>
      </c>
      <c r="J527" s="109">
        <v>152.66</v>
      </c>
      <c r="K527" s="109">
        <v>9.1596000000000004E-3</v>
      </c>
    </row>
    <row r="528" spans="1:11">
      <c r="A528" s="109">
        <v>527</v>
      </c>
      <c r="B528" s="109" t="s">
        <v>828</v>
      </c>
      <c r="C528" s="109" t="s">
        <v>829</v>
      </c>
      <c r="D528" s="109" t="s">
        <v>899</v>
      </c>
      <c r="E528" s="109" t="s">
        <v>812</v>
      </c>
      <c r="F528" s="109" t="s">
        <v>813</v>
      </c>
      <c r="G528" s="109">
        <v>2000</v>
      </c>
      <c r="H528" s="109" t="s">
        <v>355</v>
      </c>
      <c r="I528" s="109" t="s">
        <v>809</v>
      </c>
      <c r="J528" s="109">
        <v>30.71</v>
      </c>
      <c r="K528" s="109">
        <v>6.1419999999999999E-3</v>
      </c>
    </row>
    <row r="529" spans="1:16">
      <c r="A529" s="109">
        <v>528</v>
      </c>
      <c r="B529" s="109" t="s">
        <v>828</v>
      </c>
      <c r="C529" s="109" t="s">
        <v>829</v>
      </c>
      <c r="D529" s="109" t="s">
        <v>899</v>
      </c>
      <c r="E529" s="109" t="s">
        <v>814</v>
      </c>
      <c r="F529" s="109" t="s">
        <v>815</v>
      </c>
      <c r="G529" s="109">
        <v>2500</v>
      </c>
      <c r="H529" s="109" t="s">
        <v>355</v>
      </c>
      <c r="I529" s="109" t="s">
        <v>809</v>
      </c>
      <c r="J529" s="109">
        <v>87.22</v>
      </c>
      <c r="K529" s="109">
        <v>2.1805000000000001E-2</v>
      </c>
    </row>
    <row r="530" spans="1:16">
      <c r="A530" s="109">
        <v>529</v>
      </c>
      <c r="B530" s="109" t="s">
        <v>828</v>
      </c>
      <c r="C530" s="109" t="s">
        <v>829</v>
      </c>
      <c r="D530" s="109" t="s">
        <v>899</v>
      </c>
      <c r="E530" s="109" t="s">
        <v>816</v>
      </c>
      <c r="F530" s="109" t="s">
        <v>817</v>
      </c>
      <c r="G530" s="109">
        <v>175</v>
      </c>
      <c r="H530" s="109" t="s">
        <v>355</v>
      </c>
      <c r="I530" s="109" t="s">
        <v>809</v>
      </c>
      <c r="J530" s="109">
        <v>157.91999999999999</v>
      </c>
      <c r="K530" s="109">
        <v>2.7635999999999997E-3</v>
      </c>
    </row>
    <row r="531" spans="1:16">
      <c r="A531" s="109">
        <v>530</v>
      </c>
      <c r="B531" s="109" t="s">
        <v>828</v>
      </c>
      <c r="C531" s="109" t="s">
        <v>829</v>
      </c>
      <c r="D531" s="109" t="s">
        <v>899</v>
      </c>
      <c r="E531" s="109" t="s">
        <v>818</v>
      </c>
      <c r="F531" s="109" t="s">
        <v>819</v>
      </c>
      <c r="G531" s="109">
        <v>450</v>
      </c>
      <c r="H531" s="109" t="s">
        <v>355</v>
      </c>
      <c r="I531" s="109" t="s">
        <v>820</v>
      </c>
      <c r="J531" s="109">
        <v>78</v>
      </c>
      <c r="K531" s="109">
        <v>3.5100000000000001E-3</v>
      </c>
    </row>
    <row r="532" spans="1:16">
      <c r="A532" s="109">
        <v>531</v>
      </c>
      <c r="B532" s="109" t="s">
        <v>828</v>
      </c>
      <c r="C532" s="109" t="s">
        <v>829</v>
      </c>
      <c r="D532" s="109" t="s">
        <v>899</v>
      </c>
      <c r="E532" s="109" t="s">
        <v>821</v>
      </c>
      <c r="F532" s="109" t="s">
        <v>822</v>
      </c>
      <c r="G532" s="109">
        <v>370</v>
      </c>
      <c r="H532" s="109" t="s">
        <v>355</v>
      </c>
      <c r="I532" s="109" t="s">
        <v>809</v>
      </c>
      <c r="J532" s="109">
        <v>220.21</v>
      </c>
      <c r="K532" s="109">
        <v>8.1477700000000004E-3</v>
      </c>
    </row>
    <row r="533" spans="1:16">
      <c r="A533" s="109">
        <v>532</v>
      </c>
      <c r="B533" s="109" t="s">
        <v>828</v>
      </c>
      <c r="C533" s="109" t="s">
        <v>829</v>
      </c>
      <c r="D533" s="109" t="s">
        <v>288</v>
      </c>
      <c r="E533" s="109" t="s">
        <v>823</v>
      </c>
      <c r="F533" s="109" t="s">
        <v>823</v>
      </c>
      <c r="G533" s="109">
        <v>1</v>
      </c>
      <c r="H533" s="109" t="s">
        <v>250</v>
      </c>
      <c r="I533" s="109" t="s">
        <v>824</v>
      </c>
      <c r="J533" s="109">
        <v>24100</v>
      </c>
      <c r="K533" s="109">
        <v>2.4099999999999998E-3</v>
      </c>
    </row>
    <row r="534" spans="1:16">
      <c r="A534" s="109">
        <v>533</v>
      </c>
      <c r="B534" s="109" t="s">
        <v>828</v>
      </c>
      <c r="C534" s="109" t="s">
        <v>829</v>
      </c>
      <c r="D534" s="109" t="s">
        <v>288</v>
      </c>
      <c r="E534" s="109" t="s">
        <v>825</v>
      </c>
      <c r="F534" s="109" t="s">
        <v>823</v>
      </c>
      <c r="G534" s="109">
        <v>5</v>
      </c>
      <c r="H534" s="109" t="s">
        <v>250</v>
      </c>
      <c r="I534" s="109" t="s">
        <v>824</v>
      </c>
      <c r="J534" s="109">
        <v>15600</v>
      </c>
      <c r="K534" s="109">
        <v>7.7999999999999996E-3</v>
      </c>
    </row>
    <row r="535" spans="1:16">
      <c r="A535" s="109">
        <v>534</v>
      </c>
      <c r="B535" s="109" t="s">
        <v>853</v>
      </c>
      <c r="C535" s="109" t="s">
        <v>852</v>
      </c>
      <c r="D535" s="109" t="s">
        <v>985</v>
      </c>
      <c r="E535" s="109" t="s">
        <v>773</v>
      </c>
      <c r="F535" s="109" t="s">
        <v>774</v>
      </c>
      <c r="G535" s="109">
        <v>7</v>
      </c>
      <c r="H535" s="109" t="s">
        <v>250</v>
      </c>
      <c r="I535" s="109" t="s">
        <v>775</v>
      </c>
      <c r="J535" s="109">
        <v>78800</v>
      </c>
      <c r="K535" s="109">
        <v>2.3376532199999998E-2</v>
      </c>
      <c r="O535">
        <v>423.79500000000002</v>
      </c>
      <c r="P535">
        <v>2966.5650000000001</v>
      </c>
    </row>
    <row r="536" spans="1:16">
      <c r="A536" s="109">
        <v>535</v>
      </c>
      <c r="B536" s="109" t="s">
        <v>853</v>
      </c>
      <c r="C536" s="109" t="s">
        <v>852</v>
      </c>
      <c r="D536" s="109" t="s">
        <v>985</v>
      </c>
      <c r="E536" s="109" t="s">
        <v>830</v>
      </c>
      <c r="F536" s="109" t="s">
        <v>774</v>
      </c>
      <c r="G536" s="109">
        <v>4</v>
      </c>
      <c r="H536" s="109" t="s">
        <v>250</v>
      </c>
      <c r="I536" s="109" t="s">
        <v>775</v>
      </c>
      <c r="J536" s="109">
        <v>78800</v>
      </c>
      <c r="K536" s="109">
        <v>1.1699120800000001E-2</v>
      </c>
      <c r="O536">
        <v>371.16500000000002</v>
      </c>
      <c r="P536">
        <v>1484.66</v>
      </c>
    </row>
    <row r="537" spans="1:16">
      <c r="A537" s="109">
        <v>536</v>
      </c>
      <c r="B537" s="109" t="s">
        <v>853</v>
      </c>
      <c r="C537" s="109" t="s">
        <v>852</v>
      </c>
      <c r="D537" s="109" t="s">
        <v>985</v>
      </c>
      <c r="E537" s="109" t="s">
        <v>831</v>
      </c>
      <c r="F537" s="109" t="s">
        <v>774</v>
      </c>
      <c r="G537" s="109">
        <v>1</v>
      </c>
      <c r="H537" s="109" t="s">
        <v>250</v>
      </c>
      <c r="I537" s="109" t="s">
        <v>775</v>
      </c>
      <c r="J537" s="109">
        <v>79000</v>
      </c>
      <c r="K537" s="109">
        <v>1.0925478800000001E-2</v>
      </c>
      <c r="O537">
        <v>1382.972</v>
      </c>
      <c r="P537">
        <v>1382.972</v>
      </c>
    </row>
    <row r="538" spans="1:16">
      <c r="A538" s="109">
        <v>537</v>
      </c>
      <c r="B538" s="109" t="s">
        <v>853</v>
      </c>
      <c r="C538" s="109" t="s">
        <v>852</v>
      </c>
      <c r="D538" s="109" t="s">
        <v>985</v>
      </c>
      <c r="E538" s="109" t="s">
        <v>832</v>
      </c>
      <c r="F538" s="109" t="s">
        <v>774</v>
      </c>
      <c r="G538" s="109">
        <v>2</v>
      </c>
      <c r="H538" s="109" t="s">
        <v>250</v>
      </c>
      <c r="I538" s="109" t="s">
        <v>775</v>
      </c>
      <c r="J538" s="109">
        <v>81500</v>
      </c>
      <c r="K538" s="109">
        <v>1.5441967999999999E-2</v>
      </c>
      <c r="O538">
        <v>947.36</v>
      </c>
      <c r="P538">
        <v>1894.72</v>
      </c>
    </row>
    <row r="539" spans="1:16">
      <c r="A539" s="109">
        <v>538</v>
      </c>
      <c r="B539" s="109" t="s">
        <v>853</v>
      </c>
      <c r="C539" s="109" t="s">
        <v>852</v>
      </c>
      <c r="D539" s="109" t="s">
        <v>985</v>
      </c>
      <c r="E539" s="109" t="s">
        <v>833</v>
      </c>
      <c r="F539" s="109" t="s">
        <v>774</v>
      </c>
      <c r="G539" s="109">
        <v>2</v>
      </c>
      <c r="H539" s="109" t="s">
        <v>250</v>
      </c>
      <c r="I539" s="109" t="s">
        <v>775</v>
      </c>
      <c r="J539" s="109">
        <v>79000</v>
      </c>
      <c r="K539" s="109">
        <v>1.370334E-3</v>
      </c>
      <c r="O539">
        <v>86.73</v>
      </c>
      <c r="P539">
        <v>173.46</v>
      </c>
    </row>
    <row r="540" spans="1:16">
      <c r="A540" s="109">
        <v>539</v>
      </c>
      <c r="B540" s="109" t="s">
        <v>853</v>
      </c>
      <c r="C540" s="109" t="s">
        <v>852</v>
      </c>
      <c r="D540" s="109" t="s">
        <v>985</v>
      </c>
      <c r="E540" s="109" t="s">
        <v>834</v>
      </c>
      <c r="F540" s="109" t="s">
        <v>774</v>
      </c>
      <c r="G540" s="109">
        <v>1</v>
      </c>
      <c r="H540" s="109" t="s">
        <v>250</v>
      </c>
      <c r="I540" s="109" t="s">
        <v>775</v>
      </c>
      <c r="J540" s="109">
        <v>79000</v>
      </c>
      <c r="K540" s="109">
        <v>7.2861699999999998E-4</v>
      </c>
      <c r="O540">
        <v>92.23</v>
      </c>
      <c r="P540">
        <v>92.23</v>
      </c>
    </row>
    <row r="541" spans="1:16">
      <c r="A541" s="109">
        <v>540</v>
      </c>
      <c r="B541" s="109" t="s">
        <v>853</v>
      </c>
      <c r="C541" s="109" t="s">
        <v>852</v>
      </c>
      <c r="D541" s="109" t="s">
        <v>985</v>
      </c>
      <c r="E541" s="109" t="s">
        <v>835</v>
      </c>
      <c r="F541" s="109" t="s">
        <v>774</v>
      </c>
      <c r="G541" s="109">
        <v>8</v>
      </c>
      <c r="H541" s="109" t="s">
        <v>250</v>
      </c>
      <c r="I541" s="109" t="s">
        <v>775</v>
      </c>
      <c r="J541" s="109">
        <v>79000</v>
      </c>
      <c r="K541" s="109">
        <v>9.6227687999999988E-3</v>
      </c>
      <c r="O541">
        <v>152.25899999999999</v>
      </c>
      <c r="P541">
        <v>1218.0719999999999</v>
      </c>
    </row>
    <row r="542" spans="1:16">
      <c r="A542" s="109">
        <v>541</v>
      </c>
      <c r="B542" s="109" t="s">
        <v>853</v>
      </c>
      <c r="C542" s="109" t="s">
        <v>852</v>
      </c>
      <c r="D542" s="109" t="s">
        <v>985</v>
      </c>
      <c r="E542" s="109" t="s">
        <v>784</v>
      </c>
      <c r="F542" s="109" t="s">
        <v>774</v>
      </c>
      <c r="G542" s="109">
        <v>2</v>
      </c>
      <c r="H542" s="109" t="s">
        <v>250</v>
      </c>
      <c r="I542" s="109" t="s">
        <v>775</v>
      </c>
      <c r="J542" s="109">
        <v>79000</v>
      </c>
      <c r="K542" s="109">
        <v>1.3614860000000001E-3</v>
      </c>
      <c r="O542">
        <v>86.17</v>
      </c>
      <c r="P542">
        <v>172.34</v>
      </c>
    </row>
    <row r="543" spans="1:16">
      <c r="A543" s="109">
        <v>542</v>
      </c>
      <c r="B543" s="109" t="s">
        <v>853</v>
      </c>
      <c r="C543" s="109" t="s">
        <v>852</v>
      </c>
      <c r="D543" s="109" t="s">
        <v>985</v>
      </c>
      <c r="E543" s="109" t="s">
        <v>836</v>
      </c>
      <c r="F543" s="109" t="s">
        <v>774</v>
      </c>
      <c r="G543" s="109">
        <v>17</v>
      </c>
      <c r="H543" s="109" t="s">
        <v>250</v>
      </c>
      <c r="I543" s="109" t="s">
        <v>775</v>
      </c>
      <c r="J543" s="109">
        <v>79000</v>
      </c>
      <c r="K543" s="109">
        <v>9.2143229999999982E-3</v>
      </c>
      <c r="O543">
        <v>68.61</v>
      </c>
      <c r="P543">
        <v>1166.3699999999999</v>
      </c>
    </row>
    <row r="544" spans="1:16">
      <c r="A544" s="109">
        <v>543</v>
      </c>
      <c r="B544" s="109" t="s">
        <v>853</v>
      </c>
      <c r="C544" s="109" t="s">
        <v>852</v>
      </c>
      <c r="D544" s="109" t="s">
        <v>985</v>
      </c>
      <c r="E544" s="109" t="s">
        <v>786</v>
      </c>
      <c r="F544" s="109" t="s">
        <v>774</v>
      </c>
      <c r="G544" s="109">
        <v>20</v>
      </c>
      <c r="H544" s="109" t="s">
        <v>250</v>
      </c>
      <c r="I544" s="109" t="s">
        <v>775</v>
      </c>
      <c r="J544" s="109">
        <v>79000</v>
      </c>
      <c r="K544" s="109">
        <v>1.407184656E-2</v>
      </c>
      <c r="O544">
        <v>89.06232</v>
      </c>
      <c r="P544">
        <v>1781.2464</v>
      </c>
    </row>
    <row r="545" spans="1:11">
      <c r="A545" s="109">
        <v>544</v>
      </c>
      <c r="B545" s="109" t="s">
        <v>853</v>
      </c>
      <c r="C545" s="109" t="s">
        <v>852</v>
      </c>
      <c r="D545" s="109" t="s">
        <v>1359</v>
      </c>
      <c r="E545" s="109" t="s">
        <v>787</v>
      </c>
      <c r="F545" s="109" t="s">
        <v>787</v>
      </c>
      <c r="G545" s="109">
        <v>464</v>
      </c>
      <c r="H545" s="109" t="s">
        <v>250</v>
      </c>
      <c r="I545" s="109" t="s">
        <v>837</v>
      </c>
      <c r="J545" s="109">
        <v>640</v>
      </c>
      <c r="K545" s="109">
        <v>2.9696E-2</v>
      </c>
    </row>
    <row r="546" spans="1:11">
      <c r="A546" s="109">
        <v>545</v>
      </c>
      <c r="B546" s="109" t="s">
        <v>853</v>
      </c>
      <c r="C546" s="109" t="s">
        <v>852</v>
      </c>
      <c r="D546" s="109" t="s">
        <v>899</v>
      </c>
      <c r="E546" s="109" t="s">
        <v>838</v>
      </c>
      <c r="F546" s="109" t="s">
        <v>838</v>
      </c>
      <c r="G546" s="109">
        <v>604</v>
      </c>
      <c r="H546" s="109" t="s">
        <v>355</v>
      </c>
      <c r="I546" s="109" t="s">
        <v>839</v>
      </c>
      <c r="J546" s="109">
        <v>157</v>
      </c>
      <c r="K546" s="109">
        <v>9.4827999999999996E-3</v>
      </c>
    </row>
    <row r="547" spans="1:11">
      <c r="A547" s="109">
        <v>546</v>
      </c>
      <c r="B547" s="109" t="s">
        <v>853</v>
      </c>
      <c r="C547" s="109" t="s">
        <v>852</v>
      </c>
      <c r="D547" s="109" t="s">
        <v>899</v>
      </c>
      <c r="E547" s="109" t="s">
        <v>840</v>
      </c>
      <c r="F547" s="109" t="s">
        <v>840</v>
      </c>
      <c r="G547" s="109">
        <v>1200</v>
      </c>
      <c r="H547" s="109" t="s">
        <v>355</v>
      </c>
      <c r="I547" s="109" t="s">
        <v>839</v>
      </c>
      <c r="J547" s="109">
        <v>23.1</v>
      </c>
      <c r="K547" s="109">
        <v>2.7720000000000002E-3</v>
      </c>
    </row>
    <row r="548" spans="1:11">
      <c r="A548" s="109">
        <v>547</v>
      </c>
      <c r="B548" s="109" t="s">
        <v>853</v>
      </c>
      <c r="C548" s="109" t="s">
        <v>852</v>
      </c>
      <c r="D548" s="109" t="s">
        <v>988</v>
      </c>
      <c r="E548" s="109" t="s">
        <v>841</v>
      </c>
      <c r="F548" s="109" t="s">
        <v>841</v>
      </c>
      <c r="G548" s="109">
        <v>5000</v>
      </c>
      <c r="H548" s="109" t="s">
        <v>250</v>
      </c>
      <c r="I548" s="109" t="s">
        <v>842</v>
      </c>
      <c r="J548" s="109">
        <v>33</v>
      </c>
      <c r="K548" s="109">
        <v>1.6500000000000001E-2</v>
      </c>
    </row>
    <row r="549" spans="1:11">
      <c r="A549" s="109">
        <v>548</v>
      </c>
      <c r="B549" s="109" t="s">
        <v>853</v>
      </c>
      <c r="C549" s="109" t="s">
        <v>852</v>
      </c>
      <c r="D549" s="109" t="s">
        <v>897</v>
      </c>
      <c r="E549" s="109" t="s">
        <v>843</v>
      </c>
      <c r="F549" s="109" t="s">
        <v>843</v>
      </c>
      <c r="G549" s="109">
        <v>1</v>
      </c>
      <c r="H549" s="109" t="s">
        <v>250</v>
      </c>
      <c r="I549" s="109" t="s">
        <v>844</v>
      </c>
      <c r="J549" s="109"/>
      <c r="K549" s="109">
        <v>0</v>
      </c>
    </row>
    <row r="550" spans="1:11">
      <c r="A550" s="109">
        <v>549</v>
      </c>
      <c r="B550" s="109" t="s">
        <v>853</v>
      </c>
      <c r="C550" s="109" t="s">
        <v>852</v>
      </c>
      <c r="D550" s="109" t="s">
        <v>988</v>
      </c>
      <c r="E550" s="109" t="s">
        <v>845</v>
      </c>
      <c r="F550" s="109" t="s">
        <v>845</v>
      </c>
      <c r="G550" s="109">
        <v>299</v>
      </c>
      <c r="H550" s="109" t="s">
        <v>250</v>
      </c>
      <c r="I550" s="109" t="s">
        <v>846</v>
      </c>
      <c r="J550" s="109">
        <v>23.51</v>
      </c>
      <c r="K550" s="109">
        <v>7.0294900000000002E-4</v>
      </c>
    </row>
    <row r="551" spans="1:11">
      <c r="A551" s="109">
        <v>550</v>
      </c>
      <c r="B551" s="109" t="s">
        <v>853</v>
      </c>
      <c r="C551" s="109" t="s">
        <v>852</v>
      </c>
      <c r="D551" s="109" t="s">
        <v>899</v>
      </c>
      <c r="E551" s="109" t="s">
        <v>847</v>
      </c>
      <c r="F551" s="109" t="s">
        <v>847</v>
      </c>
      <c r="G551" s="109">
        <v>200</v>
      </c>
      <c r="H551" s="109" t="s">
        <v>355</v>
      </c>
      <c r="I551" s="109" t="s">
        <v>848</v>
      </c>
      <c r="J551" s="109">
        <v>131</v>
      </c>
      <c r="K551" s="109">
        <v>2.6199999999999999E-3</v>
      </c>
    </row>
    <row r="552" spans="1:11">
      <c r="A552" s="109">
        <v>551</v>
      </c>
      <c r="B552" s="109" t="s">
        <v>853</v>
      </c>
      <c r="C552" s="109" t="s">
        <v>852</v>
      </c>
      <c r="D552" s="109" t="s">
        <v>897</v>
      </c>
      <c r="E552" s="109" t="s">
        <v>849</v>
      </c>
      <c r="F552" s="109" t="s">
        <v>849</v>
      </c>
      <c r="G552" s="109">
        <v>4</v>
      </c>
      <c r="H552" s="109" t="s">
        <v>250</v>
      </c>
      <c r="I552" s="109" t="s">
        <v>848</v>
      </c>
      <c r="J552" s="109"/>
      <c r="K552" s="109">
        <v>0</v>
      </c>
    </row>
    <row r="553" spans="1:11">
      <c r="A553" s="109">
        <v>552</v>
      </c>
      <c r="B553" s="109" t="s">
        <v>853</v>
      </c>
      <c r="C553" s="109" t="s">
        <v>852</v>
      </c>
      <c r="D553" s="109" t="s">
        <v>897</v>
      </c>
      <c r="E553" s="109" t="s">
        <v>850</v>
      </c>
      <c r="F553" s="109" t="s">
        <v>850</v>
      </c>
      <c r="G553" s="109">
        <v>1</v>
      </c>
      <c r="H553" s="109" t="s">
        <v>250</v>
      </c>
      <c r="I553" s="109" t="s">
        <v>848</v>
      </c>
      <c r="J553" s="109"/>
      <c r="K553" s="109">
        <v>0</v>
      </c>
    </row>
    <row r="554" spans="1:11">
      <c r="A554" s="109">
        <v>553</v>
      </c>
      <c r="B554" s="2" t="s">
        <v>870</v>
      </c>
      <c r="C554" s="109" t="s">
        <v>871</v>
      </c>
      <c r="D554" s="109" t="s">
        <v>897</v>
      </c>
      <c r="E554" s="2" t="s">
        <v>854</v>
      </c>
      <c r="F554" s="2" t="s">
        <v>855</v>
      </c>
      <c r="G554" s="2">
        <v>495</v>
      </c>
      <c r="H554" s="2" t="s">
        <v>856</v>
      </c>
      <c r="I554" s="2" t="s">
        <v>857</v>
      </c>
      <c r="J554" s="111">
        <v>859.32</v>
      </c>
      <c r="K554" s="109">
        <f t="shared" ref="K554:K563" si="14">(J554*G554)/10000000</f>
        <v>4.2536339999999999E-2</v>
      </c>
    </row>
    <row r="555" spans="1:11">
      <c r="A555" s="109">
        <v>554</v>
      </c>
      <c r="B555" s="2" t="s">
        <v>870</v>
      </c>
      <c r="C555" s="109" t="s">
        <v>871</v>
      </c>
      <c r="D555" s="109" t="s">
        <v>897</v>
      </c>
      <c r="E555" s="2" t="s">
        <v>858</v>
      </c>
      <c r="F555" s="2" t="s">
        <v>855</v>
      </c>
      <c r="G555" s="2">
        <v>190</v>
      </c>
      <c r="H555" s="2" t="s">
        <v>856</v>
      </c>
      <c r="I555" s="2" t="s">
        <v>857</v>
      </c>
      <c r="J555" s="111">
        <v>205</v>
      </c>
      <c r="K555" s="109">
        <f t="shared" si="14"/>
        <v>3.895E-3</v>
      </c>
    </row>
    <row r="556" spans="1:11">
      <c r="A556" s="109">
        <v>555</v>
      </c>
      <c r="B556" s="2" t="s">
        <v>870</v>
      </c>
      <c r="C556" s="109" t="s">
        <v>871</v>
      </c>
      <c r="D556" s="109" t="s">
        <v>897</v>
      </c>
      <c r="E556" s="2" t="s">
        <v>859</v>
      </c>
      <c r="F556" s="2" t="s">
        <v>855</v>
      </c>
      <c r="G556" s="2">
        <v>136</v>
      </c>
      <c r="H556" s="2" t="s">
        <v>856</v>
      </c>
      <c r="I556" s="2" t="s">
        <v>860</v>
      </c>
      <c r="J556" s="111">
        <v>910</v>
      </c>
      <c r="K556" s="109">
        <f t="shared" si="14"/>
        <v>1.2376E-2</v>
      </c>
    </row>
    <row r="557" spans="1:11">
      <c r="A557" s="109">
        <v>556</v>
      </c>
      <c r="B557" s="2" t="s">
        <v>870</v>
      </c>
      <c r="C557" s="109" t="s">
        <v>871</v>
      </c>
      <c r="D557" s="109" t="s">
        <v>862</v>
      </c>
      <c r="E557" s="2" t="s">
        <v>861</v>
      </c>
      <c r="F557" s="2" t="s">
        <v>862</v>
      </c>
      <c r="G557" s="2">
        <v>1</v>
      </c>
      <c r="H557" s="2" t="s">
        <v>856</v>
      </c>
      <c r="I557" s="2" t="s">
        <v>349</v>
      </c>
      <c r="J557" s="111">
        <v>36313.800000000003</v>
      </c>
      <c r="K557" s="109">
        <f t="shared" si="14"/>
        <v>3.6313800000000005E-3</v>
      </c>
    </row>
    <row r="558" spans="1:11">
      <c r="A558" s="109">
        <v>557</v>
      </c>
      <c r="B558" s="2" t="s">
        <v>870</v>
      </c>
      <c r="C558" s="109" t="s">
        <v>871</v>
      </c>
      <c r="D558" s="109" t="s">
        <v>897</v>
      </c>
      <c r="E558" s="2" t="s">
        <v>863</v>
      </c>
      <c r="F558" s="2" t="s">
        <v>862</v>
      </c>
      <c r="G558" s="2">
        <v>1</v>
      </c>
      <c r="H558" s="2" t="s">
        <v>856</v>
      </c>
      <c r="I558" s="2" t="s">
        <v>349</v>
      </c>
      <c r="J558" s="111">
        <v>16973.25</v>
      </c>
      <c r="K558" s="109">
        <f t="shared" si="14"/>
        <v>1.697325E-3</v>
      </c>
    </row>
    <row r="559" spans="1:11">
      <c r="A559" s="109">
        <v>558</v>
      </c>
      <c r="B559" s="2" t="s">
        <v>870</v>
      </c>
      <c r="C559" s="109" t="s">
        <v>871</v>
      </c>
      <c r="D559" s="109" t="s">
        <v>862</v>
      </c>
      <c r="E559" s="2" t="s">
        <v>864</v>
      </c>
      <c r="F559" s="2" t="s">
        <v>862</v>
      </c>
      <c r="G559" s="2">
        <v>3</v>
      </c>
      <c r="H559" s="2" t="s">
        <v>856</v>
      </c>
      <c r="I559" s="2" t="s">
        <v>349</v>
      </c>
      <c r="J559" s="2">
        <v>5118</v>
      </c>
      <c r="K559" s="109">
        <f t="shared" si="14"/>
        <v>1.5353999999999999E-3</v>
      </c>
    </row>
    <row r="560" spans="1:11">
      <c r="A560" s="109">
        <v>559</v>
      </c>
      <c r="B560" s="2" t="s">
        <v>870</v>
      </c>
      <c r="C560" s="109" t="s">
        <v>871</v>
      </c>
      <c r="D560" s="109" t="s">
        <v>862</v>
      </c>
      <c r="E560" s="2" t="s">
        <v>865</v>
      </c>
      <c r="F560" s="2" t="s">
        <v>862</v>
      </c>
      <c r="G560" s="2">
        <v>1</v>
      </c>
      <c r="H560" s="2" t="s">
        <v>856</v>
      </c>
      <c r="I560" s="2" t="s">
        <v>349</v>
      </c>
      <c r="J560" s="2">
        <v>5118</v>
      </c>
      <c r="K560" s="109">
        <f t="shared" si="14"/>
        <v>5.1179999999999997E-4</v>
      </c>
    </row>
    <row r="561" spans="1:11">
      <c r="A561" s="109">
        <v>560</v>
      </c>
      <c r="B561" s="2" t="s">
        <v>870</v>
      </c>
      <c r="C561" s="109" t="s">
        <v>871</v>
      </c>
      <c r="D561" s="109" t="s">
        <v>862</v>
      </c>
      <c r="E561" s="2" t="s">
        <v>866</v>
      </c>
      <c r="F561" s="2" t="s">
        <v>862</v>
      </c>
      <c r="G561" s="2">
        <v>1</v>
      </c>
      <c r="H561" s="2" t="s">
        <v>856</v>
      </c>
      <c r="I561" s="2" t="s">
        <v>349</v>
      </c>
      <c r="J561" s="2">
        <v>5243.2</v>
      </c>
      <c r="K561" s="109">
        <f t="shared" si="14"/>
        <v>5.2431999999999999E-4</v>
      </c>
    </row>
    <row r="562" spans="1:11">
      <c r="A562" s="109">
        <v>561</v>
      </c>
      <c r="B562" s="2" t="s">
        <v>870</v>
      </c>
      <c r="C562" s="109" t="s">
        <v>871</v>
      </c>
      <c r="D562" s="109" t="s">
        <v>862</v>
      </c>
      <c r="E562" s="2" t="s">
        <v>867</v>
      </c>
      <c r="F562" s="2" t="s">
        <v>862</v>
      </c>
      <c r="G562" s="2">
        <v>3</v>
      </c>
      <c r="H562" s="2" t="s">
        <v>856</v>
      </c>
      <c r="I562" s="2" t="s">
        <v>349</v>
      </c>
      <c r="J562" s="2">
        <v>5243.2</v>
      </c>
      <c r="K562" s="109">
        <f t="shared" si="14"/>
        <v>1.5729599999999998E-3</v>
      </c>
    </row>
    <row r="563" spans="1:11">
      <c r="A563" s="109">
        <v>562</v>
      </c>
      <c r="B563" s="2" t="s">
        <v>870</v>
      </c>
      <c r="C563" s="109" t="s">
        <v>871</v>
      </c>
      <c r="D563" s="109" t="s">
        <v>862</v>
      </c>
      <c r="E563" s="2" t="s">
        <v>868</v>
      </c>
      <c r="F563" s="2" t="s">
        <v>862</v>
      </c>
      <c r="G563" s="2">
        <v>5</v>
      </c>
      <c r="H563" s="2" t="s">
        <v>856</v>
      </c>
      <c r="I563" s="2" t="s">
        <v>349</v>
      </c>
      <c r="J563" s="2">
        <v>2778.2</v>
      </c>
      <c r="K563" s="109">
        <f t="shared" si="14"/>
        <v>1.3891000000000001E-3</v>
      </c>
    </row>
    <row r="564" spans="1:11">
      <c r="A564" s="109">
        <v>563</v>
      </c>
      <c r="B564" s="109" t="s">
        <v>892</v>
      </c>
      <c r="C564" s="109" t="s">
        <v>893</v>
      </c>
      <c r="D564" s="109" t="s">
        <v>895</v>
      </c>
      <c r="E564" s="42" t="s">
        <v>872</v>
      </c>
      <c r="F564" s="42" t="s">
        <v>873</v>
      </c>
      <c r="G564" s="42">
        <v>17</v>
      </c>
      <c r="H564" s="42">
        <v>102</v>
      </c>
      <c r="I564" s="42" t="s">
        <v>746</v>
      </c>
      <c r="J564" s="42">
        <v>1356</v>
      </c>
      <c r="K564" s="112">
        <f t="shared" ref="K564:K587" si="15">(J564*G564)/10000000</f>
        <v>2.3051999999999999E-3</v>
      </c>
    </row>
    <row r="565" spans="1:11">
      <c r="A565" s="109">
        <v>564</v>
      </c>
      <c r="B565" s="109" t="s">
        <v>892</v>
      </c>
      <c r="C565" s="109" t="s">
        <v>893</v>
      </c>
      <c r="D565" s="109" t="s">
        <v>895</v>
      </c>
      <c r="E565" s="42" t="s">
        <v>872</v>
      </c>
      <c r="F565" s="42" t="s">
        <v>874</v>
      </c>
      <c r="G565" s="42">
        <v>6</v>
      </c>
      <c r="H565" s="42">
        <v>36</v>
      </c>
      <c r="I565" s="42" t="s">
        <v>746</v>
      </c>
      <c r="J565" s="42">
        <v>1697</v>
      </c>
      <c r="K565" s="112">
        <f t="shared" si="15"/>
        <v>1.0181999999999999E-3</v>
      </c>
    </row>
    <row r="566" spans="1:11">
      <c r="A566" s="109">
        <v>565</v>
      </c>
      <c r="B566" s="109" t="s">
        <v>892</v>
      </c>
      <c r="C566" s="109" t="s">
        <v>893</v>
      </c>
      <c r="D566" s="109" t="s">
        <v>895</v>
      </c>
      <c r="E566" s="42" t="s">
        <v>872</v>
      </c>
      <c r="F566" s="42" t="s">
        <v>875</v>
      </c>
      <c r="G566" s="42">
        <v>18</v>
      </c>
      <c r="H566" s="42">
        <v>108</v>
      </c>
      <c r="I566" s="42" t="s">
        <v>746</v>
      </c>
      <c r="J566" s="42">
        <v>2382</v>
      </c>
      <c r="K566" s="112">
        <f t="shared" si="15"/>
        <v>4.2875999999999999E-3</v>
      </c>
    </row>
    <row r="567" spans="1:11">
      <c r="A567" s="109">
        <v>566</v>
      </c>
      <c r="B567" s="109" t="s">
        <v>892</v>
      </c>
      <c r="C567" s="109" t="s">
        <v>893</v>
      </c>
      <c r="D567" s="109" t="s">
        <v>895</v>
      </c>
      <c r="E567" s="42" t="s">
        <v>872</v>
      </c>
      <c r="F567" s="42" t="s">
        <v>876</v>
      </c>
      <c r="G567" s="42">
        <v>1</v>
      </c>
      <c r="H567" s="42">
        <v>6</v>
      </c>
      <c r="I567" s="42" t="s">
        <v>746</v>
      </c>
      <c r="J567" s="42">
        <v>2541</v>
      </c>
      <c r="K567" s="112">
        <f t="shared" si="15"/>
        <v>2.541E-4</v>
      </c>
    </row>
    <row r="568" spans="1:11">
      <c r="A568" s="109">
        <v>567</v>
      </c>
      <c r="B568" s="109" t="s">
        <v>892</v>
      </c>
      <c r="C568" s="109" t="s">
        <v>893</v>
      </c>
      <c r="D568" s="109" t="s">
        <v>895</v>
      </c>
      <c r="E568" s="42" t="s">
        <v>872</v>
      </c>
      <c r="F568" s="42" t="s">
        <v>877</v>
      </c>
      <c r="G568" s="42">
        <v>3</v>
      </c>
      <c r="H568" s="42">
        <v>18</v>
      </c>
      <c r="I568" s="42" t="s">
        <v>746</v>
      </c>
      <c r="J568" s="42">
        <v>4005</v>
      </c>
      <c r="K568" s="112">
        <f t="shared" si="15"/>
        <v>1.2015000000000001E-3</v>
      </c>
    </row>
    <row r="569" spans="1:11">
      <c r="A569" s="109">
        <v>568</v>
      </c>
      <c r="B569" s="109" t="s">
        <v>892</v>
      </c>
      <c r="C569" s="109" t="s">
        <v>893</v>
      </c>
      <c r="D569" s="109" t="s">
        <v>862</v>
      </c>
      <c r="E569" s="42" t="s">
        <v>878</v>
      </c>
      <c r="F569" s="42" t="s">
        <v>879</v>
      </c>
      <c r="G569" s="42">
        <v>4</v>
      </c>
      <c r="H569" s="42" t="s">
        <v>880</v>
      </c>
      <c r="I569" s="42" t="s">
        <v>887</v>
      </c>
      <c r="J569" s="42">
        <v>2839</v>
      </c>
      <c r="K569" s="112">
        <f t="shared" si="15"/>
        <v>1.1356000000000001E-3</v>
      </c>
    </row>
    <row r="570" spans="1:11">
      <c r="A570" s="109">
        <v>569</v>
      </c>
      <c r="B570" s="109" t="s">
        <v>892</v>
      </c>
      <c r="C570" s="109" t="s">
        <v>893</v>
      </c>
      <c r="D570" s="109" t="s">
        <v>862</v>
      </c>
      <c r="E570" s="42" t="s">
        <v>878</v>
      </c>
      <c r="F570" s="42" t="s">
        <v>873</v>
      </c>
      <c r="G570" s="42">
        <v>1</v>
      </c>
      <c r="H570" s="42" t="s">
        <v>880</v>
      </c>
      <c r="I570" s="42" t="s">
        <v>887</v>
      </c>
      <c r="J570" s="42">
        <v>4041</v>
      </c>
      <c r="K570" s="112">
        <f t="shared" si="15"/>
        <v>4.0410000000000001E-4</v>
      </c>
    </row>
    <row r="571" spans="1:11">
      <c r="A571" s="109">
        <v>570</v>
      </c>
      <c r="B571" s="109" t="s">
        <v>892</v>
      </c>
      <c r="C571" s="109" t="s">
        <v>893</v>
      </c>
      <c r="D571" s="109" t="s">
        <v>862</v>
      </c>
      <c r="E571" s="42" t="s">
        <v>878</v>
      </c>
      <c r="F571" s="42" t="s">
        <v>874</v>
      </c>
      <c r="G571" s="42">
        <v>4</v>
      </c>
      <c r="H571" s="42" t="s">
        <v>880</v>
      </c>
      <c r="I571" s="42" t="s">
        <v>888</v>
      </c>
      <c r="J571" s="42">
        <v>8926</v>
      </c>
      <c r="K571" s="112">
        <f t="shared" si="15"/>
        <v>3.5704E-3</v>
      </c>
    </row>
    <row r="572" spans="1:11">
      <c r="A572" s="109">
        <v>571</v>
      </c>
      <c r="B572" s="109" t="s">
        <v>892</v>
      </c>
      <c r="C572" s="109" t="s">
        <v>893</v>
      </c>
      <c r="D572" s="109" t="s">
        <v>862</v>
      </c>
      <c r="E572" s="42" t="s">
        <v>878</v>
      </c>
      <c r="F572" s="42" t="s">
        <v>876</v>
      </c>
      <c r="G572" s="42">
        <v>4</v>
      </c>
      <c r="H572" s="42" t="s">
        <v>880</v>
      </c>
      <c r="I572" s="42" t="s">
        <v>888</v>
      </c>
      <c r="J572" s="42">
        <v>20870</v>
      </c>
      <c r="K572" s="112">
        <f t="shared" si="15"/>
        <v>8.3479999999999995E-3</v>
      </c>
    </row>
    <row r="573" spans="1:11">
      <c r="A573" s="109">
        <v>572</v>
      </c>
      <c r="B573" s="109" t="s">
        <v>892</v>
      </c>
      <c r="C573" s="109" t="s">
        <v>893</v>
      </c>
      <c r="D573" s="109" t="s">
        <v>862</v>
      </c>
      <c r="E573" s="42" t="s">
        <v>878</v>
      </c>
      <c r="F573" s="42" t="s">
        <v>881</v>
      </c>
      <c r="G573" s="42">
        <v>4</v>
      </c>
      <c r="H573" s="42" t="s">
        <v>880</v>
      </c>
      <c r="I573" s="42" t="s">
        <v>888</v>
      </c>
      <c r="J573" s="42">
        <v>45933</v>
      </c>
      <c r="K573" s="112">
        <f t="shared" si="15"/>
        <v>1.8373199999999999E-2</v>
      </c>
    </row>
    <row r="574" spans="1:11">
      <c r="A574" s="109">
        <v>573</v>
      </c>
      <c r="B574" s="109" t="s">
        <v>892</v>
      </c>
      <c r="C574" s="109" t="s">
        <v>893</v>
      </c>
      <c r="D574" s="109" t="s">
        <v>897</v>
      </c>
      <c r="E574" s="42" t="s">
        <v>882</v>
      </c>
      <c r="F574" s="42" t="s">
        <v>883</v>
      </c>
      <c r="G574" s="42">
        <v>88</v>
      </c>
      <c r="H574" s="42">
        <v>44</v>
      </c>
      <c r="I574" s="42" t="s">
        <v>889</v>
      </c>
      <c r="J574" s="42">
        <v>2255</v>
      </c>
      <c r="K574" s="112">
        <f t="shared" si="15"/>
        <v>1.9844000000000001E-2</v>
      </c>
    </row>
    <row r="575" spans="1:11">
      <c r="A575" s="109">
        <v>574</v>
      </c>
      <c r="B575" s="109" t="s">
        <v>892</v>
      </c>
      <c r="C575" s="109" t="s">
        <v>893</v>
      </c>
      <c r="D575" s="109" t="s">
        <v>979</v>
      </c>
      <c r="E575" s="42" t="s">
        <v>884</v>
      </c>
      <c r="F575" s="42" t="s">
        <v>879</v>
      </c>
      <c r="G575" s="42">
        <v>18</v>
      </c>
      <c r="H575" s="42" t="s">
        <v>880</v>
      </c>
      <c r="I575" s="42" t="s">
        <v>890</v>
      </c>
      <c r="J575" s="42">
        <v>760</v>
      </c>
      <c r="K575" s="112">
        <f t="shared" si="15"/>
        <v>1.3680000000000001E-3</v>
      </c>
    </row>
    <row r="576" spans="1:11">
      <c r="A576" s="109">
        <v>575</v>
      </c>
      <c r="B576" s="109" t="s">
        <v>892</v>
      </c>
      <c r="C576" s="109" t="s">
        <v>893</v>
      </c>
      <c r="D576" s="109" t="s">
        <v>979</v>
      </c>
      <c r="E576" s="42" t="s">
        <v>884</v>
      </c>
      <c r="F576" s="42" t="s">
        <v>874</v>
      </c>
      <c r="G576" s="42">
        <v>4</v>
      </c>
      <c r="H576" s="42" t="s">
        <v>880</v>
      </c>
      <c r="I576" s="42" t="s">
        <v>890</v>
      </c>
      <c r="J576" s="42">
        <v>2375</v>
      </c>
      <c r="K576" s="112">
        <f t="shared" si="15"/>
        <v>9.5E-4</v>
      </c>
    </row>
    <row r="577" spans="1:11">
      <c r="A577" s="109">
        <v>576</v>
      </c>
      <c r="B577" s="109" t="s">
        <v>892</v>
      </c>
      <c r="C577" s="109" t="s">
        <v>893</v>
      </c>
      <c r="D577" s="109" t="s">
        <v>979</v>
      </c>
      <c r="E577" s="42" t="s">
        <v>884</v>
      </c>
      <c r="F577" s="42" t="s">
        <v>875</v>
      </c>
      <c r="G577" s="42">
        <v>3</v>
      </c>
      <c r="H577" s="42" t="s">
        <v>880</v>
      </c>
      <c r="I577" s="42" t="s">
        <v>890</v>
      </c>
      <c r="J577" s="42">
        <v>3325</v>
      </c>
      <c r="K577" s="112">
        <f t="shared" si="15"/>
        <v>9.9749999999999991E-4</v>
      </c>
    </row>
    <row r="578" spans="1:11">
      <c r="A578" s="109">
        <v>577</v>
      </c>
      <c r="B578" s="109" t="s">
        <v>892</v>
      </c>
      <c r="C578" s="109" t="s">
        <v>893</v>
      </c>
      <c r="D578" s="109" t="s">
        <v>979</v>
      </c>
      <c r="E578" s="42" t="s">
        <v>884</v>
      </c>
      <c r="F578" s="42" t="s">
        <v>876</v>
      </c>
      <c r="G578" s="42">
        <v>31</v>
      </c>
      <c r="H578" s="42" t="s">
        <v>880</v>
      </c>
      <c r="I578" s="42" t="s">
        <v>890</v>
      </c>
      <c r="J578" s="42">
        <v>3657</v>
      </c>
      <c r="K578" s="112">
        <f t="shared" si="15"/>
        <v>1.13367E-2</v>
      </c>
    </row>
    <row r="579" spans="1:11">
      <c r="A579" s="109">
        <v>578</v>
      </c>
      <c r="B579" s="109" t="s">
        <v>892</v>
      </c>
      <c r="C579" s="109" t="s">
        <v>893</v>
      </c>
      <c r="D579" s="109" t="s">
        <v>979</v>
      </c>
      <c r="E579" s="42" t="s">
        <v>884</v>
      </c>
      <c r="F579" s="42" t="s">
        <v>877</v>
      </c>
      <c r="G579" s="42">
        <v>27</v>
      </c>
      <c r="H579" s="42" t="s">
        <v>880</v>
      </c>
      <c r="I579" s="42" t="s">
        <v>890</v>
      </c>
      <c r="J579" s="42">
        <v>5225</v>
      </c>
      <c r="K579" s="112">
        <f t="shared" si="15"/>
        <v>1.41075E-2</v>
      </c>
    </row>
    <row r="580" spans="1:11">
      <c r="A580" s="109">
        <v>579</v>
      </c>
      <c r="B580" s="109" t="s">
        <v>892</v>
      </c>
      <c r="C580" s="109" t="s">
        <v>893</v>
      </c>
      <c r="D580" s="109" t="s">
        <v>721</v>
      </c>
      <c r="E580" s="42" t="s">
        <v>885</v>
      </c>
      <c r="F580" s="42" t="s">
        <v>873</v>
      </c>
      <c r="G580" s="42">
        <v>1</v>
      </c>
      <c r="H580" s="42" t="s">
        <v>880</v>
      </c>
      <c r="I580" s="42" t="s">
        <v>890</v>
      </c>
      <c r="J580" s="42">
        <v>950</v>
      </c>
      <c r="K580" s="112">
        <f t="shared" si="15"/>
        <v>9.5000000000000005E-5</v>
      </c>
    </row>
    <row r="581" spans="1:11">
      <c r="A581" s="109">
        <v>580</v>
      </c>
      <c r="B581" s="109" t="s">
        <v>892</v>
      </c>
      <c r="C581" s="109" t="s">
        <v>893</v>
      </c>
      <c r="D581" s="109" t="s">
        <v>721</v>
      </c>
      <c r="E581" s="42" t="s">
        <v>885</v>
      </c>
      <c r="F581" s="42" t="s">
        <v>874</v>
      </c>
      <c r="G581" s="42">
        <v>2</v>
      </c>
      <c r="H581" s="42" t="s">
        <v>880</v>
      </c>
      <c r="I581" s="42" t="s">
        <v>890</v>
      </c>
      <c r="J581" s="42">
        <v>1492</v>
      </c>
      <c r="K581" s="112">
        <f t="shared" si="15"/>
        <v>2.9839999999999999E-4</v>
      </c>
    </row>
    <row r="582" spans="1:11">
      <c r="A582" s="109">
        <v>581</v>
      </c>
      <c r="B582" s="109" t="s">
        <v>892</v>
      </c>
      <c r="C582" s="109" t="s">
        <v>893</v>
      </c>
      <c r="D582" s="109" t="s">
        <v>721</v>
      </c>
      <c r="E582" s="42" t="s">
        <v>885</v>
      </c>
      <c r="F582" s="42" t="s">
        <v>875</v>
      </c>
      <c r="G582" s="42">
        <v>3</v>
      </c>
      <c r="H582" s="42" t="s">
        <v>880</v>
      </c>
      <c r="I582" s="42" t="s">
        <v>890</v>
      </c>
      <c r="J582" s="42">
        <v>2285</v>
      </c>
      <c r="K582" s="112">
        <f t="shared" si="15"/>
        <v>6.8550000000000002E-4</v>
      </c>
    </row>
    <row r="583" spans="1:11">
      <c r="A583" s="109">
        <v>582</v>
      </c>
      <c r="B583" s="109" t="s">
        <v>892</v>
      </c>
      <c r="C583" s="109" t="s">
        <v>893</v>
      </c>
      <c r="D583" s="109" t="s">
        <v>721</v>
      </c>
      <c r="E583" s="42" t="s">
        <v>885</v>
      </c>
      <c r="F583" s="42" t="s">
        <v>876</v>
      </c>
      <c r="G583" s="42">
        <v>48</v>
      </c>
      <c r="H583" s="42" t="s">
        <v>880</v>
      </c>
      <c r="I583" s="42" t="s">
        <v>890</v>
      </c>
      <c r="J583" s="42">
        <v>3658</v>
      </c>
      <c r="K583" s="112">
        <f t="shared" si="15"/>
        <v>1.7558399999999998E-2</v>
      </c>
    </row>
    <row r="584" spans="1:11">
      <c r="A584" s="109">
        <v>583</v>
      </c>
      <c r="B584" s="109" t="s">
        <v>892</v>
      </c>
      <c r="C584" s="109" t="s">
        <v>893</v>
      </c>
      <c r="D584" s="109" t="s">
        <v>721</v>
      </c>
      <c r="E584" s="42" t="s">
        <v>885</v>
      </c>
      <c r="F584" s="42" t="s">
        <v>877</v>
      </c>
      <c r="G584" s="42">
        <v>11</v>
      </c>
      <c r="H584" s="42" t="s">
        <v>880</v>
      </c>
      <c r="I584" s="42" t="s">
        <v>890</v>
      </c>
      <c r="J584" s="42">
        <v>6650</v>
      </c>
      <c r="K584" s="112">
        <f t="shared" si="15"/>
        <v>7.3150000000000003E-3</v>
      </c>
    </row>
    <row r="585" spans="1:11">
      <c r="A585" s="109">
        <v>584</v>
      </c>
      <c r="B585" s="109" t="s">
        <v>892</v>
      </c>
      <c r="C585" s="109" t="s">
        <v>893</v>
      </c>
      <c r="D585" s="109" t="s">
        <v>721</v>
      </c>
      <c r="E585" s="42" t="s">
        <v>885</v>
      </c>
      <c r="F585" s="42" t="s">
        <v>883</v>
      </c>
      <c r="G585" s="42">
        <v>17</v>
      </c>
      <c r="H585" s="42" t="s">
        <v>880</v>
      </c>
      <c r="I585" s="42" t="s">
        <v>890</v>
      </c>
      <c r="J585" s="42">
        <v>19000</v>
      </c>
      <c r="K585" s="112">
        <f t="shared" si="15"/>
        <v>3.2300000000000002E-2</v>
      </c>
    </row>
    <row r="586" spans="1:11">
      <c r="A586" s="109">
        <v>585</v>
      </c>
      <c r="B586" s="109" t="s">
        <v>892</v>
      </c>
      <c r="C586" s="109" t="s">
        <v>893</v>
      </c>
      <c r="D586" s="109" t="s">
        <v>897</v>
      </c>
      <c r="E586" s="42" t="s">
        <v>886</v>
      </c>
      <c r="F586" s="42" t="s">
        <v>873</v>
      </c>
      <c r="G586" s="42">
        <v>6</v>
      </c>
      <c r="H586" s="42" t="s">
        <v>880</v>
      </c>
      <c r="I586" s="42" t="s">
        <v>891</v>
      </c>
      <c r="J586" s="42">
        <v>15704</v>
      </c>
      <c r="K586" s="112">
        <f t="shared" si="15"/>
        <v>9.4223999999999992E-3</v>
      </c>
    </row>
    <row r="587" spans="1:11">
      <c r="A587" s="109">
        <v>586</v>
      </c>
      <c r="B587" s="109" t="s">
        <v>892</v>
      </c>
      <c r="C587" s="109" t="s">
        <v>893</v>
      </c>
      <c r="D587" s="109" t="s">
        <v>897</v>
      </c>
      <c r="E587" s="42" t="s">
        <v>886</v>
      </c>
      <c r="F587" s="42" t="s">
        <v>874</v>
      </c>
      <c r="G587" s="42">
        <v>3</v>
      </c>
      <c r="H587" s="42" t="s">
        <v>880</v>
      </c>
      <c r="I587" s="42" t="s">
        <v>891</v>
      </c>
      <c r="J587" s="42">
        <v>27525</v>
      </c>
      <c r="K587" s="112">
        <f t="shared" si="15"/>
        <v>8.2574999999999992E-3</v>
      </c>
    </row>
    <row r="588" spans="1:11">
      <c r="A588" s="109">
        <v>587</v>
      </c>
      <c r="B588" s="109" t="s">
        <v>946</v>
      </c>
      <c r="C588" s="109" t="s">
        <v>947</v>
      </c>
      <c r="D588" s="109" t="s">
        <v>986</v>
      </c>
      <c r="E588" s="110" t="s">
        <v>907</v>
      </c>
      <c r="F588" s="109">
        <v>5</v>
      </c>
      <c r="G588" s="109" t="s">
        <v>908</v>
      </c>
      <c r="H588" s="109"/>
      <c r="I588" s="109"/>
      <c r="J588" s="111">
        <v>670</v>
      </c>
      <c r="K588" s="113">
        <f>(J588*F588)/10000000</f>
        <v>3.3500000000000001E-4</v>
      </c>
    </row>
    <row r="589" spans="1:11">
      <c r="A589" s="109">
        <v>588</v>
      </c>
      <c r="B589" s="109" t="s">
        <v>946</v>
      </c>
      <c r="C589" s="109" t="s">
        <v>947</v>
      </c>
      <c r="D589" s="109" t="s">
        <v>986</v>
      </c>
      <c r="E589" s="110" t="s">
        <v>909</v>
      </c>
      <c r="F589" s="109">
        <v>4</v>
      </c>
      <c r="G589" s="109" t="s">
        <v>908</v>
      </c>
      <c r="H589" s="109"/>
      <c r="I589" s="109"/>
      <c r="J589" s="111">
        <v>556.62</v>
      </c>
      <c r="K589" s="113">
        <f>(J589*F589)/10000000</f>
        <v>2.2264800000000001E-4</v>
      </c>
    </row>
    <row r="590" spans="1:11">
      <c r="A590" s="109">
        <v>589</v>
      </c>
      <c r="B590" s="109" t="s">
        <v>946</v>
      </c>
      <c r="C590" s="109" t="s">
        <v>947</v>
      </c>
      <c r="D590" s="109" t="s">
        <v>897</v>
      </c>
      <c r="E590" s="110" t="s">
        <v>910</v>
      </c>
      <c r="F590" s="109">
        <v>1</v>
      </c>
      <c r="G590" s="109" t="s">
        <v>911</v>
      </c>
      <c r="H590" s="109"/>
      <c r="I590" s="109"/>
      <c r="J590" s="111">
        <v>9491.89</v>
      </c>
      <c r="K590" s="113">
        <f>(J590*F590)/10000000</f>
        <v>9.4918899999999991E-4</v>
      </c>
    </row>
    <row r="591" spans="1:11">
      <c r="A591" s="109">
        <v>590</v>
      </c>
      <c r="B591" s="109" t="s">
        <v>946</v>
      </c>
      <c r="C591" s="109" t="s">
        <v>947</v>
      </c>
      <c r="D591" s="109" t="s">
        <v>895</v>
      </c>
      <c r="E591" s="110" t="s">
        <v>912</v>
      </c>
      <c r="F591" s="109">
        <v>1.5</v>
      </c>
      <c r="G591" s="109" t="s">
        <v>913</v>
      </c>
      <c r="H591" s="109"/>
      <c r="I591" s="109"/>
      <c r="J591" s="111">
        <v>105</v>
      </c>
      <c r="K591" s="113">
        <f>(J591*F591)/10000000</f>
        <v>1.575E-5</v>
      </c>
    </row>
    <row r="592" spans="1:11">
      <c r="A592" s="109">
        <v>591</v>
      </c>
      <c r="B592" s="109" t="s">
        <v>946</v>
      </c>
      <c r="C592" s="109" t="s">
        <v>947</v>
      </c>
      <c r="D592" s="109" t="s">
        <v>1359</v>
      </c>
      <c r="E592" s="110" t="s">
        <v>914</v>
      </c>
      <c r="F592" s="109">
        <v>80</v>
      </c>
      <c r="G592" s="109" t="s">
        <v>33</v>
      </c>
      <c r="H592" s="109"/>
      <c r="I592" s="109"/>
      <c r="J592" s="111">
        <v>1850</v>
      </c>
      <c r="K592" s="113">
        <f>(J592*F592)/10000000</f>
        <v>1.4800000000000001E-2</v>
      </c>
    </row>
    <row r="593" spans="1:11">
      <c r="A593" s="109">
        <v>592</v>
      </c>
      <c r="B593" s="109" t="s">
        <v>946</v>
      </c>
      <c r="C593" s="109" t="s">
        <v>947</v>
      </c>
      <c r="D593" s="109" t="s">
        <v>991</v>
      </c>
      <c r="E593" s="110" t="s">
        <v>915</v>
      </c>
      <c r="F593" s="109">
        <v>4.5</v>
      </c>
      <c r="G593" s="109" t="s">
        <v>916</v>
      </c>
      <c r="H593" s="109"/>
      <c r="I593" s="109"/>
      <c r="J593" s="109">
        <v>53.6</v>
      </c>
      <c r="K593" s="113">
        <f>(J593*F593)/10000000</f>
        <v>2.4120000000000003E-5</v>
      </c>
    </row>
    <row r="594" spans="1:11">
      <c r="A594" s="109">
        <v>593</v>
      </c>
      <c r="B594" s="109" t="s">
        <v>946</v>
      </c>
      <c r="C594" s="109" t="s">
        <v>947</v>
      </c>
      <c r="D594" s="109" t="s">
        <v>991</v>
      </c>
      <c r="E594" s="110" t="s">
        <v>917</v>
      </c>
      <c r="F594" s="109">
        <v>24</v>
      </c>
      <c r="G594" s="109" t="s">
        <v>916</v>
      </c>
      <c r="H594" s="109"/>
      <c r="I594" s="109"/>
      <c r="J594" s="109">
        <v>53.6</v>
      </c>
      <c r="K594" s="113">
        <f>(J594*F594)/10000000</f>
        <v>1.2864000000000002E-4</v>
      </c>
    </row>
    <row r="595" spans="1:11">
      <c r="A595" s="109">
        <v>594</v>
      </c>
      <c r="B595" s="109" t="s">
        <v>946</v>
      </c>
      <c r="C595" s="109" t="s">
        <v>947</v>
      </c>
      <c r="D595" s="109" t="s">
        <v>991</v>
      </c>
      <c r="E595" s="110" t="s">
        <v>918</v>
      </c>
      <c r="F595" s="109">
        <v>2</v>
      </c>
      <c r="G595" s="109" t="s">
        <v>916</v>
      </c>
      <c r="H595" s="109"/>
      <c r="I595" s="109"/>
      <c r="J595" s="109">
        <v>53.6</v>
      </c>
      <c r="K595" s="113">
        <f>(J595*F595)/10000000</f>
        <v>1.0720000000000001E-5</v>
      </c>
    </row>
    <row r="596" spans="1:11">
      <c r="A596" s="109">
        <v>595</v>
      </c>
      <c r="B596" s="109" t="s">
        <v>946</v>
      </c>
      <c r="C596" s="109" t="s">
        <v>947</v>
      </c>
      <c r="D596" s="109" t="s">
        <v>897</v>
      </c>
      <c r="E596" s="110" t="s">
        <v>919</v>
      </c>
      <c r="F596" s="109">
        <f>10.233-5</f>
        <v>5.2330000000000005</v>
      </c>
      <c r="G596" s="109" t="s">
        <v>916</v>
      </c>
      <c r="H596" s="109"/>
      <c r="I596" s="109"/>
      <c r="J596" s="109"/>
      <c r="K596" s="113">
        <f>(J596*F596)/10000000</f>
        <v>0</v>
      </c>
    </row>
    <row r="597" spans="1:11">
      <c r="A597" s="109">
        <v>596</v>
      </c>
      <c r="B597" s="109" t="s">
        <v>946</v>
      </c>
      <c r="C597" s="109" t="s">
        <v>947</v>
      </c>
      <c r="D597" s="109" t="s">
        <v>897</v>
      </c>
      <c r="E597" s="110" t="s">
        <v>920</v>
      </c>
      <c r="F597" s="109">
        <v>31.315000000000001</v>
      </c>
      <c r="G597" s="109" t="s">
        <v>916</v>
      </c>
      <c r="H597" s="109"/>
      <c r="I597" s="109"/>
      <c r="J597" s="109"/>
      <c r="K597" s="113">
        <f>(J597*F597)/10000000</f>
        <v>0</v>
      </c>
    </row>
    <row r="598" spans="1:11">
      <c r="A598" s="109">
        <v>597</v>
      </c>
      <c r="B598" s="109" t="s">
        <v>946</v>
      </c>
      <c r="C598" s="109" t="s">
        <v>947</v>
      </c>
      <c r="D598" s="109" t="s">
        <v>897</v>
      </c>
      <c r="E598" s="110" t="s">
        <v>921</v>
      </c>
      <c r="F598" s="109">
        <v>6</v>
      </c>
      <c r="G598" s="109" t="s">
        <v>922</v>
      </c>
      <c r="H598" s="109"/>
      <c r="I598" s="109"/>
      <c r="J598" s="109"/>
      <c r="K598" s="113">
        <f>(J598*F598)/10000000</f>
        <v>0</v>
      </c>
    </row>
    <row r="599" spans="1:11">
      <c r="A599" s="109">
        <v>598</v>
      </c>
      <c r="B599" s="109" t="s">
        <v>946</v>
      </c>
      <c r="C599" s="109" t="s">
        <v>947</v>
      </c>
      <c r="D599" s="109" t="s">
        <v>897</v>
      </c>
      <c r="E599" s="110" t="s">
        <v>923</v>
      </c>
      <c r="F599" s="109">
        <v>6</v>
      </c>
      <c r="G599" s="109" t="s">
        <v>33</v>
      </c>
      <c r="H599" s="109"/>
      <c r="I599" s="109"/>
      <c r="J599" s="109"/>
      <c r="K599" s="113">
        <f>(J599*F599)/10000000</f>
        <v>0</v>
      </c>
    </row>
    <row r="600" spans="1:11">
      <c r="A600" s="109">
        <v>599</v>
      </c>
      <c r="B600" s="109" t="s">
        <v>946</v>
      </c>
      <c r="C600" s="109" t="s">
        <v>947</v>
      </c>
      <c r="D600" s="109" t="s">
        <v>897</v>
      </c>
      <c r="E600" s="110" t="s">
        <v>924</v>
      </c>
      <c r="F600" s="109">
        <v>10</v>
      </c>
      <c r="G600" s="109" t="s">
        <v>943</v>
      </c>
      <c r="H600" s="109"/>
      <c r="I600" s="109"/>
      <c r="J600" s="109"/>
      <c r="K600" s="113">
        <f>(J600*F600)/10000000</f>
        <v>0</v>
      </c>
    </row>
    <row r="601" spans="1:11">
      <c r="A601" s="109">
        <v>600</v>
      </c>
      <c r="B601" s="109" t="s">
        <v>946</v>
      </c>
      <c r="C601" s="109" t="s">
        <v>947</v>
      </c>
      <c r="D601" s="109" t="s">
        <v>897</v>
      </c>
      <c r="E601" s="110" t="s">
        <v>925</v>
      </c>
      <c r="F601" s="109">
        <v>3</v>
      </c>
      <c r="G601" s="109" t="s">
        <v>943</v>
      </c>
      <c r="H601" s="109"/>
      <c r="I601" s="109"/>
      <c r="J601" s="109"/>
      <c r="K601" s="113">
        <f>(J601*F601)/10000000</f>
        <v>0</v>
      </c>
    </row>
    <row r="602" spans="1:11">
      <c r="A602" s="109">
        <v>601</v>
      </c>
      <c r="B602" s="109" t="s">
        <v>946</v>
      </c>
      <c r="C602" s="109" t="s">
        <v>947</v>
      </c>
      <c r="D602" s="109" t="s">
        <v>897</v>
      </c>
      <c r="E602" s="110" t="s">
        <v>926</v>
      </c>
      <c r="F602" s="109">
        <v>6</v>
      </c>
      <c r="G602" s="109" t="s">
        <v>33</v>
      </c>
      <c r="H602" s="109"/>
      <c r="I602" s="109"/>
      <c r="J602" s="109"/>
      <c r="K602" s="113">
        <f>(J602*F602)/10000000</f>
        <v>0</v>
      </c>
    </row>
    <row r="603" spans="1:11">
      <c r="A603" s="109">
        <v>602</v>
      </c>
      <c r="B603" s="109" t="s">
        <v>946</v>
      </c>
      <c r="C603" s="109" t="s">
        <v>947</v>
      </c>
      <c r="D603" s="109" t="s">
        <v>897</v>
      </c>
      <c r="E603" s="110" t="s">
        <v>927</v>
      </c>
      <c r="F603" s="109">
        <v>5</v>
      </c>
      <c r="G603" s="109" t="s">
        <v>33</v>
      </c>
      <c r="H603" s="109"/>
      <c r="I603" s="109"/>
      <c r="J603" s="109"/>
      <c r="K603" s="113">
        <f>(J603*F603)/10000000</f>
        <v>0</v>
      </c>
    </row>
    <row r="604" spans="1:11">
      <c r="A604" s="109">
        <v>603</v>
      </c>
      <c r="B604" s="109" t="s">
        <v>946</v>
      </c>
      <c r="C604" s="109" t="s">
        <v>947</v>
      </c>
      <c r="D604" s="109" t="s">
        <v>897</v>
      </c>
      <c r="E604" s="110" t="s">
        <v>928</v>
      </c>
      <c r="F604" s="109">
        <v>5</v>
      </c>
      <c r="G604" s="109" t="s">
        <v>33</v>
      </c>
      <c r="H604" s="109"/>
      <c r="I604" s="109"/>
      <c r="J604" s="109"/>
      <c r="K604" s="113">
        <f>(J604*F604)/10000000</f>
        <v>0</v>
      </c>
    </row>
    <row r="605" spans="1:11">
      <c r="A605" s="109">
        <v>604</v>
      </c>
      <c r="B605" s="109" t="s">
        <v>946</v>
      </c>
      <c r="C605" s="109" t="s">
        <v>947</v>
      </c>
      <c r="D605" s="109" t="s">
        <v>897</v>
      </c>
      <c r="E605" s="110" t="s">
        <v>929</v>
      </c>
      <c r="F605" s="109">
        <v>6</v>
      </c>
      <c r="G605" s="109" t="s">
        <v>33</v>
      </c>
      <c r="H605" s="109"/>
      <c r="I605" s="109"/>
      <c r="J605" s="109"/>
      <c r="K605" s="113">
        <f>(J605*F605)/10000000</f>
        <v>0</v>
      </c>
    </row>
    <row r="606" spans="1:11">
      <c r="A606" s="109">
        <v>605</v>
      </c>
      <c r="B606" s="109" t="s">
        <v>946</v>
      </c>
      <c r="C606" s="109" t="s">
        <v>947</v>
      </c>
      <c r="D606" s="109" t="s">
        <v>897</v>
      </c>
      <c r="E606" s="110" t="s">
        <v>930</v>
      </c>
      <c r="F606" s="109">
        <v>9</v>
      </c>
      <c r="G606" s="109" t="s">
        <v>33</v>
      </c>
      <c r="H606" s="109"/>
      <c r="I606" s="109"/>
      <c r="J606" s="109"/>
      <c r="K606" s="113">
        <f>(J606*F606)/10000000</f>
        <v>0</v>
      </c>
    </row>
    <row r="607" spans="1:11">
      <c r="A607" s="109">
        <v>606</v>
      </c>
      <c r="B607" s="109" t="s">
        <v>946</v>
      </c>
      <c r="C607" s="109" t="s">
        <v>947</v>
      </c>
      <c r="D607" s="109" t="s">
        <v>897</v>
      </c>
      <c r="E607" s="110" t="s">
        <v>931</v>
      </c>
      <c r="F607" s="109">
        <v>9</v>
      </c>
      <c r="G607" s="109" t="s">
        <v>33</v>
      </c>
      <c r="H607" s="109"/>
      <c r="I607" s="109"/>
      <c r="J607" s="109"/>
      <c r="K607" s="113">
        <f>(J607*F607)/10000000</f>
        <v>0</v>
      </c>
    </row>
    <row r="608" spans="1:11">
      <c r="A608" s="109">
        <v>607</v>
      </c>
      <c r="B608" s="109" t="s">
        <v>946</v>
      </c>
      <c r="C608" s="109" t="s">
        <v>947</v>
      </c>
      <c r="D608" s="109" t="s">
        <v>897</v>
      </c>
      <c r="E608" s="110" t="s">
        <v>932</v>
      </c>
      <c r="F608" s="109">
        <v>1</v>
      </c>
      <c r="G608" s="109" t="s">
        <v>33</v>
      </c>
      <c r="H608" s="109"/>
      <c r="I608" s="109"/>
      <c r="J608" s="109"/>
      <c r="K608" s="113">
        <f>(J608*F608)/10000000</f>
        <v>0</v>
      </c>
    </row>
    <row r="609" spans="1:11">
      <c r="A609" s="109">
        <v>608</v>
      </c>
      <c r="B609" s="109" t="s">
        <v>946</v>
      </c>
      <c r="C609" s="109" t="s">
        <v>947</v>
      </c>
      <c r="D609" s="109" t="s">
        <v>897</v>
      </c>
      <c r="E609" s="110" t="s">
        <v>933</v>
      </c>
      <c r="F609" s="109"/>
      <c r="G609" s="109" t="s">
        <v>33</v>
      </c>
      <c r="H609" s="109"/>
      <c r="I609" s="109"/>
      <c r="J609" s="109"/>
      <c r="K609" s="113">
        <f>(J609*F609)/10000000</f>
        <v>0</v>
      </c>
    </row>
    <row r="610" spans="1:11">
      <c r="A610" s="109">
        <v>609</v>
      </c>
      <c r="B610" s="109" t="s">
        <v>946</v>
      </c>
      <c r="C610" s="109" t="s">
        <v>947</v>
      </c>
      <c r="D610" s="109" t="s">
        <v>897</v>
      </c>
      <c r="E610" s="110" t="s">
        <v>934</v>
      </c>
      <c r="F610" s="109"/>
      <c r="G610" s="109" t="s">
        <v>33</v>
      </c>
      <c r="H610" s="109"/>
      <c r="I610" s="109"/>
      <c r="J610" s="109"/>
      <c r="K610" s="113">
        <f>(J610*F610)/10000000</f>
        <v>0</v>
      </c>
    </row>
    <row r="611" spans="1:11">
      <c r="A611" s="109">
        <v>610</v>
      </c>
      <c r="B611" s="109" t="s">
        <v>946</v>
      </c>
      <c r="C611" s="109" t="s">
        <v>947</v>
      </c>
      <c r="D611" s="109" t="s">
        <v>897</v>
      </c>
      <c r="E611" s="110" t="s">
        <v>935</v>
      </c>
      <c r="F611" s="109"/>
      <c r="G611" s="109" t="s">
        <v>33</v>
      </c>
      <c r="H611" s="109"/>
      <c r="I611" s="109"/>
      <c r="J611" s="109"/>
      <c r="K611" s="113">
        <f>(J611*F611)/10000000</f>
        <v>0</v>
      </c>
    </row>
    <row r="612" spans="1:11">
      <c r="A612" s="109">
        <v>611</v>
      </c>
      <c r="B612" s="109" t="s">
        <v>946</v>
      </c>
      <c r="C612" s="109" t="s">
        <v>947</v>
      </c>
      <c r="D612" s="109" t="s">
        <v>897</v>
      </c>
      <c r="E612" s="110" t="s">
        <v>936</v>
      </c>
      <c r="F612" s="109"/>
      <c r="G612" s="109" t="s">
        <v>33</v>
      </c>
      <c r="H612" s="109"/>
      <c r="I612" s="109"/>
      <c r="J612" s="109"/>
      <c r="K612" s="113">
        <f>(J612*F612)/10000000</f>
        <v>0</v>
      </c>
    </row>
    <row r="613" spans="1:11">
      <c r="A613" s="109">
        <v>612</v>
      </c>
      <c r="B613" s="109" t="s">
        <v>946</v>
      </c>
      <c r="C613" s="109" t="s">
        <v>947</v>
      </c>
      <c r="D613" s="109" t="s">
        <v>897</v>
      </c>
      <c r="E613" s="110" t="s">
        <v>937</v>
      </c>
      <c r="F613" s="109">
        <v>1</v>
      </c>
      <c r="G613" s="109" t="s">
        <v>33</v>
      </c>
      <c r="H613" s="109"/>
      <c r="I613" s="109"/>
      <c r="J613" s="109"/>
      <c r="K613" s="113">
        <f>(J613*F613)/10000000</f>
        <v>0</v>
      </c>
    </row>
    <row r="614" spans="1:11">
      <c r="A614" s="109">
        <v>613</v>
      </c>
      <c r="B614" s="109" t="s">
        <v>946</v>
      </c>
      <c r="C614" s="109" t="s">
        <v>947</v>
      </c>
      <c r="D614" s="109" t="s">
        <v>897</v>
      </c>
      <c r="E614" s="110" t="s">
        <v>938</v>
      </c>
      <c r="F614" s="109"/>
      <c r="G614" s="109" t="s">
        <v>33</v>
      </c>
      <c r="H614" s="109"/>
      <c r="I614" s="109"/>
      <c r="J614" s="109"/>
      <c r="K614" s="113">
        <f>(J614*F614)/10000000</f>
        <v>0</v>
      </c>
    </row>
    <row r="615" spans="1:11">
      <c r="A615" s="109">
        <v>614</v>
      </c>
      <c r="B615" s="109" t="s">
        <v>946</v>
      </c>
      <c r="C615" s="109" t="s">
        <v>947</v>
      </c>
      <c r="D615" s="109" t="s">
        <v>897</v>
      </c>
      <c r="E615" s="110" t="s">
        <v>939</v>
      </c>
      <c r="F615" s="109">
        <v>2</v>
      </c>
      <c r="G615" s="109" t="s">
        <v>33</v>
      </c>
      <c r="H615" s="109"/>
      <c r="I615" s="109"/>
      <c r="J615" s="109"/>
      <c r="K615" s="113">
        <f>(J615*F615)/10000000</f>
        <v>0</v>
      </c>
    </row>
    <row r="616" spans="1:11">
      <c r="A616" s="109">
        <v>615</v>
      </c>
      <c r="B616" s="109" t="s">
        <v>946</v>
      </c>
      <c r="C616" s="109" t="s">
        <v>947</v>
      </c>
      <c r="D616" s="109" t="s">
        <v>897</v>
      </c>
      <c r="E616" s="110" t="s">
        <v>940</v>
      </c>
      <c r="F616" s="109">
        <v>6</v>
      </c>
      <c r="G616" s="109" t="s">
        <v>33</v>
      </c>
      <c r="H616" s="109"/>
      <c r="I616" s="109"/>
      <c r="J616" s="109"/>
      <c r="K616" s="113">
        <f>(J616*F616)/10000000</f>
        <v>0</v>
      </c>
    </row>
    <row r="617" spans="1:11">
      <c r="A617" s="109">
        <v>616</v>
      </c>
      <c r="B617" s="109" t="s">
        <v>946</v>
      </c>
      <c r="C617" s="109" t="s">
        <v>947</v>
      </c>
      <c r="D617" s="109" t="s">
        <v>897</v>
      </c>
      <c r="E617" s="110" t="s">
        <v>941</v>
      </c>
      <c r="F617" s="109"/>
      <c r="G617" s="109" t="s">
        <v>33</v>
      </c>
      <c r="H617" s="109"/>
      <c r="I617" s="109"/>
      <c r="J617" s="109"/>
      <c r="K617" s="113">
        <f>(J617*F617)/10000000</f>
        <v>0</v>
      </c>
    </row>
    <row r="618" spans="1:11">
      <c r="A618" s="109">
        <v>617</v>
      </c>
      <c r="B618" s="109" t="s">
        <v>946</v>
      </c>
      <c r="C618" s="109" t="s">
        <v>947</v>
      </c>
      <c r="D618" s="109" t="s">
        <v>897</v>
      </c>
      <c r="E618" s="110" t="s">
        <v>942</v>
      </c>
      <c r="F618" s="109">
        <v>20</v>
      </c>
      <c r="G618" s="109" t="s">
        <v>33</v>
      </c>
      <c r="H618" s="109"/>
      <c r="I618" s="109"/>
      <c r="J618" s="109"/>
      <c r="K618" s="113">
        <f>(J618*F618)/10000000</f>
        <v>0</v>
      </c>
    </row>
    <row r="619" spans="1:11">
      <c r="A619" s="109">
        <v>618</v>
      </c>
      <c r="B619" s="109" t="s">
        <v>946</v>
      </c>
      <c r="C619" s="109" t="s">
        <v>947</v>
      </c>
      <c r="D619" s="109" t="s">
        <v>897</v>
      </c>
      <c r="E619" s="110" t="s">
        <v>944</v>
      </c>
      <c r="F619" s="109">
        <v>2</v>
      </c>
      <c r="G619" s="109" t="s">
        <v>33</v>
      </c>
      <c r="H619" s="109"/>
      <c r="I619" s="109"/>
      <c r="J619" s="109"/>
      <c r="K619" s="113">
        <f>(J619*F619)/10000000</f>
        <v>0</v>
      </c>
    </row>
    <row r="620" spans="1:11">
      <c r="A620" s="109">
        <v>619</v>
      </c>
      <c r="B620" s="109" t="s">
        <v>946</v>
      </c>
      <c r="C620" s="109" t="s">
        <v>947</v>
      </c>
      <c r="D620" s="109" t="s">
        <v>897</v>
      </c>
      <c r="E620" s="110" t="s">
        <v>945</v>
      </c>
      <c r="F620" s="109">
        <v>2</v>
      </c>
      <c r="G620" s="109" t="s">
        <v>33</v>
      </c>
      <c r="H620" s="109"/>
      <c r="I620" s="109"/>
      <c r="J620" s="109"/>
      <c r="K620" s="113">
        <f>(J620*F620)/10000000</f>
        <v>0</v>
      </c>
    </row>
    <row r="621" spans="1:11">
      <c r="K621" s="123">
        <f>SUM(K2:K620)</f>
        <v>5.0277030897600001</v>
      </c>
    </row>
  </sheetData>
  <mergeCells count="12">
    <mergeCell ref="I403:I406"/>
    <mergeCell ref="I407:I439"/>
    <mergeCell ref="F470:F480"/>
    <mergeCell ref="F481:F499"/>
    <mergeCell ref="I371:I372"/>
    <mergeCell ref="I374:I378"/>
    <mergeCell ref="F379:F382"/>
    <mergeCell ref="I379:I402"/>
    <mergeCell ref="F383:F393"/>
    <mergeCell ref="F394:F400"/>
    <mergeCell ref="F401:F402"/>
    <mergeCell ref="I369:I37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B168-0326-4B7A-BDFD-26FE410DFA34}">
  <dimension ref="A1:L4"/>
  <sheetViews>
    <sheetView workbookViewId="0">
      <selection activeCell="B1" sqref="B1:J3"/>
    </sheetView>
  </sheetViews>
  <sheetFormatPr defaultRowHeight="14.5"/>
  <cols>
    <col min="2" max="2" width="11.26953125" bestFit="1" customWidth="1"/>
    <col min="3" max="3" width="28.6328125" bestFit="1" customWidth="1"/>
    <col min="4" max="4" width="23.81640625" bestFit="1" customWidth="1"/>
    <col min="5" max="5" width="10.81640625" bestFit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2">
      <c r="A2" s="4">
        <v>1</v>
      </c>
      <c r="B2" s="4" t="s">
        <v>10</v>
      </c>
      <c r="C2" s="4" t="s">
        <v>11</v>
      </c>
      <c r="D2" s="5" t="s">
        <v>12</v>
      </c>
      <c r="E2" s="2" t="s">
        <v>13</v>
      </c>
      <c r="F2" s="2">
        <v>60</v>
      </c>
      <c r="G2" s="2" t="s">
        <v>14</v>
      </c>
      <c r="H2" s="2" t="s">
        <v>15</v>
      </c>
      <c r="I2" s="4">
        <v>13800</v>
      </c>
      <c r="J2" s="7">
        <f>(I2*F2)/10000000</f>
        <v>8.2799999999999999E-2</v>
      </c>
    </row>
    <row r="3" spans="1:12">
      <c r="A3" s="4"/>
      <c r="B3" s="4"/>
      <c r="C3" s="4"/>
      <c r="D3" s="4"/>
      <c r="E3" s="4"/>
      <c r="F3" s="4"/>
      <c r="G3" s="4"/>
      <c r="H3" s="4"/>
      <c r="I3" s="3" t="s">
        <v>16</v>
      </c>
      <c r="J3" s="6">
        <f>SUM(J2)</f>
        <v>8.2799999999999999E-2</v>
      </c>
    </row>
    <row r="4" spans="1:12">
      <c r="L4">
        <v>10000000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CF4D-1CC2-43D8-9C43-8DE3A94DF95B}">
  <dimension ref="A1:J13"/>
  <sheetViews>
    <sheetView workbookViewId="0">
      <selection activeCell="B1" sqref="B1:J13"/>
    </sheetView>
  </sheetViews>
  <sheetFormatPr defaultRowHeight="14.5"/>
  <cols>
    <col min="2" max="2" width="11.54296875" bestFit="1" customWidth="1"/>
    <col min="3" max="3" width="30.6328125" bestFit="1" customWidth="1"/>
    <col min="4" max="4" width="18.453125" bestFit="1" customWidth="1"/>
    <col min="5" max="5" width="15.453125" bestFit="1" customWidth="1"/>
    <col min="6" max="6" width="2.81640625" bestFit="1" customWidth="1"/>
    <col min="7" max="7" width="4.453125" bestFit="1" customWidth="1"/>
    <col min="8" max="8" width="15" bestFit="1" customWidth="1"/>
    <col min="9" max="9" width="10.26953125" bestFit="1" customWidth="1"/>
  </cols>
  <sheetData>
    <row r="1" spans="1:1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A2" s="10">
        <v>1</v>
      </c>
      <c r="B2" s="10" t="s">
        <v>17</v>
      </c>
      <c r="C2" s="10" t="s">
        <v>18</v>
      </c>
      <c r="D2" s="2" t="s">
        <v>19</v>
      </c>
      <c r="E2" s="2" t="s">
        <v>30</v>
      </c>
      <c r="F2" s="8">
        <v>17</v>
      </c>
      <c r="G2" s="2" t="s">
        <v>33</v>
      </c>
      <c r="H2" s="2" t="s">
        <v>35</v>
      </c>
      <c r="I2" s="11">
        <v>9189</v>
      </c>
      <c r="J2" s="12">
        <f>(I2*F2)/10000000</f>
        <v>1.5621299999999999E-2</v>
      </c>
    </row>
    <row r="3" spans="1:10">
      <c r="A3" s="10">
        <v>2</v>
      </c>
      <c r="B3" s="10" t="s">
        <v>17</v>
      </c>
      <c r="C3" s="10" t="s">
        <v>18</v>
      </c>
      <c r="D3" s="2" t="s">
        <v>20</v>
      </c>
      <c r="E3" s="2" t="s">
        <v>30</v>
      </c>
      <c r="F3" s="8">
        <v>23</v>
      </c>
      <c r="G3" s="2" t="s">
        <v>33</v>
      </c>
      <c r="H3" s="2" t="s">
        <v>35</v>
      </c>
      <c r="I3" s="11">
        <v>212686</v>
      </c>
      <c r="J3" s="12">
        <f t="shared" ref="J3:J12" si="0">(I3*F3)/10000000</f>
        <v>0.4891778</v>
      </c>
    </row>
    <row r="4" spans="1:10">
      <c r="A4" s="10">
        <v>3</v>
      </c>
      <c r="B4" s="10" t="s">
        <v>17</v>
      </c>
      <c r="C4" s="10" t="s">
        <v>18</v>
      </c>
      <c r="D4" s="2" t="s">
        <v>21</v>
      </c>
      <c r="E4" s="2" t="s">
        <v>30</v>
      </c>
      <c r="F4" s="8">
        <v>26</v>
      </c>
      <c r="G4" s="2" t="s">
        <v>33</v>
      </c>
      <c r="H4" s="2" t="s">
        <v>35</v>
      </c>
      <c r="I4" s="11">
        <v>22533</v>
      </c>
      <c r="J4" s="12">
        <f t="shared" si="0"/>
        <v>5.85858E-2</v>
      </c>
    </row>
    <row r="5" spans="1:10">
      <c r="A5" s="10">
        <v>4</v>
      </c>
      <c r="B5" s="10" t="s">
        <v>17</v>
      </c>
      <c r="C5" s="10" t="s">
        <v>18</v>
      </c>
      <c r="D5" s="2" t="s">
        <v>22</v>
      </c>
      <c r="E5" s="2" t="s">
        <v>30</v>
      </c>
      <c r="F5" s="8">
        <v>7</v>
      </c>
      <c r="G5" s="2" t="s">
        <v>33</v>
      </c>
      <c r="H5" s="2" t="s">
        <v>35</v>
      </c>
      <c r="I5" s="11">
        <v>42680</v>
      </c>
      <c r="J5" s="12">
        <f t="shared" si="0"/>
        <v>2.9876E-2</v>
      </c>
    </row>
    <row r="6" spans="1:10">
      <c r="A6" s="10">
        <v>5</v>
      </c>
      <c r="B6" s="10" t="s">
        <v>17</v>
      </c>
      <c r="C6" s="10" t="s">
        <v>18</v>
      </c>
      <c r="D6" s="2" t="s">
        <v>23</v>
      </c>
      <c r="E6" s="2" t="s">
        <v>30</v>
      </c>
      <c r="F6" s="8">
        <v>1</v>
      </c>
      <c r="G6" s="2" t="s">
        <v>33</v>
      </c>
      <c r="H6" s="2" t="s">
        <v>35</v>
      </c>
      <c r="I6" s="11">
        <v>55920</v>
      </c>
      <c r="J6" s="12">
        <f t="shared" si="0"/>
        <v>5.5919999999999997E-3</v>
      </c>
    </row>
    <row r="7" spans="1:10">
      <c r="A7" s="10">
        <v>6</v>
      </c>
      <c r="B7" s="10" t="s">
        <v>17</v>
      </c>
      <c r="C7" s="10" t="s">
        <v>18</v>
      </c>
      <c r="D7" s="2" t="s">
        <v>24</v>
      </c>
      <c r="E7" s="2" t="s">
        <v>31</v>
      </c>
      <c r="F7" s="8">
        <v>1</v>
      </c>
      <c r="G7" s="2" t="s">
        <v>34</v>
      </c>
      <c r="H7" s="2" t="s">
        <v>36</v>
      </c>
      <c r="I7" s="10">
        <v>18204</v>
      </c>
      <c r="J7" s="12">
        <f t="shared" si="0"/>
        <v>1.8204E-3</v>
      </c>
    </row>
    <row r="8" spans="1:10">
      <c r="A8" s="10">
        <v>7</v>
      </c>
      <c r="B8" s="10" t="s">
        <v>17</v>
      </c>
      <c r="C8" s="10" t="s">
        <v>18</v>
      </c>
      <c r="D8" s="2" t="s">
        <v>25</v>
      </c>
      <c r="E8" s="2" t="s">
        <v>31</v>
      </c>
      <c r="F8" s="8">
        <v>5</v>
      </c>
      <c r="G8" s="2" t="s">
        <v>34</v>
      </c>
      <c r="H8" s="2" t="s">
        <v>36</v>
      </c>
      <c r="I8" s="11">
        <v>17461</v>
      </c>
      <c r="J8" s="12">
        <f>(I8*F8)/10000000</f>
        <v>8.7305000000000004E-3</v>
      </c>
    </row>
    <row r="9" spans="1:10">
      <c r="A9" s="10">
        <v>8</v>
      </c>
      <c r="B9" s="10" t="s">
        <v>17</v>
      </c>
      <c r="C9" s="10" t="s">
        <v>18</v>
      </c>
      <c r="D9" s="2" t="s">
        <v>26</v>
      </c>
      <c r="E9" s="2" t="s">
        <v>32</v>
      </c>
      <c r="F9" s="8">
        <v>5</v>
      </c>
      <c r="G9" s="2" t="s">
        <v>34</v>
      </c>
      <c r="H9" s="2" t="s">
        <v>36</v>
      </c>
      <c r="I9" s="11">
        <v>14266</v>
      </c>
      <c r="J9" s="12">
        <f t="shared" si="0"/>
        <v>7.1329999999999996E-3</v>
      </c>
    </row>
    <row r="10" spans="1:10">
      <c r="A10" s="10">
        <v>9</v>
      </c>
      <c r="B10" s="10" t="s">
        <v>17</v>
      </c>
      <c r="C10" s="10" t="s">
        <v>18</v>
      </c>
      <c r="D10" s="2" t="s">
        <v>27</v>
      </c>
      <c r="E10" s="2" t="s">
        <v>32</v>
      </c>
      <c r="F10" s="8">
        <v>2</v>
      </c>
      <c r="G10" s="2" t="s">
        <v>34</v>
      </c>
      <c r="H10" s="2" t="s">
        <v>36</v>
      </c>
      <c r="I10" s="11">
        <v>14117</v>
      </c>
      <c r="J10" s="12">
        <f t="shared" si="0"/>
        <v>2.8234000000000002E-3</v>
      </c>
    </row>
    <row r="11" spans="1:10">
      <c r="A11" s="10">
        <v>10</v>
      </c>
      <c r="B11" s="10" t="s">
        <v>17</v>
      </c>
      <c r="C11" s="10" t="s">
        <v>18</v>
      </c>
      <c r="D11" s="2" t="s">
        <v>28</v>
      </c>
      <c r="E11" s="2" t="s">
        <v>32</v>
      </c>
      <c r="F11" s="8">
        <v>1</v>
      </c>
      <c r="G11" s="2" t="s">
        <v>34</v>
      </c>
      <c r="H11" s="2" t="s">
        <v>36</v>
      </c>
      <c r="I11" s="11">
        <v>14117</v>
      </c>
      <c r="J11" s="12">
        <f t="shared" si="0"/>
        <v>1.4117000000000001E-3</v>
      </c>
    </row>
    <row r="12" spans="1:10">
      <c r="A12" s="10">
        <v>11</v>
      </c>
      <c r="B12" s="10" t="s">
        <v>17</v>
      </c>
      <c r="C12" s="10" t="s">
        <v>18</v>
      </c>
      <c r="D12" s="2" t="s">
        <v>29</v>
      </c>
      <c r="E12" s="2" t="s">
        <v>32</v>
      </c>
      <c r="F12" s="8">
        <v>5</v>
      </c>
      <c r="G12" s="2" t="s">
        <v>34</v>
      </c>
      <c r="H12" s="2" t="s">
        <v>36</v>
      </c>
      <c r="I12" s="11">
        <v>13000</v>
      </c>
      <c r="J12" s="12">
        <f t="shared" si="0"/>
        <v>6.4999999999999997E-3</v>
      </c>
    </row>
    <row r="13" spans="1:10">
      <c r="A13" s="10"/>
      <c r="B13" s="10"/>
      <c r="C13" s="10"/>
      <c r="D13" s="10"/>
      <c r="E13" s="10"/>
      <c r="F13" s="10"/>
      <c r="G13" s="10"/>
      <c r="H13" s="94" t="s">
        <v>969</v>
      </c>
      <c r="I13" s="95"/>
      <c r="J13" s="13">
        <f>SUM(J2:J12)</f>
        <v>0.62727189999999999</v>
      </c>
    </row>
  </sheetData>
  <mergeCells count="1">
    <mergeCell ref="H13:I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E5D2-7352-4E18-A260-E5FFDF88F64B}">
  <dimension ref="A1:J164"/>
  <sheetViews>
    <sheetView topLeftCell="A145" workbookViewId="0">
      <selection activeCell="B125" sqref="B125:J164"/>
    </sheetView>
  </sheetViews>
  <sheetFormatPr defaultRowHeight="14.5"/>
  <cols>
    <col min="1" max="1" width="5.81640625" bestFit="1" customWidth="1"/>
    <col min="2" max="2" width="11.54296875" bestFit="1" customWidth="1"/>
    <col min="3" max="3" width="32.6328125" bestFit="1" customWidth="1"/>
    <col min="4" max="4" width="33.7265625" bestFit="1" customWidth="1"/>
    <col min="5" max="5" width="15.7265625" bestFit="1" customWidth="1"/>
    <col min="8" max="8" width="11.90625" bestFit="1" customWidth="1"/>
    <col min="10" max="10" width="11.81640625" bestFit="1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B2" s="10" t="s">
        <v>38</v>
      </c>
      <c r="C2" s="10" t="s">
        <v>39</v>
      </c>
      <c r="D2" s="2" t="s">
        <v>40</v>
      </c>
      <c r="E2" s="2" t="s">
        <v>179</v>
      </c>
      <c r="F2" s="2">
        <v>2</v>
      </c>
      <c r="G2" s="2" t="s">
        <v>33</v>
      </c>
      <c r="H2" s="2" t="s">
        <v>188</v>
      </c>
      <c r="I2" s="11">
        <v>28808.68</v>
      </c>
      <c r="J2" s="11">
        <f t="shared" ref="J2:J33" si="0">(I2*F2)/10000000</f>
        <v>5.7617359999999999E-3</v>
      </c>
    </row>
    <row r="3" spans="1:10">
      <c r="B3" s="10" t="s">
        <v>38</v>
      </c>
      <c r="C3" s="10" t="s">
        <v>39</v>
      </c>
      <c r="D3" s="2" t="s">
        <v>41</v>
      </c>
      <c r="E3" s="2" t="s">
        <v>179</v>
      </c>
      <c r="F3" s="2">
        <v>2</v>
      </c>
      <c r="G3" s="2" t="s">
        <v>33</v>
      </c>
      <c r="H3" s="2" t="s">
        <v>188</v>
      </c>
      <c r="I3" s="11">
        <v>21796.25</v>
      </c>
      <c r="J3" s="11">
        <f t="shared" si="0"/>
        <v>4.3592500000000003E-3</v>
      </c>
    </row>
    <row r="4" spans="1:10">
      <c r="B4" s="10" t="s">
        <v>38</v>
      </c>
      <c r="C4" s="10" t="s">
        <v>39</v>
      </c>
      <c r="D4" s="2" t="s">
        <v>42</v>
      </c>
      <c r="E4" s="2" t="s">
        <v>179</v>
      </c>
      <c r="F4" s="2">
        <v>4</v>
      </c>
      <c r="G4" s="2" t="s">
        <v>33</v>
      </c>
      <c r="H4" s="2" t="s">
        <v>189</v>
      </c>
      <c r="I4" s="11">
        <v>7647</v>
      </c>
      <c r="J4" s="11">
        <f t="shared" si="0"/>
        <v>3.0588E-3</v>
      </c>
    </row>
    <row r="5" spans="1:10">
      <c r="B5" s="10" t="s">
        <v>38</v>
      </c>
      <c r="C5" s="10" t="s">
        <v>39</v>
      </c>
      <c r="D5" s="2" t="s">
        <v>43</v>
      </c>
      <c r="E5" s="2" t="s">
        <v>179</v>
      </c>
      <c r="F5" s="2">
        <v>2</v>
      </c>
      <c r="G5" s="2" t="s">
        <v>33</v>
      </c>
      <c r="H5" s="2" t="s">
        <v>190</v>
      </c>
      <c r="I5" s="11">
        <v>3501.25</v>
      </c>
      <c r="J5" s="11">
        <f t="shared" si="0"/>
        <v>7.0025000000000003E-4</v>
      </c>
    </row>
    <row r="6" spans="1:10">
      <c r="B6" s="10" t="s">
        <v>38</v>
      </c>
      <c r="C6" s="10" t="s">
        <v>39</v>
      </c>
      <c r="D6" s="2" t="s">
        <v>43</v>
      </c>
      <c r="E6" s="2" t="s">
        <v>179</v>
      </c>
      <c r="F6" s="2">
        <v>1</v>
      </c>
      <c r="G6" s="2" t="s">
        <v>33</v>
      </c>
      <c r="H6" s="2" t="s">
        <v>189</v>
      </c>
      <c r="I6" s="11">
        <v>3501.25</v>
      </c>
      <c r="J6" s="11">
        <f t="shared" si="0"/>
        <v>3.5012500000000001E-4</v>
      </c>
    </row>
    <row r="7" spans="1:10">
      <c r="B7" s="10" t="s">
        <v>38</v>
      </c>
      <c r="C7" s="10" t="s">
        <v>39</v>
      </c>
      <c r="D7" s="2" t="s">
        <v>44</v>
      </c>
      <c r="E7" s="2" t="s">
        <v>179</v>
      </c>
      <c r="F7" s="2">
        <v>1</v>
      </c>
      <c r="G7" s="2" t="s">
        <v>33</v>
      </c>
      <c r="H7" s="2" t="s">
        <v>189</v>
      </c>
      <c r="I7" s="11">
        <v>3501.25</v>
      </c>
      <c r="J7" s="11">
        <f t="shared" si="0"/>
        <v>3.5012500000000001E-4</v>
      </c>
    </row>
    <row r="8" spans="1:10">
      <c r="B8" s="10" t="s">
        <v>38</v>
      </c>
      <c r="C8" s="10" t="s">
        <v>39</v>
      </c>
      <c r="D8" s="2" t="s">
        <v>45</v>
      </c>
      <c r="E8" s="2" t="s">
        <v>179</v>
      </c>
      <c r="F8" s="2">
        <v>3</v>
      </c>
      <c r="G8" s="2" t="s">
        <v>33</v>
      </c>
      <c r="H8" s="2" t="s">
        <v>188</v>
      </c>
      <c r="I8" s="11">
        <v>1958.09</v>
      </c>
      <c r="J8" s="11">
        <f t="shared" si="0"/>
        <v>5.8742699999999996E-4</v>
      </c>
    </row>
    <row r="9" spans="1:10">
      <c r="B9" s="10" t="s">
        <v>38</v>
      </c>
      <c r="C9" s="10" t="s">
        <v>39</v>
      </c>
      <c r="D9" s="2" t="s">
        <v>46</v>
      </c>
      <c r="E9" s="2" t="s">
        <v>179</v>
      </c>
      <c r="F9" s="2">
        <v>6</v>
      </c>
      <c r="G9" s="2" t="s">
        <v>33</v>
      </c>
      <c r="H9" s="2" t="s">
        <v>189</v>
      </c>
      <c r="I9" s="11">
        <v>1958.09</v>
      </c>
      <c r="J9" s="11">
        <f t="shared" si="0"/>
        <v>1.1748539999999999E-3</v>
      </c>
    </row>
    <row r="10" spans="1:10">
      <c r="B10" s="10" t="s">
        <v>38</v>
      </c>
      <c r="C10" s="10" t="s">
        <v>39</v>
      </c>
      <c r="D10" s="2" t="s">
        <v>46</v>
      </c>
      <c r="E10" s="2" t="s">
        <v>179</v>
      </c>
      <c r="F10" s="2">
        <v>47</v>
      </c>
      <c r="G10" s="2" t="s">
        <v>33</v>
      </c>
      <c r="H10" s="2" t="s">
        <v>188</v>
      </c>
      <c r="I10" s="11">
        <v>1958.09</v>
      </c>
      <c r="J10" s="11">
        <f t="shared" si="0"/>
        <v>9.2030229999999994E-3</v>
      </c>
    </row>
    <row r="11" spans="1:10">
      <c r="B11" s="10" t="s">
        <v>38</v>
      </c>
      <c r="C11" s="10" t="s">
        <v>39</v>
      </c>
      <c r="D11" s="2" t="s">
        <v>47</v>
      </c>
      <c r="E11" s="2" t="s">
        <v>179</v>
      </c>
      <c r="F11" s="2">
        <v>67</v>
      </c>
      <c r="G11" s="2" t="s">
        <v>33</v>
      </c>
      <c r="H11" s="2" t="s">
        <v>191</v>
      </c>
      <c r="I11" s="11">
        <v>1538.57</v>
      </c>
      <c r="J11" s="11">
        <f t="shared" si="0"/>
        <v>1.0308419000000001E-2</v>
      </c>
    </row>
    <row r="12" spans="1:10">
      <c r="B12" s="10" t="s">
        <v>38</v>
      </c>
      <c r="C12" s="10" t="s">
        <v>39</v>
      </c>
      <c r="D12" s="2" t="s">
        <v>48</v>
      </c>
      <c r="E12" s="2" t="s">
        <v>179</v>
      </c>
      <c r="F12" s="2">
        <v>32</v>
      </c>
      <c r="G12" s="2" t="s">
        <v>33</v>
      </c>
      <c r="H12" s="2" t="s">
        <v>188</v>
      </c>
      <c r="I12" s="11">
        <v>1538.57</v>
      </c>
      <c r="J12" s="11">
        <f t="shared" si="0"/>
        <v>4.923424E-3</v>
      </c>
    </row>
    <row r="13" spans="1:10">
      <c r="B13" s="10" t="s">
        <v>38</v>
      </c>
      <c r="C13" s="10" t="s">
        <v>39</v>
      </c>
      <c r="D13" s="2" t="s">
        <v>49</v>
      </c>
      <c r="E13" s="2" t="s">
        <v>179</v>
      </c>
      <c r="F13" s="2">
        <v>160</v>
      </c>
      <c r="G13" s="2" t="s">
        <v>33</v>
      </c>
      <c r="H13" s="2" t="s">
        <v>191</v>
      </c>
      <c r="I13" s="11">
        <v>1538.57</v>
      </c>
      <c r="J13" s="11">
        <f t="shared" si="0"/>
        <v>2.4617119999999999E-2</v>
      </c>
    </row>
    <row r="14" spans="1:10">
      <c r="B14" s="10" t="s">
        <v>38</v>
      </c>
      <c r="C14" s="10" t="s">
        <v>39</v>
      </c>
      <c r="D14" s="2" t="s">
        <v>50</v>
      </c>
      <c r="E14" s="2" t="s">
        <v>179</v>
      </c>
      <c r="F14" s="2">
        <v>163</v>
      </c>
      <c r="G14" s="2" t="s">
        <v>33</v>
      </c>
      <c r="H14" s="2" t="s">
        <v>191</v>
      </c>
      <c r="I14" s="11">
        <v>1538.57</v>
      </c>
      <c r="J14" s="11">
        <f t="shared" si="0"/>
        <v>2.5078691E-2</v>
      </c>
    </row>
    <row r="15" spans="1:10">
      <c r="B15" s="10" t="s">
        <v>38</v>
      </c>
      <c r="C15" s="10" t="s">
        <v>39</v>
      </c>
      <c r="D15" s="2" t="s">
        <v>51</v>
      </c>
      <c r="E15" s="2" t="s">
        <v>179</v>
      </c>
      <c r="F15" s="2">
        <v>15</v>
      </c>
      <c r="G15" s="2" t="s">
        <v>33</v>
      </c>
      <c r="H15" s="2" t="s">
        <v>188</v>
      </c>
      <c r="I15" s="11">
        <v>1538.57</v>
      </c>
      <c r="J15" s="11">
        <f t="shared" si="0"/>
        <v>2.3078549999999997E-3</v>
      </c>
    </row>
    <row r="16" spans="1:10">
      <c r="B16" s="10" t="s">
        <v>38</v>
      </c>
      <c r="C16" s="10" t="s">
        <v>39</v>
      </c>
      <c r="D16" s="2" t="s">
        <v>52</v>
      </c>
      <c r="E16" s="2" t="s">
        <v>179</v>
      </c>
      <c r="F16" s="2">
        <v>22</v>
      </c>
      <c r="G16" s="2" t="s">
        <v>33</v>
      </c>
      <c r="H16" s="2" t="s">
        <v>189</v>
      </c>
      <c r="I16" s="11">
        <v>21050.66</v>
      </c>
      <c r="J16" s="11">
        <f t="shared" si="0"/>
        <v>4.6311452000000003E-2</v>
      </c>
    </row>
    <row r="17" spans="2:10">
      <c r="B17" s="10" t="s">
        <v>38</v>
      </c>
      <c r="C17" s="10" t="s">
        <v>39</v>
      </c>
      <c r="D17" s="2" t="s">
        <v>53</v>
      </c>
      <c r="E17" s="2" t="s">
        <v>179</v>
      </c>
      <c r="F17" s="2">
        <v>9</v>
      </c>
      <c r="G17" s="2" t="s">
        <v>33</v>
      </c>
      <c r="H17" s="2" t="s">
        <v>189</v>
      </c>
      <c r="I17" s="11">
        <v>14595</v>
      </c>
      <c r="J17" s="11">
        <f t="shared" si="0"/>
        <v>1.31355E-2</v>
      </c>
    </row>
    <row r="18" spans="2:10">
      <c r="B18" s="10" t="s">
        <v>38</v>
      </c>
      <c r="C18" s="10" t="s">
        <v>39</v>
      </c>
      <c r="D18" s="2" t="s">
        <v>54</v>
      </c>
      <c r="E18" s="2" t="s">
        <v>179</v>
      </c>
      <c r="F18" s="2">
        <v>134</v>
      </c>
      <c r="G18" s="2" t="s">
        <v>33</v>
      </c>
      <c r="H18" s="2" t="s">
        <v>189</v>
      </c>
      <c r="I18" s="11">
        <v>21050.66</v>
      </c>
      <c r="J18" s="11">
        <f t="shared" si="0"/>
        <v>0.282078844</v>
      </c>
    </row>
    <row r="19" spans="2:10">
      <c r="B19" s="10" t="s">
        <v>38</v>
      </c>
      <c r="C19" s="10" t="s">
        <v>39</v>
      </c>
      <c r="D19" s="2" t="s">
        <v>55</v>
      </c>
      <c r="E19" s="2" t="s">
        <v>179</v>
      </c>
      <c r="F19" s="2">
        <v>106</v>
      </c>
      <c r="G19" s="2" t="s">
        <v>33</v>
      </c>
      <c r="H19" s="2" t="s">
        <v>189</v>
      </c>
      <c r="I19" s="11">
        <v>6682</v>
      </c>
      <c r="J19" s="11">
        <f t="shared" si="0"/>
        <v>7.0829199999999995E-2</v>
      </c>
    </row>
    <row r="20" spans="2:10">
      <c r="B20" s="10" t="s">
        <v>38</v>
      </c>
      <c r="C20" s="10" t="s">
        <v>39</v>
      </c>
      <c r="D20" s="2" t="s">
        <v>55</v>
      </c>
      <c r="E20" s="2" t="s">
        <v>179</v>
      </c>
      <c r="F20" s="2">
        <v>39</v>
      </c>
      <c r="G20" s="2" t="s">
        <v>33</v>
      </c>
      <c r="H20" s="2" t="s">
        <v>191</v>
      </c>
      <c r="I20" s="11">
        <v>6682</v>
      </c>
      <c r="J20" s="11">
        <f t="shared" si="0"/>
        <v>2.6059800000000001E-2</v>
      </c>
    </row>
    <row r="21" spans="2:10">
      <c r="B21" s="10" t="s">
        <v>38</v>
      </c>
      <c r="C21" s="10" t="s">
        <v>39</v>
      </c>
      <c r="D21" s="2" t="s">
        <v>56</v>
      </c>
      <c r="E21" s="2" t="s">
        <v>179</v>
      </c>
      <c r="F21" s="2">
        <v>53</v>
      </c>
      <c r="G21" s="2" t="s">
        <v>33</v>
      </c>
      <c r="H21" s="2" t="s">
        <v>189</v>
      </c>
      <c r="I21" s="11">
        <v>3674.75</v>
      </c>
      <c r="J21" s="11">
        <f t="shared" si="0"/>
        <v>1.9476174999999998E-2</v>
      </c>
    </row>
    <row r="22" spans="2:10">
      <c r="B22" s="10" t="s">
        <v>38</v>
      </c>
      <c r="C22" s="10" t="s">
        <v>39</v>
      </c>
      <c r="D22" s="2" t="s">
        <v>56</v>
      </c>
      <c r="E22" s="2" t="s">
        <v>179</v>
      </c>
      <c r="F22" s="2">
        <v>131</v>
      </c>
      <c r="G22" s="2" t="s">
        <v>33</v>
      </c>
      <c r="H22" s="2" t="s">
        <v>191</v>
      </c>
      <c r="I22" s="11">
        <v>3674.75</v>
      </c>
      <c r="J22" s="11">
        <f t="shared" si="0"/>
        <v>4.8139225000000001E-2</v>
      </c>
    </row>
    <row r="23" spans="2:10">
      <c r="B23" s="10" t="s">
        <v>38</v>
      </c>
      <c r="C23" s="10" t="s">
        <v>39</v>
      </c>
      <c r="D23" s="2" t="s">
        <v>57</v>
      </c>
      <c r="E23" s="2" t="s">
        <v>179</v>
      </c>
      <c r="F23" s="2">
        <v>43</v>
      </c>
      <c r="G23" s="2" t="s">
        <v>33</v>
      </c>
      <c r="H23" s="2" t="s">
        <v>191</v>
      </c>
      <c r="I23" s="11">
        <v>3452</v>
      </c>
      <c r="J23" s="11">
        <f t="shared" si="0"/>
        <v>1.48436E-2</v>
      </c>
    </row>
    <row r="24" spans="2:10">
      <c r="B24" s="10" t="s">
        <v>38</v>
      </c>
      <c r="C24" s="10" t="s">
        <v>39</v>
      </c>
      <c r="D24" s="2" t="s">
        <v>57</v>
      </c>
      <c r="E24" s="2" t="s">
        <v>179</v>
      </c>
      <c r="F24" s="2">
        <v>25</v>
      </c>
      <c r="G24" s="2" t="s">
        <v>33</v>
      </c>
      <c r="H24" s="2" t="s">
        <v>189</v>
      </c>
      <c r="I24" s="11">
        <v>3452</v>
      </c>
      <c r="J24" s="11">
        <f t="shared" si="0"/>
        <v>8.6300000000000005E-3</v>
      </c>
    </row>
    <row r="25" spans="2:10">
      <c r="B25" s="10" t="s">
        <v>38</v>
      </c>
      <c r="C25" s="10" t="s">
        <v>39</v>
      </c>
      <c r="D25" s="2" t="s">
        <v>58</v>
      </c>
      <c r="E25" s="2" t="s">
        <v>179</v>
      </c>
      <c r="F25" s="2">
        <v>171</v>
      </c>
      <c r="G25" s="2" t="s">
        <v>33</v>
      </c>
      <c r="H25" s="2" t="s">
        <v>191</v>
      </c>
      <c r="I25" s="11">
        <v>2376.09</v>
      </c>
      <c r="J25" s="11">
        <f t="shared" si="0"/>
        <v>4.0631139000000004E-2</v>
      </c>
    </row>
    <row r="26" spans="2:10">
      <c r="B26" s="10" t="s">
        <v>38</v>
      </c>
      <c r="C26" s="10" t="s">
        <v>39</v>
      </c>
      <c r="D26" s="2" t="s">
        <v>58</v>
      </c>
      <c r="E26" s="2" t="s">
        <v>179</v>
      </c>
      <c r="F26" s="2">
        <v>78</v>
      </c>
      <c r="G26" s="2" t="s">
        <v>33</v>
      </c>
      <c r="H26" s="2" t="s">
        <v>189</v>
      </c>
      <c r="I26" s="11">
        <v>2376.09</v>
      </c>
      <c r="J26" s="11">
        <f t="shared" si="0"/>
        <v>1.8533502E-2</v>
      </c>
    </row>
    <row r="27" spans="2:10">
      <c r="B27" s="10" t="s">
        <v>38</v>
      </c>
      <c r="C27" s="10" t="s">
        <v>39</v>
      </c>
      <c r="D27" s="2" t="s">
        <v>59</v>
      </c>
      <c r="E27" s="2" t="s">
        <v>179</v>
      </c>
      <c r="F27" s="2">
        <v>85</v>
      </c>
      <c r="G27" s="2" t="s">
        <v>33</v>
      </c>
      <c r="H27" s="2" t="s">
        <v>189</v>
      </c>
      <c r="I27" s="11">
        <v>2675.97</v>
      </c>
      <c r="J27" s="11">
        <f t="shared" si="0"/>
        <v>2.2745744999999998E-2</v>
      </c>
    </row>
    <row r="28" spans="2:10">
      <c r="B28" s="10" t="s">
        <v>38</v>
      </c>
      <c r="C28" s="10" t="s">
        <v>39</v>
      </c>
      <c r="D28" s="2" t="s">
        <v>59</v>
      </c>
      <c r="E28" s="2" t="s">
        <v>179</v>
      </c>
      <c r="F28" s="2">
        <v>76</v>
      </c>
      <c r="G28" s="2" t="s">
        <v>33</v>
      </c>
      <c r="H28" s="2" t="s">
        <v>191</v>
      </c>
      <c r="I28" s="11">
        <v>2675.97</v>
      </c>
      <c r="J28" s="11">
        <f t="shared" si="0"/>
        <v>2.0337371999999996E-2</v>
      </c>
    </row>
    <row r="29" spans="2:10">
      <c r="B29" s="10" t="s">
        <v>38</v>
      </c>
      <c r="C29" s="10" t="s">
        <v>39</v>
      </c>
      <c r="D29" s="2" t="s">
        <v>60</v>
      </c>
      <c r="E29" s="2" t="s">
        <v>179</v>
      </c>
      <c r="F29" s="2">
        <v>212</v>
      </c>
      <c r="G29" s="2" t="s">
        <v>33</v>
      </c>
      <c r="H29" s="2" t="s">
        <v>191</v>
      </c>
      <c r="I29" s="11">
        <v>2675.97</v>
      </c>
      <c r="J29" s="11">
        <f t="shared" si="0"/>
        <v>5.6730564000000004E-2</v>
      </c>
    </row>
    <row r="30" spans="2:10">
      <c r="B30" s="10" t="s">
        <v>38</v>
      </c>
      <c r="C30" s="10" t="s">
        <v>39</v>
      </c>
      <c r="D30" s="2" t="s">
        <v>61</v>
      </c>
      <c r="E30" s="2" t="s">
        <v>179</v>
      </c>
      <c r="F30" s="2">
        <v>1</v>
      </c>
      <c r="G30" s="2" t="s">
        <v>33</v>
      </c>
      <c r="H30" s="2" t="s">
        <v>188</v>
      </c>
      <c r="I30" s="11">
        <v>10796</v>
      </c>
      <c r="J30" s="11">
        <f t="shared" si="0"/>
        <v>1.0796E-3</v>
      </c>
    </row>
    <row r="31" spans="2:10">
      <c r="B31" s="10" t="s">
        <v>38</v>
      </c>
      <c r="C31" s="10" t="s">
        <v>39</v>
      </c>
      <c r="D31" s="2" t="s">
        <v>62</v>
      </c>
      <c r="E31" s="2" t="s">
        <v>179</v>
      </c>
      <c r="F31" s="2">
        <v>1</v>
      </c>
      <c r="G31" s="2" t="s">
        <v>33</v>
      </c>
      <c r="H31" s="2" t="s">
        <v>189</v>
      </c>
      <c r="I31" s="11">
        <v>6897</v>
      </c>
      <c r="J31" s="11">
        <f t="shared" si="0"/>
        <v>6.8970000000000001E-4</v>
      </c>
    </row>
    <row r="32" spans="2:10">
      <c r="B32" s="10" t="s">
        <v>38</v>
      </c>
      <c r="C32" s="10" t="s">
        <v>39</v>
      </c>
      <c r="D32" s="2" t="s">
        <v>63</v>
      </c>
      <c r="E32" s="2" t="s">
        <v>179</v>
      </c>
      <c r="F32" s="2">
        <v>1</v>
      </c>
      <c r="G32" s="2" t="s">
        <v>33</v>
      </c>
      <c r="H32" s="2" t="s">
        <v>189</v>
      </c>
      <c r="I32" s="11">
        <v>6897</v>
      </c>
      <c r="J32" s="11">
        <f t="shared" si="0"/>
        <v>6.8970000000000001E-4</v>
      </c>
    </row>
    <row r="33" spans="2:10">
      <c r="B33" s="10" t="s">
        <v>38</v>
      </c>
      <c r="C33" s="10" t="s">
        <v>39</v>
      </c>
      <c r="D33" s="2" t="s">
        <v>64</v>
      </c>
      <c r="E33" s="2" t="s">
        <v>179</v>
      </c>
      <c r="F33" s="2">
        <v>1</v>
      </c>
      <c r="G33" s="2" t="s">
        <v>33</v>
      </c>
      <c r="H33" s="2" t="s">
        <v>189</v>
      </c>
      <c r="I33" s="11">
        <v>13685.3</v>
      </c>
      <c r="J33" s="11">
        <f t="shared" si="0"/>
        <v>1.36853E-3</v>
      </c>
    </row>
    <row r="34" spans="2:10">
      <c r="B34" s="10" t="s">
        <v>38</v>
      </c>
      <c r="C34" s="10" t="s">
        <v>39</v>
      </c>
      <c r="D34" s="2" t="s">
        <v>65</v>
      </c>
      <c r="E34" s="2" t="s">
        <v>179</v>
      </c>
      <c r="F34" s="2">
        <v>6</v>
      </c>
      <c r="G34" s="2" t="s">
        <v>33</v>
      </c>
      <c r="H34" s="2" t="s">
        <v>189</v>
      </c>
      <c r="I34" s="11">
        <v>9060.9699999999993</v>
      </c>
      <c r="J34" s="11">
        <f t="shared" ref="J34:J65" si="1">(I34*F34)/10000000</f>
        <v>5.4365819999999988E-3</v>
      </c>
    </row>
    <row r="35" spans="2:10">
      <c r="B35" s="10" t="s">
        <v>38</v>
      </c>
      <c r="C35" s="10" t="s">
        <v>39</v>
      </c>
      <c r="D35" s="2" t="s">
        <v>66</v>
      </c>
      <c r="E35" s="2" t="s">
        <v>179</v>
      </c>
      <c r="F35" s="2">
        <v>8</v>
      </c>
      <c r="G35" s="2" t="s">
        <v>33</v>
      </c>
      <c r="H35" s="2" t="s">
        <v>189</v>
      </c>
      <c r="I35" s="11">
        <v>1708.35</v>
      </c>
      <c r="J35" s="11">
        <f t="shared" si="1"/>
        <v>1.3666799999999999E-3</v>
      </c>
    </row>
    <row r="36" spans="2:10">
      <c r="B36" s="10" t="s">
        <v>38</v>
      </c>
      <c r="C36" s="10" t="s">
        <v>39</v>
      </c>
      <c r="D36" s="2" t="s">
        <v>66</v>
      </c>
      <c r="E36" s="2" t="s">
        <v>179</v>
      </c>
      <c r="F36" s="2">
        <v>1</v>
      </c>
      <c r="G36" s="2" t="s">
        <v>33</v>
      </c>
      <c r="H36" s="2" t="s">
        <v>191</v>
      </c>
      <c r="I36" s="11">
        <v>1708.35</v>
      </c>
      <c r="J36" s="11">
        <f t="shared" si="1"/>
        <v>1.7083499999999999E-4</v>
      </c>
    </row>
    <row r="37" spans="2:10">
      <c r="B37" s="10" t="s">
        <v>38</v>
      </c>
      <c r="C37" s="10" t="s">
        <v>39</v>
      </c>
      <c r="D37" s="2" t="s">
        <v>67</v>
      </c>
      <c r="E37" s="2" t="s">
        <v>179</v>
      </c>
      <c r="F37" s="2">
        <v>1</v>
      </c>
      <c r="G37" s="2" t="s">
        <v>33</v>
      </c>
      <c r="H37" s="2" t="s">
        <v>189</v>
      </c>
      <c r="I37" s="11">
        <v>1708.35</v>
      </c>
      <c r="J37" s="11">
        <f t="shared" si="1"/>
        <v>1.7083499999999999E-4</v>
      </c>
    </row>
    <row r="38" spans="2:10">
      <c r="B38" s="10" t="s">
        <v>38</v>
      </c>
      <c r="C38" s="10" t="s">
        <v>39</v>
      </c>
      <c r="D38" s="2" t="s">
        <v>67</v>
      </c>
      <c r="E38" s="2" t="s">
        <v>179</v>
      </c>
      <c r="F38" s="2">
        <v>1</v>
      </c>
      <c r="G38" s="2" t="s">
        <v>33</v>
      </c>
      <c r="H38" s="2" t="s">
        <v>188</v>
      </c>
      <c r="I38" s="11">
        <v>1708.35</v>
      </c>
      <c r="J38" s="11">
        <f t="shared" si="1"/>
        <v>1.7083499999999999E-4</v>
      </c>
    </row>
    <row r="39" spans="2:10">
      <c r="B39" s="10" t="s">
        <v>38</v>
      </c>
      <c r="C39" s="10" t="s">
        <v>39</v>
      </c>
      <c r="D39" s="2" t="s">
        <v>68</v>
      </c>
      <c r="E39" s="2" t="s">
        <v>179</v>
      </c>
      <c r="F39" s="2">
        <v>2</v>
      </c>
      <c r="G39" s="2" t="s">
        <v>33</v>
      </c>
      <c r="H39" s="2" t="s">
        <v>191</v>
      </c>
      <c r="I39" s="11">
        <v>1708.35</v>
      </c>
      <c r="J39" s="11">
        <f t="shared" si="1"/>
        <v>3.4166999999999997E-4</v>
      </c>
    </row>
    <row r="40" spans="2:10">
      <c r="B40" s="10" t="s">
        <v>38</v>
      </c>
      <c r="C40" s="10" t="s">
        <v>39</v>
      </c>
      <c r="D40" s="2" t="s">
        <v>69</v>
      </c>
      <c r="E40" s="2" t="s">
        <v>179</v>
      </c>
      <c r="F40" s="2">
        <v>1</v>
      </c>
      <c r="G40" s="2" t="s">
        <v>33</v>
      </c>
      <c r="H40" s="2" t="s">
        <v>191</v>
      </c>
      <c r="I40" s="11">
        <v>1708.35</v>
      </c>
      <c r="J40" s="11">
        <f t="shared" si="1"/>
        <v>1.7083499999999999E-4</v>
      </c>
    </row>
    <row r="41" spans="2:10">
      <c r="B41" s="10" t="s">
        <v>38</v>
      </c>
      <c r="C41" s="10" t="s">
        <v>39</v>
      </c>
      <c r="D41" s="2" t="s">
        <v>69</v>
      </c>
      <c r="E41" s="2" t="s">
        <v>179</v>
      </c>
      <c r="F41" s="2">
        <v>2</v>
      </c>
      <c r="G41" s="2" t="s">
        <v>33</v>
      </c>
      <c r="H41" s="2" t="s">
        <v>189</v>
      </c>
      <c r="I41" s="11">
        <v>1708.35</v>
      </c>
      <c r="J41" s="11">
        <f t="shared" si="1"/>
        <v>3.4166999999999997E-4</v>
      </c>
    </row>
    <row r="42" spans="2:10">
      <c r="B42" s="10" t="s">
        <v>38</v>
      </c>
      <c r="C42" s="10" t="s">
        <v>39</v>
      </c>
      <c r="D42" s="2" t="s">
        <v>70</v>
      </c>
      <c r="E42" s="2" t="s">
        <v>179</v>
      </c>
      <c r="F42" s="2">
        <v>4</v>
      </c>
      <c r="G42" s="2" t="s">
        <v>33</v>
      </c>
      <c r="H42" s="2" t="s">
        <v>189</v>
      </c>
      <c r="I42" s="11">
        <v>1708.35</v>
      </c>
      <c r="J42" s="11">
        <f t="shared" si="1"/>
        <v>6.8333999999999995E-4</v>
      </c>
    </row>
    <row r="43" spans="2:10">
      <c r="B43" s="10" t="s">
        <v>38</v>
      </c>
      <c r="C43" s="10" t="s">
        <v>39</v>
      </c>
      <c r="D43" s="2" t="s">
        <v>70</v>
      </c>
      <c r="E43" s="2" t="s">
        <v>179</v>
      </c>
      <c r="F43" s="2">
        <v>1</v>
      </c>
      <c r="G43" s="2" t="s">
        <v>33</v>
      </c>
      <c r="H43" s="2" t="s">
        <v>188</v>
      </c>
      <c r="I43" s="11">
        <v>1708.35</v>
      </c>
      <c r="J43" s="11">
        <f t="shared" si="1"/>
        <v>1.7083499999999999E-4</v>
      </c>
    </row>
    <row r="44" spans="2:10">
      <c r="B44" s="10" t="s">
        <v>38</v>
      </c>
      <c r="C44" s="10" t="s">
        <v>39</v>
      </c>
      <c r="D44" s="2" t="s">
        <v>71</v>
      </c>
      <c r="E44" s="2" t="s">
        <v>179</v>
      </c>
      <c r="F44" s="2">
        <v>2</v>
      </c>
      <c r="G44" s="2" t="s">
        <v>33</v>
      </c>
      <c r="H44" s="2" t="s">
        <v>188</v>
      </c>
      <c r="I44" s="11">
        <v>1708.35</v>
      </c>
      <c r="J44" s="11">
        <f t="shared" si="1"/>
        <v>3.4166999999999997E-4</v>
      </c>
    </row>
    <row r="45" spans="2:10">
      <c r="B45" s="10" t="s">
        <v>38</v>
      </c>
      <c r="C45" s="10" t="s">
        <v>39</v>
      </c>
      <c r="D45" s="2" t="s">
        <v>72</v>
      </c>
      <c r="E45" s="2" t="s">
        <v>179</v>
      </c>
      <c r="F45" s="2">
        <v>1</v>
      </c>
      <c r="G45" s="2" t="s">
        <v>33</v>
      </c>
      <c r="H45" s="2" t="s">
        <v>189</v>
      </c>
      <c r="I45" s="11">
        <v>1708.35</v>
      </c>
      <c r="J45" s="11">
        <f t="shared" si="1"/>
        <v>1.7083499999999999E-4</v>
      </c>
    </row>
    <row r="46" spans="2:10">
      <c r="B46" s="10" t="s">
        <v>38</v>
      </c>
      <c r="C46" s="10" t="s">
        <v>39</v>
      </c>
      <c r="D46" s="2" t="s">
        <v>73</v>
      </c>
      <c r="E46" s="2" t="s">
        <v>179</v>
      </c>
      <c r="F46" s="2">
        <v>6</v>
      </c>
      <c r="G46" s="2" t="s">
        <v>33</v>
      </c>
      <c r="H46" s="2" t="s">
        <v>191</v>
      </c>
      <c r="I46" s="11">
        <v>1708.35</v>
      </c>
      <c r="J46" s="11">
        <f t="shared" si="1"/>
        <v>1.0250099999999998E-3</v>
      </c>
    </row>
    <row r="47" spans="2:10">
      <c r="B47" s="10" t="s">
        <v>38</v>
      </c>
      <c r="C47" s="10" t="s">
        <v>39</v>
      </c>
      <c r="D47" s="2" t="s">
        <v>74</v>
      </c>
      <c r="E47" s="2" t="s">
        <v>179</v>
      </c>
      <c r="F47" s="2">
        <v>10</v>
      </c>
      <c r="G47" s="2" t="s">
        <v>33</v>
      </c>
      <c r="H47" s="2" t="s">
        <v>191</v>
      </c>
      <c r="I47" s="11">
        <v>1708.35</v>
      </c>
      <c r="J47" s="11">
        <f t="shared" si="1"/>
        <v>1.70835E-3</v>
      </c>
    </row>
    <row r="48" spans="2:10">
      <c r="B48" s="10" t="s">
        <v>38</v>
      </c>
      <c r="C48" s="10" t="s">
        <v>39</v>
      </c>
      <c r="D48" s="2" t="s">
        <v>75</v>
      </c>
      <c r="E48" s="2" t="s">
        <v>179</v>
      </c>
      <c r="F48" s="2">
        <v>2</v>
      </c>
      <c r="G48" s="2" t="s">
        <v>33</v>
      </c>
      <c r="H48" s="2" t="s">
        <v>189</v>
      </c>
      <c r="I48" s="11">
        <v>1708.35</v>
      </c>
      <c r="J48" s="11">
        <f t="shared" si="1"/>
        <v>3.4166999999999997E-4</v>
      </c>
    </row>
    <row r="49" spans="2:10">
      <c r="B49" s="10" t="s">
        <v>38</v>
      </c>
      <c r="C49" s="10" t="s">
        <v>39</v>
      </c>
      <c r="D49" s="2" t="s">
        <v>76</v>
      </c>
      <c r="E49" s="2" t="s">
        <v>179</v>
      </c>
      <c r="F49" s="2">
        <v>24</v>
      </c>
      <c r="G49" s="2" t="s">
        <v>33</v>
      </c>
      <c r="H49" s="2" t="s">
        <v>191</v>
      </c>
      <c r="I49" s="11">
        <v>1708.35</v>
      </c>
      <c r="J49" s="11">
        <f t="shared" si="1"/>
        <v>4.1000399999999992E-3</v>
      </c>
    </row>
    <row r="50" spans="2:10">
      <c r="B50" s="10" t="s">
        <v>38</v>
      </c>
      <c r="C50" s="10" t="s">
        <v>39</v>
      </c>
      <c r="D50" s="2" t="s">
        <v>76</v>
      </c>
      <c r="E50" s="2" t="s">
        <v>179</v>
      </c>
      <c r="F50" s="2">
        <v>6</v>
      </c>
      <c r="G50" s="2" t="s">
        <v>33</v>
      </c>
      <c r="H50" s="2" t="s">
        <v>189</v>
      </c>
      <c r="I50" s="11">
        <v>1708.35</v>
      </c>
      <c r="J50" s="11">
        <f t="shared" si="1"/>
        <v>1.0250099999999998E-3</v>
      </c>
    </row>
    <row r="51" spans="2:10">
      <c r="B51" s="10" t="s">
        <v>38</v>
      </c>
      <c r="C51" s="10" t="s">
        <v>39</v>
      </c>
      <c r="D51" s="2" t="s">
        <v>77</v>
      </c>
      <c r="E51" s="2" t="s">
        <v>179</v>
      </c>
      <c r="F51" s="2">
        <v>12</v>
      </c>
      <c r="G51" s="2" t="s">
        <v>33</v>
      </c>
      <c r="H51" s="2" t="s">
        <v>188</v>
      </c>
      <c r="I51" s="11">
        <v>1708.35</v>
      </c>
      <c r="J51" s="11">
        <f t="shared" si="1"/>
        <v>2.0500199999999996E-3</v>
      </c>
    </row>
    <row r="52" spans="2:10">
      <c r="B52" s="10" t="s">
        <v>38</v>
      </c>
      <c r="C52" s="10" t="s">
        <v>39</v>
      </c>
      <c r="D52" s="2" t="s">
        <v>77</v>
      </c>
      <c r="E52" s="2" t="s">
        <v>179</v>
      </c>
      <c r="F52" s="2">
        <v>4</v>
      </c>
      <c r="G52" s="2" t="s">
        <v>33</v>
      </c>
      <c r="H52" s="2" t="s">
        <v>189</v>
      </c>
      <c r="I52" s="11">
        <v>1708.35</v>
      </c>
      <c r="J52" s="11">
        <f t="shared" si="1"/>
        <v>6.8333999999999995E-4</v>
      </c>
    </row>
    <row r="53" spans="2:10">
      <c r="B53" s="10" t="s">
        <v>38</v>
      </c>
      <c r="C53" s="10" t="s">
        <v>39</v>
      </c>
      <c r="D53" s="2" t="s">
        <v>78</v>
      </c>
      <c r="E53" s="2" t="s">
        <v>179</v>
      </c>
      <c r="F53" s="2">
        <v>1</v>
      </c>
      <c r="G53" s="2" t="s">
        <v>33</v>
      </c>
      <c r="H53" s="2" t="s">
        <v>189</v>
      </c>
      <c r="I53" s="11">
        <v>1708.35</v>
      </c>
      <c r="J53" s="11">
        <f t="shared" si="1"/>
        <v>1.7083499999999999E-4</v>
      </c>
    </row>
    <row r="54" spans="2:10">
      <c r="B54" s="10" t="s">
        <v>38</v>
      </c>
      <c r="C54" s="10" t="s">
        <v>39</v>
      </c>
      <c r="D54" s="2" t="s">
        <v>79</v>
      </c>
      <c r="E54" s="2" t="s">
        <v>179</v>
      </c>
      <c r="F54" s="2">
        <v>1</v>
      </c>
      <c r="G54" s="2" t="s">
        <v>33</v>
      </c>
      <c r="H54" s="2" t="s">
        <v>191</v>
      </c>
      <c r="I54" s="11">
        <v>1708.35</v>
      </c>
      <c r="J54" s="11">
        <f t="shared" si="1"/>
        <v>1.7083499999999999E-4</v>
      </c>
    </row>
    <row r="55" spans="2:10">
      <c r="B55" s="10" t="s">
        <v>38</v>
      </c>
      <c r="C55" s="10" t="s">
        <v>39</v>
      </c>
      <c r="D55" s="2" t="s">
        <v>80</v>
      </c>
      <c r="E55" s="2" t="s">
        <v>179</v>
      </c>
      <c r="F55" s="2">
        <v>24</v>
      </c>
      <c r="G55" s="2" t="s">
        <v>33</v>
      </c>
      <c r="H55" s="2" t="s">
        <v>191</v>
      </c>
      <c r="I55" s="11">
        <v>1708.35</v>
      </c>
      <c r="J55" s="11">
        <f t="shared" si="1"/>
        <v>4.1000399999999992E-3</v>
      </c>
    </row>
    <row r="56" spans="2:10">
      <c r="B56" s="10" t="s">
        <v>38</v>
      </c>
      <c r="C56" s="10" t="s">
        <v>39</v>
      </c>
      <c r="D56" s="2" t="s">
        <v>80</v>
      </c>
      <c r="E56" s="2" t="s">
        <v>179</v>
      </c>
      <c r="F56" s="2">
        <v>4</v>
      </c>
      <c r="G56" s="2" t="s">
        <v>33</v>
      </c>
      <c r="H56" s="2" t="s">
        <v>188</v>
      </c>
      <c r="I56" s="11">
        <v>1708.35</v>
      </c>
      <c r="J56" s="11">
        <f t="shared" si="1"/>
        <v>6.8333999999999995E-4</v>
      </c>
    </row>
    <row r="57" spans="2:10">
      <c r="B57" s="10" t="s">
        <v>38</v>
      </c>
      <c r="C57" s="10" t="s">
        <v>39</v>
      </c>
      <c r="D57" s="2" t="s">
        <v>80</v>
      </c>
      <c r="E57" s="2" t="s">
        <v>179</v>
      </c>
      <c r="F57" s="2">
        <v>2</v>
      </c>
      <c r="G57" s="2" t="s">
        <v>33</v>
      </c>
      <c r="H57" s="2" t="s">
        <v>189</v>
      </c>
      <c r="I57" s="11">
        <v>1708.35</v>
      </c>
      <c r="J57" s="11">
        <f t="shared" si="1"/>
        <v>3.4166999999999997E-4</v>
      </c>
    </row>
    <row r="58" spans="2:10">
      <c r="B58" s="10" t="s">
        <v>38</v>
      </c>
      <c r="C58" s="10" t="s">
        <v>39</v>
      </c>
      <c r="D58" s="2" t="s">
        <v>81</v>
      </c>
      <c r="E58" s="2" t="s">
        <v>179</v>
      </c>
      <c r="F58" s="2">
        <v>3</v>
      </c>
      <c r="G58" s="2" t="s">
        <v>33</v>
      </c>
      <c r="H58" s="2" t="s">
        <v>191</v>
      </c>
      <c r="I58" s="11">
        <v>1708.35</v>
      </c>
      <c r="J58" s="11">
        <f t="shared" si="1"/>
        <v>5.1250499999999991E-4</v>
      </c>
    </row>
    <row r="59" spans="2:10">
      <c r="B59" s="10" t="s">
        <v>38</v>
      </c>
      <c r="C59" s="10" t="s">
        <v>39</v>
      </c>
      <c r="D59" s="2" t="s">
        <v>81</v>
      </c>
      <c r="E59" s="2" t="s">
        <v>179</v>
      </c>
      <c r="F59" s="2">
        <v>2</v>
      </c>
      <c r="G59" s="2" t="s">
        <v>33</v>
      </c>
      <c r="H59" s="2" t="s">
        <v>189</v>
      </c>
      <c r="I59" s="11">
        <v>1708.35</v>
      </c>
      <c r="J59" s="11">
        <f t="shared" si="1"/>
        <v>3.4166999999999997E-4</v>
      </c>
    </row>
    <row r="60" spans="2:10">
      <c r="B60" s="10" t="s">
        <v>38</v>
      </c>
      <c r="C60" s="10" t="s">
        <v>39</v>
      </c>
      <c r="D60" s="2" t="s">
        <v>82</v>
      </c>
      <c r="E60" s="2" t="s">
        <v>179</v>
      </c>
      <c r="F60" s="2">
        <v>13</v>
      </c>
      <c r="G60" s="2" t="s">
        <v>33</v>
      </c>
      <c r="H60" s="2" t="s">
        <v>188</v>
      </c>
      <c r="I60" s="11">
        <v>1708.35</v>
      </c>
      <c r="J60" s="11">
        <f t="shared" si="1"/>
        <v>2.2208549999999999E-3</v>
      </c>
    </row>
    <row r="61" spans="2:10">
      <c r="B61" s="10" t="s">
        <v>38</v>
      </c>
      <c r="C61" s="10" t="s">
        <v>39</v>
      </c>
      <c r="D61" s="2" t="s">
        <v>83</v>
      </c>
      <c r="E61" s="2" t="s">
        <v>179</v>
      </c>
      <c r="F61" s="2">
        <v>1</v>
      </c>
      <c r="G61" s="2" t="s">
        <v>33</v>
      </c>
      <c r="H61" s="2" t="s">
        <v>188</v>
      </c>
      <c r="I61" s="11">
        <v>1708.35</v>
      </c>
      <c r="J61" s="11">
        <f t="shared" si="1"/>
        <v>1.7083499999999999E-4</v>
      </c>
    </row>
    <row r="62" spans="2:10">
      <c r="B62" s="10" t="s">
        <v>38</v>
      </c>
      <c r="C62" s="10" t="s">
        <v>39</v>
      </c>
      <c r="D62" s="2" t="s">
        <v>84</v>
      </c>
      <c r="E62" s="2" t="s">
        <v>179</v>
      </c>
      <c r="F62" s="2">
        <v>19</v>
      </c>
      <c r="G62" s="2" t="s">
        <v>33</v>
      </c>
      <c r="H62" s="2" t="s">
        <v>191</v>
      </c>
      <c r="I62" s="11">
        <v>1708.35</v>
      </c>
      <c r="J62" s="11">
        <f t="shared" si="1"/>
        <v>3.2458649999999997E-3</v>
      </c>
    </row>
    <row r="63" spans="2:10">
      <c r="B63" s="10" t="s">
        <v>38</v>
      </c>
      <c r="C63" s="10" t="s">
        <v>39</v>
      </c>
      <c r="D63" s="2" t="s">
        <v>84</v>
      </c>
      <c r="E63" s="2" t="s">
        <v>179</v>
      </c>
      <c r="F63" s="2">
        <v>3</v>
      </c>
      <c r="G63" s="2" t="s">
        <v>33</v>
      </c>
      <c r="H63" s="2" t="s">
        <v>189</v>
      </c>
      <c r="I63" s="11">
        <v>1708.35</v>
      </c>
      <c r="J63" s="11">
        <f t="shared" si="1"/>
        <v>5.1250499999999991E-4</v>
      </c>
    </row>
    <row r="64" spans="2:10">
      <c r="B64" s="10" t="s">
        <v>38</v>
      </c>
      <c r="C64" s="10" t="s">
        <v>39</v>
      </c>
      <c r="D64" s="2" t="s">
        <v>85</v>
      </c>
      <c r="E64" s="2" t="s">
        <v>179</v>
      </c>
      <c r="F64" s="2">
        <v>7</v>
      </c>
      <c r="G64" s="2" t="s">
        <v>33</v>
      </c>
      <c r="H64" s="2" t="s">
        <v>191</v>
      </c>
      <c r="I64" s="11">
        <v>1708.35</v>
      </c>
      <c r="J64" s="11">
        <f t="shared" si="1"/>
        <v>1.1958449999999999E-3</v>
      </c>
    </row>
    <row r="65" spans="2:10">
      <c r="B65" s="10" t="s">
        <v>38</v>
      </c>
      <c r="C65" s="10" t="s">
        <v>39</v>
      </c>
      <c r="D65" s="2" t="s">
        <v>86</v>
      </c>
      <c r="E65" s="2" t="s">
        <v>179</v>
      </c>
      <c r="F65" s="2">
        <v>8</v>
      </c>
      <c r="G65" s="2" t="s">
        <v>33</v>
      </c>
      <c r="H65" s="2" t="s">
        <v>191</v>
      </c>
      <c r="I65" s="11">
        <v>1708.35</v>
      </c>
      <c r="J65" s="11">
        <f t="shared" si="1"/>
        <v>1.3666799999999999E-3</v>
      </c>
    </row>
    <row r="66" spans="2:10">
      <c r="B66" s="10" t="s">
        <v>38</v>
      </c>
      <c r="C66" s="10" t="s">
        <v>39</v>
      </c>
      <c r="D66" s="2" t="s">
        <v>87</v>
      </c>
      <c r="E66" s="2" t="s">
        <v>179</v>
      </c>
      <c r="F66" s="2">
        <v>19</v>
      </c>
      <c r="G66" s="2" t="s">
        <v>33</v>
      </c>
      <c r="H66" s="2" t="s">
        <v>191</v>
      </c>
      <c r="I66" s="11">
        <v>1708.35</v>
      </c>
      <c r="J66" s="11">
        <f t="shared" ref="J66:J97" si="2">(I66*F66)/10000000</f>
        <v>3.2458649999999997E-3</v>
      </c>
    </row>
    <row r="67" spans="2:10">
      <c r="B67" s="10" t="s">
        <v>38</v>
      </c>
      <c r="C67" s="10" t="s">
        <v>39</v>
      </c>
      <c r="D67" s="2" t="s">
        <v>88</v>
      </c>
      <c r="E67" s="2" t="s">
        <v>179</v>
      </c>
      <c r="F67" s="2">
        <v>13</v>
      </c>
      <c r="G67" s="2" t="s">
        <v>33</v>
      </c>
      <c r="H67" s="2" t="s">
        <v>188</v>
      </c>
      <c r="I67" s="11">
        <v>1708.35</v>
      </c>
      <c r="J67" s="11">
        <f t="shared" si="2"/>
        <v>2.2208549999999999E-3</v>
      </c>
    </row>
    <row r="68" spans="2:10">
      <c r="B68" s="10" t="s">
        <v>38</v>
      </c>
      <c r="C68" s="10" t="s">
        <v>39</v>
      </c>
      <c r="D68" s="2" t="s">
        <v>89</v>
      </c>
      <c r="E68" s="2" t="s">
        <v>179</v>
      </c>
      <c r="F68" s="2">
        <v>17</v>
      </c>
      <c r="G68" s="2" t="s">
        <v>33</v>
      </c>
      <c r="H68" s="2" t="s">
        <v>191</v>
      </c>
      <c r="I68" s="11">
        <v>1708.35</v>
      </c>
      <c r="J68" s="11">
        <f t="shared" si="2"/>
        <v>2.9041949999999996E-3</v>
      </c>
    </row>
    <row r="69" spans="2:10">
      <c r="B69" s="10" t="s">
        <v>38</v>
      </c>
      <c r="C69" s="10" t="s">
        <v>39</v>
      </c>
      <c r="D69" s="2" t="s">
        <v>90</v>
      </c>
      <c r="E69" s="2" t="s">
        <v>179</v>
      </c>
      <c r="F69" s="2">
        <v>1</v>
      </c>
      <c r="G69" s="2" t="s">
        <v>33</v>
      </c>
      <c r="H69" s="2" t="s">
        <v>188</v>
      </c>
      <c r="I69" s="11">
        <v>6897</v>
      </c>
      <c r="J69" s="11">
        <f t="shared" si="2"/>
        <v>6.8970000000000001E-4</v>
      </c>
    </row>
    <row r="70" spans="2:10">
      <c r="B70" s="10" t="s">
        <v>38</v>
      </c>
      <c r="C70" s="10" t="s">
        <v>39</v>
      </c>
      <c r="D70" s="2" t="s">
        <v>91</v>
      </c>
      <c r="E70" s="2" t="s">
        <v>179</v>
      </c>
      <c r="F70" s="2">
        <v>3</v>
      </c>
      <c r="G70" s="2" t="s">
        <v>33</v>
      </c>
      <c r="H70" s="2" t="s">
        <v>188</v>
      </c>
      <c r="I70" s="11">
        <v>6897</v>
      </c>
      <c r="J70" s="11">
        <f t="shared" si="2"/>
        <v>2.0690999999999999E-3</v>
      </c>
    </row>
    <row r="71" spans="2:10">
      <c r="B71" s="10" t="s">
        <v>38</v>
      </c>
      <c r="C71" s="10" t="s">
        <v>39</v>
      </c>
      <c r="D71" s="2" t="s">
        <v>92</v>
      </c>
      <c r="E71" s="2" t="s">
        <v>179</v>
      </c>
      <c r="F71" s="2">
        <v>12</v>
      </c>
      <c r="G71" s="2" t="s">
        <v>33</v>
      </c>
      <c r="H71" s="2" t="s">
        <v>188</v>
      </c>
      <c r="I71" s="11">
        <v>6897</v>
      </c>
      <c r="J71" s="11">
        <f t="shared" si="2"/>
        <v>8.2763999999999997E-3</v>
      </c>
    </row>
    <row r="72" spans="2:10">
      <c r="B72" s="10" t="s">
        <v>38</v>
      </c>
      <c r="C72" s="10" t="s">
        <v>39</v>
      </c>
      <c r="D72" s="2" t="s">
        <v>93</v>
      </c>
      <c r="E72" s="2" t="s">
        <v>179</v>
      </c>
      <c r="F72" s="2">
        <v>2</v>
      </c>
      <c r="G72" s="2" t="s">
        <v>33</v>
      </c>
      <c r="H72" s="2" t="s">
        <v>188</v>
      </c>
      <c r="I72" s="11">
        <v>6897</v>
      </c>
      <c r="J72" s="11">
        <f t="shared" si="2"/>
        <v>1.3794E-3</v>
      </c>
    </row>
    <row r="73" spans="2:10">
      <c r="B73" s="10" t="s">
        <v>38</v>
      </c>
      <c r="C73" s="10" t="s">
        <v>39</v>
      </c>
      <c r="D73" s="2" t="s">
        <v>94</v>
      </c>
      <c r="E73" s="2" t="s">
        <v>179</v>
      </c>
      <c r="F73" s="2">
        <v>7</v>
      </c>
      <c r="G73" s="2" t="s">
        <v>33</v>
      </c>
      <c r="H73" s="2" t="s">
        <v>188</v>
      </c>
      <c r="I73" s="11">
        <v>6897</v>
      </c>
      <c r="J73" s="11">
        <f t="shared" si="2"/>
        <v>4.8279000000000004E-3</v>
      </c>
    </row>
    <row r="74" spans="2:10">
      <c r="B74" s="10" t="s">
        <v>38</v>
      </c>
      <c r="C74" s="10" t="s">
        <v>39</v>
      </c>
      <c r="D74" s="2" t="s">
        <v>95</v>
      </c>
      <c r="E74" s="2" t="s">
        <v>179</v>
      </c>
      <c r="F74" s="2">
        <v>2</v>
      </c>
      <c r="G74" s="2" t="s">
        <v>33</v>
      </c>
      <c r="H74" s="2" t="s">
        <v>188</v>
      </c>
      <c r="I74" s="11">
        <v>6897</v>
      </c>
      <c r="J74" s="11">
        <f t="shared" si="2"/>
        <v>1.3794E-3</v>
      </c>
    </row>
    <row r="75" spans="2:10">
      <c r="B75" s="10" t="s">
        <v>38</v>
      </c>
      <c r="C75" s="10" t="s">
        <v>39</v>
      </c>
      <c r="D75" s="2" t="s">
        <v>96</v>
      </c>
      <c r="E75" s="2" t="s">
        <v>179</v>
      </c>
      <c r="F75" s="2">
        <v>1</v>
      </c>
      <c r="G75" s="2" t="s">
        <v>33</v>
      </c>
      <c r="H75" s="2" t="s">
        <v>188</v>
      </c>
      <c r="I75" s="11">
        <v>6897</v>
      </c>
      <c r="J75" s="11">
        <f t="shared" si="2"/>
        <v>6.8970000000000001E-4</v>
      </c>
    </row>
    <row r="76" spans="2:10">
      <c r="B76" s="10" t="s">
        <v>38</v>
      </c>
      <c r="C76" s="10" t="s">
        <v>39</v>
      </c>
      <c r="D76" s="2" t="s">
        <v>97</v>
      </c>
      <c r="E76" s="2" t="s">
        <v>179</v>
      </c>
      <c r="F76" s="2">
        <v>2</v>
      </c>
      <c r="G76" s="2" t="s">
        <v>33</v>
      </c>
      <c r="H76" s="2" t="s">
        <v>188</v>
      </c>
      <c r="I76" s="11">
        <v>6897</v>
      </c>
      <c r="J76" s="11">
        <f t="shared" si="2"/>
        <v>1.3794E-3</v>
      </c>
    </row>
    <row r="77" spans="2:10">
      <c r="B77" s="10" t="s">
        <v>38</v>
      </c>
      <c r="C77" s="10" t="s">
        <v>39</v>
      </c>
      <c r="D77" s="2" t="s">
        <v>98</v>
      </c>
      <c r="E77" s="2" t="s">
        <v>179</v>
      </c>
      <c r="F77" s="2">
        <v>1</v>
      </c>
      <c r="G77" s="2" t="s">
        <v>33</v>
      </c>
      <c r="H77" s="2" t="s">
        <v>188</v>
      </c>
      <c r="I77" s="11">
        <v>6897</v>
      </c>
      <c r="J77" s="11">
        <f t="shared" si="2"/>
        <v>6.8970000000000001E-4</v>
      </c>
    </row>
    <row r="78" spans="2:10">
      <c r="B78" s="10" t="s">
        <v>38</v>
      </c>
      <c r="C78" s="10" t="s">
        <v>39</v>
      </c>
      <c r="D78" s="2" t="s">
        <v>99</v>
      </c>
      <c r="E78" s="2" t="s">
        <v>179</v>
      </c>
      <c r="F78" s="2">
        <v>93</v>
      </c>
      <c r="G78" s="2" t="s">
        <v>33</v>
      </c>
      <c r="H78" s="2" t="s">
        <v>188</v>
      </c>
      <c r="I78" s="11">
        <v>2000</v>
      </c>
      <c r="J78" s="11">
        <f t="shared" si="2"/>
        <v>1.8599999999999998E-2</v>
      </c>
    </row>
    <row r="79" spans="2:10">
      <c r="B79" s="10" t="s">
        <v>38</v>
      </c>
      <c r="C79" s="10" t="s">
        <v>39</v>
      </c>
      <c r="D79" s="2" t="s">
        <v>100</v>
      </c>
      <c r="E79" s="2" t="s">
        <v>179</v>
      </c>
      <c r="F79" s="2">
        <v>34</v>
      </c>
      <c r="G79" s="2" t="s">
        <v>33</v>
      </c>
      <c r="H79" s="2" t="s">
        <v>188</v>
      </c>
      <c r="I79" s="11">
        <v>1800</v>
      </c>
      <c r="J79" s="11">
        <f t="shared" si="2"/>
        <v>6.1199999999999996E-3</v>
      </c>
    </row>
    <row r="80" spans="2:10">
      <c r="B80" s="10" t="s">
        <v>38</v>
      </c>
      <c r="C80" s="10" t="s">
        <v>39</v>
      </c>
      <c r="D80" s="2" t="s">
        <v>101</v>
      </c>
      <c r="E80" s="2" t="s">
        <v>179</v>
      </c>
      <c r="F80" s="2">
        <v>27</v>
      </c>
      <c r="G80" s="2" t="s">
        <v>33</v>
      </c>
      <c r="H80" s="2" t="s">
        <v>188</v>
      </c>
      <c r="I80" s="11">
        <v>1600</v>
      </c>
      <c r="J80" s="11">
        <f t="shared" si="2"/>
        <v>4.3200000000000001E-3</v>
      </c>
    </row>
    <row r="81" spans="2:10">
      <c r="B81" s="10" t="s">
        <v>38</v>
      </c>
      <c r="C81" s="10" t="s">
        <v>39</v>
      </c>
      <c r="D81" s="2" t="s">
        <v>102</v>
      </c>
      <c r="E81" s="2" t="s">
        <v>179</v>
      </c>
      <c r="F81" s="2">
        <v>203</v>
      </c>
      <c r="G81" s="2" t="s">
        <v>33</v>
      </c>
      <c r="H81" s="2" t="s">
        <v>191</v>
      </c>
      <c r="I81" s="11">
        <v>1600</v>
      </c>
      <c r="J81" s="11">
        <f t="shared" si="2"/>
        <v>3.2480000000000002E-2</v>
      </c>
    </row>
    <row r="82" spans="2:10">
      <c r="B82" s="10" t="s">
        <v>38</v>
      </c>
      <c r="C82" s="10" t="s">
        <v>39</v>
      </c>
      <c r="D82" s="2" t="s">
        <v>103</v>
      </c>
      <c r="E82" s="2" t="s">
        <v>179</v>
      </c>
      <c r="F82" s="2">
        <v>3</v>
      </c>
      <c r="G82" s="2" t="s">
        <v>33</v>
      </c>
      <c r="H82" s="2" t="s">
        <v>191</v>
      </c>
      <c r="I82" s="11">
        <v>1600</v>
      </c>
      <c r="J82" s="11">
        <f t="shared" si="2"/>
        <v>4.8000000000000001E-4</v>
      </c>
    </row>
    <row r="83" spans="2:10">
      <c r="B83" s="10" t="s">
        <v>38</v>
      </c>
      <c r="C83" s="10" t="s">
        <v>39</v>
      </c>
      <c r="D83" s="2" t="s">
        <v>104</v>
      </c>
      <c r="E83" s="2" t="s">
        <v>179</v>
      </c>
      <c r="F83" s="2">
        <v>14</v>
      </c>
      <c r="G83" s="2" t="s">
        <v>33</v>
      </c>
      <c r="H83" s="2" t="s">
        <v>191</v>
      </c>
      <c r="I83" s="11">
        <v>1400</v>
      </c>
      <c r="J83" s="11">
        <f t="shared" si="2"/>
        <v>1.9599999999999999E-3</v>
      </c>
    </row>
    <row r="84" spans="2:10">
      <c r="B84" s="10" t="s">
        <v>38</v>
      </c>
      <c r="C84" s="10" t="s">
        <v>39</v>
      </c>
      <c r="D84" s="2" t="s">
        <v>105</v>
      </c>
      <c r="E84" s="2" t="s">
        <v>179</v>
      </c>
      <c r="F84" s="2">
        <v>45</v>
      </c>
      <c r="G84" s="2" t="s">
        <v>33</v>
      </c>
      <c r="H84" s="2" t="s">
        <v>191</v>
      </c>
      <c r="I84" s="11">
        <v>31</v>
      </c>
      <c r="J84" s="11">
        <f t="shared" si="2"/>
        <v>1.395E-4</v>
      </c>
    </row>
    <row r="85" spans="2:10">
      <c r="B85" s="10" t="s">
        <v>38</v>
      </c>
      <c r="C85" s="10" t="s">
        <v>39</v>
      </c>
      <c r="D85" s="2" t="s">
        <v>106</v>
      </c>
      <c r="E85" s="2" t="s">
        <v>179</v>
      </c>
      <c r="F85" s="2">
        <v>86</v>
      </c>
      <c r="G85" s="2" t="s">
        <v>33</v>
      </c>
      <c r="H85" s="2" t="s">
        <v>191</v>
      </c>
      <c r="I85" s="11">
        <v>31</v>
      </c>
      <c r="J85" s="11">
        <f t="shared" si="2"/>
        <v>2.6659999999999998E-4</v>
      </c>
    </row>
    <row r="86" spans="2:10">
      <c r="B86" s="10" t="s">
        <v>38</v>
      </c>
      <c r="C86" s="10" t="s">
        <v>39</v>
      </c>
      <c r="D86" s="2" t="s">
        <v>107</v>
      </c>
      <c r="E86" s="2" t="s">
        <v>179</v>
      </c>
      <c r="F86" s="2">
        <v>5</v>
      </c>
      <c r="G86" s="2" t="s">
        <v>33</v>
      </c>
      <c r="H86" s="2" t="s">
        <v>191</v>
      </c>
      <c r="I86" s="11">
        <v>90</v>
      </c>
      <c r="J86" s="11">
        <f t="shared" si="2"/>
        <v>4.5000000000000003E-5</v>
      </c>
    </row>
    <row r="87" spans="2:10">
      <c r="B87" s="10" t="s">
        <v>38</v>
      </c>
      <c r="C87" s="10" t="s">
        <v>39</v>
      </c>
      <c r="D87" s="2" t="s">
        <v>108</v>
      </c>
      <c r="E87" s="2" t="s">
        <v>179</v>
      </c>
      <c r="F87" s="2">
        <v>2</v>
      </c>
      <c r="G87" s="2" t="s">
        <v>33</v>
      </c>
      <c r="H87" s="2" t="s">
        <v>191</v>
      </c>
      <c r="I87" s="11">
        <v>90</v>
      </c>
      <c r="J87" s="11">
        <f t="shared" si="2"/>
        <v>1.8E-5</v>
      </c>
    </row>
    <row r="88" spans="2:10">
      <c r="B88" s="10" t="s">
        <v>38</v>
      </c>
      <c r="C88" s="10" t="s">
        <v>39</v>
      </c>
      <c r="D88" s="2" t="s">
        <v>109</v>
      </c>
      <c r="E88" s="2" t="s">
        <v>179</v>
      </c>
      <c r="F88" s="2">
        <v>2</v>
      </c>
      <c r="G88" s="2" t="s">
        <v>33</v>
      </c>
      <c r="H88" s="2" t="s">
        <v>191</v>
      </c>
      <c r="I88" s="11">
        <v>6108.68</v>
      </c>
      <c r="J88" s="11">
        <f t="shared" si="2"/>
        <v>1.221736E-3</v>
      </c>
    </row>
    <row r="89" spans="2:10">
      <c r="B89" s="10" t="s">
        <v>38</v>
      </c>
      <c r="C89" s="10" t="s">
        <v>39</v>
      </c>
      <c r="D89" s="2" t="s">
        <v>110</v>
      </c>
      <c r="E89" s="2" t="s">
        <v>179</v>
      </c>
      <c r="F89" s="2">
        <v>10</v>
      </c>
      <c r="G89" s="2" t="s">
        <v>33</v>
      </c>
      <c r="H89" s="2" t="s">
        <v>191</v>
      </c>
      <c r="I89" s="11">
        <v>6108.68</v>
      </c>
      <c r="J89" s="11">
        <f t="shared" si="2"/>
        <v>6.10868E-3</v>
      </c>
    </row>
    <row r="90" spans="2:10">
      <c r="B90" s="10" t="s">
        <v>38</v>
      </c>
      <c r="C90" s="10" t="s">
        <v>39</v>
      </c>
      <c r="D90" s="2" t="s">
        <v>111</v>
      </c>
      <c r="E90" s="2" t="s">
        <v>179</v>
      </c>
      <c r="F90" s="2">
        <v>19</v>
      </c>
      <c r="G90" s="2" t="s">
        <v>33</v>
      </c>
      <c r="H90" s="2" t="s">
        <v>191</v>
      </c>
      <c r="I90" s="11">
        <v>6108.68</v>
      </c>
      <c r="J90" s="11">
        <f t="shared" si="2"/>
        <v>1.1606492000000001E-2</v>
      </c>
    </row>
    <row r="91" spans="2:10">
      <c r="B91" s="10" t="s">
        <v>38</v>
      </c>
      <c r="C91" s="10" t="s">
        <v>39</v>
      </c>
      <c r="D91" s="2" t="s">
        <v>111</v>
      </c>
      <c r="E91" s="2" t="s">
        <v>179</v>
      </c>
      <c r="F91" s="2">
        <v>4</v>
      </c>
      <c r="G91" s="2" t="s">
        <v>33</v>
      </c>
      <c r="H91" s="2" t="s">
        <v>189</v>
      </c>
      <c r="I91" s="11">
        <v>6108.68</v>
      </c>
      <c r="J91" s="11">
        <f t="shared" si="2"/>
        <v>2.4434719999999999E-3</v>
      </c>
    </row>
    <row r="92" spans="2:10">
      <c r="B92" s="10" t="s">
        <v>38</v>
      </c>
      <c r="C92" s="10" t="s">
        <v>39</v>
      </c>
      <c r="D92" s="2" t="s">
        <v>112</v>
      </c>
      <c r="E92" s="2" t="s">
        <v>179</v>
      </c>
      <c r="F92" s="2">
        <v>1</v>
      </c>
      <c r="G92" s="2" t="s">
        <v>33</v>
      </c>
      <c r="H92" s="2" t="s">
        <v>189</v>
      </c>
      <c r="I92" s="11">
        <v>6108.68</v>
      </c>
      <c r="J92" s="11">
        <f t="shared" si="2"/>
        <v>6.1086799999999998E-4</v>
      </c>
    </row>
    <row r="93" spans="2:10">
      <c r="B93" s="10" t="s">
        <v>38</v>
      </c>
      <c r="C93" s="10" t="s">
        <v>39</v>
      </c>
      <c r="D93" s="2" t="s">
        <v>112</v>
      </c>
      <c r="E93" s="2" t="s">
        <v>179</v>
      </c>
      <c r="F93" s="2">
        <v>2</v>
      </c>
      <c r="G93" s="2" t="s">
        <v>33</v>
      </c>
      <c r="H93" s="2" t="s">
        <v>188</v>
      </c>
      <c r="I93" s="11">
        <v>6108.68</v>
      </c>
      <c r="J93" s="11">
        <f t="shared" si="2"/>
        <v>1.221736E-3</v>
      </c>
    </row>
    <row r="94" spans="2:10">
      <c r="B94" s="10" t="s">
        <v>38</v>
      </c>
      <c r="C94" s="10" t="s">
        <v>39</v>
      </c>
      <c r="D94" s="2" t="s">
        <v>113</v>
      </c>
      <c r="E94" s="2" t="s">
        <v>179</v>
      </c>
      <c r="F94" s="2">
        <v>1</v>
      </c>
      <c r="G94" s="2" t="s">
        <v>33</v>
      </c>
      <c r="H94" s="2" t="s">
        <v>191</v>
      </c>
      <c r="I94" s="11">
        <v>6108.68</v>
      </c>
      <c r="J94" s="11">
        <f t="shared" si="2"/>
        <v>6.1086799999999998E-4</v>
      </c>
    </row>
    <row r="95" spans="2:10">
      <c r="B95" s="10" t="s">
        <v>38</v>
      </c>
      <c r="C95" s="10" t="s">
        <v>39</v>
      </c>
      <c r="D95" s="2" t="s">
        <v>113</v>
      </c>
      <c r="E95" s="2" t="s">
        <v>179</v>
      </c>
      <c r="F95" s="2">
        <v>12</v>
      </c>
      <c r="G95" s="2" t="s">
        <v>33</v>
      </c>
      <c r="H95" s="2" t="s">
        <v>189</v>
      </c>
      <c r="I95" s="11">
        <v>6108.68</v>
      </c>
      <c r="J95" s="11">
        <f t="shared" si="2"/>
        <v>7.3304160000000002E-3</v>
      </c>
    </row>
    <row r="96" spans="2:10">
      <c r="B96" s="10" t="s">
        <v>38</v>
      </c>
      <c r="C96" s="10" t="s">
        <v>39</v>
      </c>
      <c r="D96" s="2" t="s">
        <v>114</v>
      </c>
      <c r="E96" s="2" t="s">
        <v>179</v>
      </c>
      <c r="F96" s="2">
        <v>1</v>
      </c>
      <c r="G96" s="2" t="s">
        <v>33</v>
      </c>
      <c r="H96" s="2" t="s">
        <v>188</v>
      </c>
      <c r="I96" s="11">
        <v>6108.68</v>
      </c>
      <c r="J96" s="11">
        <f t="shared" si="2"/>
        <v>6.1086799999999998E-4</v>
      </c>
    </row>
    <row r="97" spans="2:10">
      <c r="B97" s="10" t="s">
        <v>38</v>
      </c>
      <c r="C97" s="10" t="s">
        <v>39</v>
      </c>
      <c r="D97" s="2" t="s">
        <v>110</v>
      </c>
      <c r="E97" s="2" t="s">
        <v>179</v>
      </c>
      <c r="F97" s="2">
        <v>2</v>
      </c>
      <c r="G97" s="2" t="s">
        <v>33</v>
      </c>
      <c r="H97" s="2" t="s">
        <v>189</v>
      </c>
      <c r="I97" s="11">
        <v>6108.68</v>
      </c>
      <c r="J97" s="11">
        <f t="shared" si="2"/>
        <v>1.221736E-3</v>
      </c>
    </row>
    <row r="98" spans="2:10">
      <c r="B98" s="10" t="s">
        <v>38</v>
      </c>
      <c r="C98" s="10" t="s">
        <v>39</v>
      </c>
      <c r="D98" s="2" t="s">
        <v>115</v>
      </c>
      <c r="E98" s="2" t="s">
        <v>179</v>
      </c>
      <c r="F98" s="2">
        <v>1</v>
      </c>
      <c r="G98" s="2" t="s">
        <v>33</v>
      </c>
      <c r="H98" s="2" t="s">
        <v>189</v>
      </c>
      <c r="I98" s="11">
        <v>24817.82</v>
      </c>
      <c r="J98" s="11">
        <f t="shared" ref="J98:J129" si="3">(I98*F98)/10000000</f>
        <v>2.4817820000000001E-3</v>
      </c>
    </row>
    <row r="99" spans="2:10">
      <c r="B99" s="10" t="s">
        <v>38</v>
      </c>
      <c r="C99" s="10" t="s">
        <v>39</v>
      </c>
      <c r="D99" s="2" t="s">
        <v>115</v>
      </c>
      <c r="E99" s="2" t="s">
        <v>179</v>
      </c>
      <c r="F99" s="2">
        <v>1</v>
      </c>
      <c r="G99" s="2" t="s">
        <v>33</v>
      </c>
      <c r="H99" s="2" t="s">
        <v>191</v>
      </c>
      <c r="I99" s="11">
        <v>24817.82</v>
      </c>
      <c r="J99" s="11">
        <f t="shared" si="3"/>
        <v>2.4817820000000001E-3</v>
      </c>
    </row>
    <row r="100" spans="2:10">
      <c r="B100" s="10" t="s">
        <v>38</v>
      </c>
      <c r="C100" s="10" t="s">
        <v>39</v>
      </c>
      <c r="D100" s="2" t="s">
        <v>116</v>
      </c>
      <c r="E100" s="2" t="s">
        <v>179</v>
      </c>
      <c r="F100" s="2">
        <v>2</v>
      </c>
      <c r="G100" s="2" t="s">
        <v>33</v>
      </c>
      <c r="H100" s="2" t="s">
        <v>188</v>
      </c>
      <c r="I100" s="11">
        <v>24817.82</v>
      </c>
      <c r="J100" s="11">
        <f t="shared" si="3"/>
        <v>4.9635640000000002E-3</v>
      </c>
    </row>
    <row r="101" spans="2:10">
      <c r="B101" s="10" t="s">
        <v>38</v>
      </c>
      <c r="C101" s="10" t="s">
        <v>39</v>
      </c>
      <c r="D101" s="2" t="s">
        <v>117</v>
      </c>
      <c r="E101" s="2" t="s">
        <v>179</v>
      </c>
      <c r="F101" s="2">
        <v>1</v>
      </c>
      <c r="G101" s="2" t="s">
        <v>33</v>
      </c>
      <c r="H101" s="2" t="s">
        <v>189</v>
      </c>
      <c r="I101" s="11">
        <v>24817.82</v>
      </c>
      <c r="J101" s="11">
        <f t="shared" si="3"/>
        <v>2.4817820000000001E-3</v>
      </c>
    </row>
    <row r="102" spans="2:10">
      <c r="B102" s="10" t="s">
        <v>38</v>
      </c>
      <c r="C102" s="10" t="s">
        <v>39</v>
      </c>
      <c r="D102" s="2" t="s">
        <v>118</v>
      </c>
      <c r="E102" s="2" t="s">
        <v>179</v>
      </c>
      <c r="F102" s="2">
        <v>2</v>
      </c>
      <c r="G102" s="2" t="s">
        <v>33</v>
      </c>
      <c r="H102" s="2" t="s">
        <v>191</v>
      </c>
      <c r="I102" s="11">
        <v>24817.82</v>
      </c>
      <c r="J102" s="11">
        <f t="shared" si="3"/>
        <v>4.9635640000000002E-3</v>
      </c>
    </row>
    <row r="103" spans="2:10">
      <c r="B103" s="10" t="s">
        <v>38</v>
      </c>
      <c r="C103" s="10" t="s">
        <v>39</v>
      </c>
      <c r="D103" s="2" t="s">
        <v>119</v>
      </c>
      <c r="E103" s="2" t="s">
        <v>179</v>
      </c>
      <c r="F103" s="2">
        <v>2</v>
      </c>
      <c r="G103" s="2" t="s">
        <v>33</v>
      </c>
      <c r="H103" s="2" t="s">
        <v>189</v>
      </c>
      <c r="I103" s="11">
        <v>24817.82</v>
      </c>
      <c r="J103" s="11">
        <f>(I103*F103)/10000000</f>
        <v>4.9635640000000002E-3</v>
      </c>
    </row>
    <row r="104" spans="2:10">
      <c r="B104" s="10" t="s">
        <v>38</v>
      </c>
      <c r="C104" s="10" t="s">
        <v>39</v>
      </c>
      <c r="D104" s="2" t="s">
        <v>120</v>
      </c>
      <c r="E104" s="2" t="s">
        <v>179</v>
      </c>
      <c r="F104" s="2">
        <v>64</v>
      </c>
      <c r="G104" s="2" t="s">
        <v>33</v>
      </c>
      <c r="H104" s="2" t="s">
        <v>191</v>
      </c>
      <c r="I104" s="11">
        <v>6108.68</v>
      </c>
      <c r="J104" s="11">
        <f t="shared" si="3"/>
        <v>3.9095551999999999E-2</v>
      </c>
    </row>
    <row r="105" spans="2:10">
      <c r="B105" s="10" t="s">
        <v>38</v>
      </c>
      <c r="C105" s="10" t="s">
        <v>39</v>
      </c>
      <c r="D105" s="2" t="s">
        <v>121</v>
      </c>
      <c r="E105" s="2" t="s">
        <v>179</v>
      </c>
      <c r="F105" s="2">
        <v>59</v>
      </c>
      <c r="G105" s="2" t="s">
        <v>33</v>
      </c>
      <c r="H105" s="2" t="s">
        <v>191</v>
      </c>
      <c r="I105" s="11">
        <v>6108.68</v>
      </c>
      <c r="J105" s="11">
        <f t="shared" si="3"/>
        <v>3.6041211999999996E-2</v>
      </c>
    </row>
    <row r="106" spans="2:10">
      <c r="B106" s="10" t="s">
        <v>38</v>
      </c>
      <c r="C106" s="10" t="s">
        <v>39</v>
      </c>
      <c r="D106" s="2" t="s">
        <v>122</v>
      </c>
      <c r="E106" s="2" t="s">
        <v>179</v>
      </c>
      <c r="F106" s="2">
        <v>46</v>
      </c>
      <c r="G106" s="2" t="s">
        <v>33</v>
      </c>
      <c r="H106" s="2" t="s">
        <v>191</v>
      </c>
      <c r="I106" s="11">
        <v>6108.68</v>
      </c>
      <c r="J106" s="11">
        <f t="shared" si="3"/>
        <v>2.8099928000000003E-2</v>
      </c>
    </row>
    <row r="107" spans="2:10">
      <c r="B107" s="10" t="s">
        <v>38</v>
      </c>
      <c r="C107" s="10" t="s">
        <v>39</v>
      </c>
      <c r="D107" s="2" t="s">
        <v>123</v>
      </c>
      <c r="E107" s="2" t="s">
        <v>179</v>
      </c>
      <c r="F107" s="2">
        <v>4</v>
      </c>
      <c r="G107" s="2" t="s">
        <v>33</v>
      </c>
      <c r="H107" s="2" t="s">
        <v>191</v>
      </c>
      <c r="I107" s="11">
        <v>6108.68</v>
      </c>
      <c r="J107" s="11">
        <f t="shared" si="3"/>
        <v>2.4434719999999999E-3</v>
      </c>
    </row>
    <row r="108" spans="2:10">
      <c r="B108" s="10" t="s">
        <v>38</v>
      </c>
      <c r="C108" s="10" t="s">
        <v>39</v>
      </c>
      <c r="D108" s="2" t="s">
        <v>124</v>
      </c>
      <c r="E108" s="2" t="s">
        <v>179</v>
      </c>
      <c r="F108" s="2">
        <v>4</v>
      </c>
      <c r="G108" s="2" t="s">
        <v>33</v>
      </c>
      <c r="H108" s="2" t="s">
        <v>191</v>
      </c>
      <c r="I108" s="11">
        <v>6108.68</v>
      </c>
      <c r="J108" s="11">
        <f t="shared" si="3"/>
        <v>2.4434719999999999E-3</v>
      </c>
    </row>
    <row r="109" spans="2:10">
      <c r="B109" s="10" t="s">
        <v>38</v>
      </c>
      <c r="C109" s="10" t="s">
        <v>39</v>
      </c>
      <c r="D109" s="2" t="s">
        <v>125</v>
      </c>
      <c r="E109" s="2" t="s">
        <v>179</v>
      </c>
      <c r="F109" s="2">
        <v>1</v>
      </c>
      <c r="G109" s="2" t="s">
        <v>33</v>
      </c>
      <c r="H109" s="2" t="s">
        <v>188</v>
      </c>
      <c r="I109" s="11">
        <v>5286</v>
      </c>
      <c r="J109" s="11">
        <f t="shared" si="3"/>
        <v>5.2859999999999995E-4</v>
      </c>
    </row>
    <row r="110" spans="2:10">
      <c r="B110" s="10" t="s">
        <v>38</v>
      </c>
      <c r="C110" s="10" t="s">
        <v>39</v>
      </c>
      <c r="D110" s="2" t="s">
        <v>126</v>
      </c>
      <c r="E110" s="2" t="s">
        <v>179</v>
      </c>
      <c r="F110" s="2">
        <v>2</v>
      </c>
      <c r="G110" s="2" t="s">
        <v>33</v>
      </c>
      <c r="H110" s="2" t="s">
        <v>188</v>
      </c>
      <c r="I110" s="11">
        <v>5286</v>
      </c>
      <c r="J110" s="11">
        <f t="shared" si="3"/>
        <v>1.0571999999999999E-3</v>
      </c>
    </row>
    <row r="111" spans="2:10">
      <c r="B111" s="10" t="s">
        <v>38</v>
      </c>
      <c r="C111" s="10" t="s">
        <v>39</v>
      </c>
      <c r="D111" s="2" t="s">
        <v>127</v>
      </c>
      <c r="E111" s="2" t="s">
        <v>179</v>
      </c>
      <c r="F111" s="2">
        <v>15</v>
      </c>
      <c r="G111" s="2" t="s">
        <v>33</v>
      </c>
      <c r="H111" s="2" t="s">
        <v>188</v>
      </c>
      <c r="I111" s="11">
        <v>1055</v>
      </c>
      <c r="J111" s="11">
        <f t="shared" si="3"/>
        <v>1.5824999999999999E-3</v>
      </c>
    </row>
    <row r="112" spans="2:10">
      <c r="B112" s="10" t="s">
        <v>38</v>
      </c>
      <c r="C112" s="10" t="s">
        <v>39</v>
      </c>
      <c r="D112" s="2" t="s">
        <v>128</v>
      </c>
      <c r="E112" s="2" t="s">
        <v>179</v>
      </c>
      <c r="F112" s="2">
        <v>2</v>
      </c>
      <c r="G112" s="2" t="s">
        <v>33</v>
      </c>
      <c r="H112" s="2" t="s">
        <v>188</v>
      </c>
      <c r="I112" s="11">
        <v>1055</v>
      </c>
      <c r="J112" s="11">
        <f t="shared" si="3"/>
        <v>2.1100000000000001E-4</v>
      </c>
    </row>
    <row r="113" spans="2:10">
      <c r="B113" s="10" t="s">
        <v>38</v>
      </c>
      <c r="C113" s="10" t="s">
        <v>39</v>
      </c>
      <c r="D113" s="2" t="s">
        <v>128</v>
      </c>
      <c r="E113" s="2" t="s">
        <v>179</v>
      </c>
      <c r="F113" s="2">
        <v>99</v>
      </c>
      <c r="G113" s="2" t="s">
        <v>33</v>
      </c>
      <c r="H113" s="2" t="s">
        <v>188</v>
      </c>
      <c r="I113" s="11">
        <v>1055</v>
      </c>
      <c r="J113" s="11">
        <f t="shared" si="3"/>
        <v>1.0444500000000001E-2</v>
      </c>
    </row>
    <row r="114" spans="2:10">
      <c r="B114" s="10" t="s">
        <v>38</v>
      </c>
      <c r="C114" s="10" t="s">
        <v>39</v>
      </c>
      <c r="D114" s="2" t="s">
        <v>129</v>
      </c>
      <c r="E114" s="2" t="s">
        <v>179</v>
      </c>
      <c r="F114" s="2">
        <v>4</v>
      </c>
      <c r="G114" s="2" t="s">
        <v>33</v>
      </c>
      <c r="H114" s="2" t="s">
        <v>188</v>
      </c>
      <c r="I114" s="11">
        <v>13355.09</v>
      </c>
      <c r="J114" s="11">
        <f t="shared" si="3"/>
        <v>5.3420359999999997E-3</v>
      </c>
    </row>
    <row r="115" spans="2:10">
      <c r="B115" s="10" t="s">
        <v>38</v>
      </c>
      <c r="C115" s="10" t="s">
        <v>39</v>
      </c>
      <c r="D115" s="2" t="s">
        <v>130</v>
      </c>
      <c r="E115" s="2" t="s">
        <v>179</v>
      </c>
      <c r="F115" s="2">
        <v>1</v>
      </c>
      <c r="G115" s="2" t="s">
        <v>33</v>
      </c>
      <c r="H115" s="2" t="s">
        <v>188</v>
      </c>
      <c r="I115" s="11">
        <v>13355.09</v>
      </c>
      <c r="J115" s="11">
        <f t="shared" si="3"/>
        <v>1.3355089999999999E-3</v>
      </c>
    </row>
    <row r="116" spans="2:10">
      <c r="B116" s="10" t="s">
        <v>38</v>
      </c>
      <c r="C116" s="10" t="s">
        <v>39</v>
      </c>
      <c r="D116" s="2" t="s">
        <v>131</v>
      </c>
      <c r="E116" s="2" t="s">
        <v>179</v>
      </c>
      <c r="F116" s="2">
        <v>1</v>
      </c>
      <c r="G116" s="2" t="s">
        <v>33</v>
      </c>
      <c r="H116" s="2" t="s">
        <v>188</v>
      </c>
      <c r="I116" s="11">
        <v>13355.09</v>
      </c>
      <c r="J116" s="11">
        <f t="shared" si="3"/>
        <v>1.3355089999999999E-3</v>
      </c>
    </row>
    <row r="117" spans="2:10">
      <c r="B117" s="10" t="s">
        <v>38</v>
      </c>
      <c r="C117" s="10" t="s">
        <v>39</v>
      </c>
      <c r="D117" s="2" t="s">
        <v>132</v>
      </c>
      <c r="E117" s="2" t="s">
        <v>179</v>
      </c>
      <c r="F117" s="2">
        <v>1</v>
      </c>
      <c r="G117" s="2" t="s">
        <v>33</v>
      </c>
      <c r="H117" s="2" t="s">
        <v>188</v>
      </c>
      <c r="I117" s="11">
        <v>7448.04</v>
      </c>
      <c r="J117" s="11">
        <f t="shared" si="3"/>
        <v>7.4480399999999995E-4</v>
      </c>
    </row>
    <row r="118" spans="2:10">
      <c r="B118" s="10" t="s">
        <v>38</v>
      </c>
      <c r="C118" s="10" t="s">
        <v>39</v>
      </c>
      <c r="D118" s="2" t="s">
        <v>133</v>
      </c>
      <c r="E118" s="2" t="s">
        <v>179</v>
      </c>
      <c r="F118" s="2">
        <v>10</v>
      </c>
      <c r="G118" s="2" t="s">
        <v>33</v>
      </c>
      <c r="H118" s="2" t="s">
        <v>188</v>
      </c>
      <c r="I118" s="11">
        <v>10886.99</v>
      </c>
      <c r="J118" s="11">
        <f t="shared" si="3"/>
        <v>1.0886989999999999E-2</v>
      </c>
    </row>
    <row r="119" spans="2:10">
      <c r="B119" s="10" t="s">
        <v>38</v>
      </c>
      <c r="C119" s="10" t="s">
        <v>39</v>
      </c>
      <c r="D119" s="2" t="s">
        <v>134</v>
      </c>
      <c r="E119" s="2" t="s">
        <v>179</v>
      </c>
      <c r="F119" s="2">
        <v>37</v>
      </c>
      <c r="G119" s="2" t="s">
        <v>33</v>
      </c>
      <c r="H119" s="2" t="s">
        <v>188</v>
      </c>
      <c r="I119" s="11">
        <v>7448.04</v>
      </c>
      <c r="J119" s="11">
        <f t="shared" si="3"/>
        <v>2.7557747999999996E-2</v>
      </c>
    </row>
    <row r="120" spans="2:10">
      <c r="B120" s="10" t="s">
        <v>38</v>
      </c>
      <c r="C120" s="10" t="s">
        <v>39</v>
      </c>
      <c r="D120" s="2" t="s">
        <v>135</v>
      </c>
      <c r="E120" s="2" t="s">
        <v>179</v>
      </c>
      <c r="F120" s="2">
        <v>2</v>
      </c>
      <c r="G120" s="2" t="s">
        <v>33</v>
      </c>
      <c r="H120" s="2" t="s">
        <v>188</v>
      </c>
      <c r="I120" s="11">
        <v>1055</v>
      </c>
      <c r="J120" s="11">
        <f t="shared" si="3"/>
        <v>2.1100000000000001E-4</v>
      </c>
    </row>
    <row r="121" spans="2:10">
      <c r="B121" s="10" t="s">
        <v>38</v>
      </c>
      <c r="C121" s="10" t="s">
        <v>39</v>
      </c>
      <c r="D121" s="2" t="s">
        <v>136</v>
      </c>
      <c r="E121" s="2" t="s">
        <v>180</v>
      </c>
      <c r="F121" s="2">
        <v>18</v>
      </c>
      <c r="G121" s="2" t="s">
        <v>33</v>
      </c>
      <c r="H121" s="2" t="s">
        <v>192</v>
      </c>
      <c r="I121" s="11"/>
      <c r="J121" s="11">
        <f t="shared" si="3"/>
        <v>0</v>
      </c>
    </row>
    <row r="122" spans="2:10">
      <c r="B122" s="10" t="s">
        <v>38</v>
      </c>
      <c r="C122" s="10" t="s">
        <v>39</v>
      </c>
      <c r="D122" s="2" t="s">
        <v>137</v>
      </c>
      <c r="E122" s="2" t="s">
        <v>180</v>
      </c>
      <c r="F122" s="2">
        <v>30</v>
      </c>
      <c r="G122" s="2" t="s">
        <v>33</v>
      </c>
      <c r="H122" s="2" t="s">
        <v>192</v>
      </c>
      <c r="I122" s="11"/>
      <c r="J122" s="11">
        <f t="shared" si="3"/>
        <v>0</v>
      </c>
    </row>
    <row r="123" spans="2:10">
      <c r="B123" s="10" t="s">
        <v>38</v>
      </c>
      <c r="C123" s="10" t="s">
        <v>39</v>
      </c>
      <c r="D123" s="2" t="s">
        <v>138</v>
      </c>
      <c r="E123" s="2" t="s">
        <v>181</v>
      </c>
      <c r="F123" s="2">
        <v>180</v>
      </c>
      <c r="G123" s="2" t="s">
        <v>182</v>
      </c>
      <c r="H123" s="2" t="s">
        <v>193</v>
      </c>
      <c r="I123" s="11">
        <v>2568.06</v>
      </c>
      <c r="J123" s="11">
        <f t="shared" si="3"/>
        <v>4.6225080000000002E-2</v>
      </c>
    </row>
    <row r="124" spans="2:10">
      <c r="B124" s="10" t="s">
        <v>38</v>
      </c>
      <c r="C124" s="10" t="s">
        <v>39</v>
      </c>
      <c r="D124" s="2" t="s">
        <v>139</v>
      </c>
      <c r="E124" s="2" t="s">
        <v>181</v>
      </c>
      <c r="F124" s="2">
        <v>42</v>
      </c>
      <c r="G124" s="2" t="s">
        <v>182</v>
      </c>
      <c r="H124" s="2" t="s">
        <v>193</v>
      </c>
      <c r="I124" s="11">
        <v>2288</v>
      </c>
      <c r="J124" s="11">
        <f t="shared" si="3"/>
        <v>9.6095999999999994E-3</v>
      </c>
    </row>
    <row r="125" spans="2:10">
      <c r="B125" s="10" t="s">
        <v>38</v>
      </c>
      <c r="C125" s="10" t="s">
        <v>39</v>
      </c>
      <c r="D125" s="2" t="s">
        <v>140</v>
      </c>
      <c r="E125" s="2" t="s">
        <v>181</v>
      </c>
      <c r="F125" s="2">
        <v>30</v>
      </c>
      <c r="G125" s="2" t="s">
        <v>182</v>
      </c>
      <c r="H125" s="2" t="s">
        <v>193</v>
      </c>
      <c r="I125" s="11">
        <v>3406</v>
      </c>
      <c r="J125" s="11">
        <f t="shared" si="3"/>
        <v>1.0218E-2</v>
      </c>
    </row>
    <row r="126" spans="2:10">
      <c r="B126" s="10" t="s">
        <v>38</v>
      </c>
      <c r="C126" s="10" t="s">
        <v>39</v>
      </c>
      <c r="D126" s="2" t="s">
        <v>141</v>
      </c>
      <c r="E126" s="2" t="s">
        <v>183</v>
      </c>
      <c r="F126" s="2">
        <v>60</v>
      </c>
      <c r="G126" s="2" t="s">
        <v>184</v>
      </c>
      <c r="H126" s="2" t="s">
        <v>194</v>
      </c>
      <c r="I126" s="11">
        <v>100.61</v>
      </c>
      <c r="J126" s="11">
        <f t="shared" si="3"/>
        <v>6.0366E-4</v>
      </c>
    </row>
    <row r="127" spans="2:10">
      <c r="B127" s="10" t="s">
        <v>38</v>
      </c>
      <c r="C127" s="10" t="s">
        <v>39</v>
      </c>
      <c r="D127" s="2" t="s">
        <v>142</v>
      </c>
      <c r="E127" s="2" t="s">
        <v>185</v>
      </c>
      <c r="F127" s="2">
        <v>2500</v>
      </c>
      <c r="G127" s="2" t="s">
        <v>33</v>
      </c>
      <c r="H127" s="2" t="s">
        <v>195</v>
      </c>
      <c r="I127" s="11">
        <v>66.39</v>
      </c>
      <c r="J127" s="11">
        <f t="shared" si="3"/>
        <v>1.6597500000000001E-2</v>
      </c>
    </row>
    <row r="128" spans="2:10">
      <c r="B128" s="10" t="s">
        <v>38</v>
      </c>
      <c r="C128" s="10" t="s">
        <v>39</v>
      </c>
      <c r="D128" s="2" t="s">
        <v>143</v>
      </c>
      <c r="E128" s="2" t="s">
        <v>185</v>
      </c>
      <c r="F128" s="2">
        <v>200</v>
      </c>
      <c r="G128" s="2" t="s">
        <v>33</v>
      </c>
      <c r="H128" s="2" t="s">
        <v>195</v>
      </c>
      <c r="I128" s="11">
        <v>66.39</v>
      </c>
      <c r="J128" s="11">
        <f t="shared" si="3"/>
        <v>1.3278000000000001E-3</v>
      </c>
    </row>
    <row r="129" spans="2:10">
      <c r="B129" s="10" t="s">
        <v>38</v>
      </c>
      <c r="C129" s="10" t="s">
        <v>39</v>
      </c>
      <c r="D129" s="2" t="s">
        <v>144</v>
      </c>
      <c r="E129" s="2" t="s">
        <v>185</v>
      </c>
      <c r="F129" s="2">
        <v>70</v>
      </c>
      <c r="G129" s="2" t="s">
        <v>33</v>
      </c>
      <c r="H129" s="2" t="s">
        <v>195</v>
      </c>
      <c r="I129" s="11">
        <v>41.51</v>
      </c>
      <c r="J129" s="11">
        <f t="shared" si="3"/>
        <v>2.9056999999999998E-4</v>
      </c>
    </row>
    <row r="130" spans="2:10">
      <c r="B130" s="10" t="s">
        <v>38</v>
      </c>
      <c r="C130" s="10" t="s">
        <v>39</v>
      </c>
      <c r="D130" s="2" t="s">
        <v>145</v>
      </c>
      <c r="E130" s="2" t="s">
        <v>185</v>
      </c>
      <c r="F130" s="2">
        <v>131</v>
      </c>
      <c r="G130" s="2" t="s">
        <v>33</v>
      </c>
      <c r="H130" s="2" t="s">
        <v>196</v>
      </c>
      <c r="I130" s="11">
        <v>181.13</v>
      </c>
      <c r="J130" s="11">
        <f t="shared" ref="J130:J161" si="4">(I130*F130)/10000000</f>
        <v>2.3728029999999997E-3</v>
      </c>
    </row>
    <row r="131" spans="2:10">
      <c r="B131" s="10" t="s">
        <v>38</v>
      </c>
      <c r="C131" s="10" t="s">
        <v>39</v>
      </c>
      <c r="D131" s="2" t="s">
        <v>146</v>
      </c>
      <c r="E131" s="2" t="s">
        <v>185</v>
      </c>
      <c r="F131" s="2">
        <v>25</v>
      </c>
      <c r="G131" s="2" t="s">
        <v>33</v>
      </c>
      <c r="H131" s="2" t="s">
        <v>195</v>
      </c>
      <c r="I131" s="11">
        <v>108.6</v>
      </c>
      <c r="J131" s="11">
        <f t="shared" si="4"/>
        <v>2.7149999999999999E-4</v>
      </c>
    </row>
    <row r="132" spans="2:10">
      <c r="B132" s="10" t="s">
        <v>38</v>
      </c>
      <c r="C132" s="10" t="s">
        <v>39</v>
      </c>
      <c r="D132" s="2" t="s">
        <v>147</v>
      </c>
      <c r="E132" s="2" t="s">
        <v>185</v>
      </c>
      <c r="F132" s="2">
        <v>1000</v>
      </c>
      <c r="G132" s="2" t="s">
        <v>33</v>
      </c>
      <c r="H132" s="2" t="s">
        <v>195</v>
      </c>
      <c r="I132" s="11">
        <v>108.6</v>
      </c>
      <c r="J132" s="11">
        <f t="shared" si="4"/>
        <v>1.086E-2</v>
      </c>
    </row>
    <row r="133" spans="2:10">
      <c r="B133" s="10" t="s">
        <v>38</v>
      </c>
      <c r="C133" s="10" t="s">
        <v>39</v>
      </c>
      <c r="D133" s="2" t="s">
        <v>148</v>
      </c>
      <c r="E133" s="2" t="s">
        <v>186</v>
      </c>
      <c r="F133" s="2">
        <v>710</v>
      </c>
      <c r="G133" s="2" t="s">
        <v>33</v>
      </c>
      <c r="H133" s="2" t="s">
        <v>197</v>
      </c>
      <c r="I133" s="11">
        <v>40</v>
      </c>
      <c r="J133" s="11">
        <f t="shared" si="4"/>
        <v>2.8400000000000001E-3</v>
      </c>
    </row>
    <row r="134" spans="2:10">
      <c r="B134" s="10" t="s">
        <v>38</v>
      </c>
      <c r="C134" s="10" t="s">
        <v>39</v>
      </c>
      <c r="D134" s="2" t="s">
        <v>149</v>
      </c>
      <c r="E134" s="2" t="s">
        <v>186</v>
      </c>
      <c r="F134" s="2">
        <v>2</v>
      </c>
      <c r="G134" s="2" t="s">
        <v>33</v>
      </c>
      <c r="H134" s="2" t="s">
        <v>197</v>
      </c>
      <c r="I134" s="11">
        <v>88</v>
      </c>
      <c r="J134" s="11">
        <f t="shared" si="4"/>
        <v>1.7600000000000001E-5</v>
      </c>
    </row>
    <row r="135" spans="2:10">
      <c r="B135" s="10" t="s">
        <v>38</v>
      </c>
      <c r="C135" s="10" t="s">
        <v>39</v>
      </c>
      <c r="D135" s="2" t="s">
        <v>150</v>
      </c>
      <c r="E135" s="2" t="s">
        <v>186</v>
      </c>
      <c r="F135" s="2">
        <v>13</v>
      </c>
      <c r="G135" s="2" t="s">
        <v>33</v>
      </c>
      <c r="H135" s="2" t="s">
        <v>197</v>
      </c>
      <c r="I135" s="11"/>
      <c r="J135" s="11">
        <f t="shared" si="4"/>
        <v>0</v>
      </c>
    </row>
    <row r="136" spans="2:10">
      <c r="B136" s="10" t="s">
        <v>38</v>
      </c>
      <c r="C136" s="10" t="s">
        <v>39</v>
      </c>
      <c r="D136" s="2" t="s">
        <v>151</v>
      </c>
      <c r="E136" s="2" t="s">
        <v>186</v>
      </c>
      <c r="F136" s="2">
        <v>555</v>
      </c>
      <c r="G136" s="2" t="s">
        <v>33</v>
      </c>
      <c r="H136" s="2" t="s">
        <v>197</v>
      </c>
      <c r="I136" s="11"/>
      <c r="J136" s="11">
        <f t="shared" si="4"/>
        <v>0</v>
      </c>
    </row>
    <row r="137" spans="2:10">
      <c r="B137" s="10" t="s">
        <v>38</v>
      </c>
      <c r="C137" s="10" t="s">
        <v>39</v>
      </c>
      <c r="D137" s="2" t="s">
        <v>152</v>
      </c>
      <c r="E137" s="2" t="s">
        <v>186</v>
      </c>
      <c r="F137" s="2">
        <v>2570</v>
      </c>
      <c r="G137" s="2" t="s">
        <v>33</v>
      </c>
      <c r="H137" s="2" t="s">
        <v>197</v>
      </c>
      <c r="I137" s="11"/>
      <c r="J137" s="11">
        <f t="shared" si="4"/>
        <v>0</v>
      </c>
    </row>
    <row r="138" spans="2:10">
      <c r="B138" s="10" t="s">
        <v>38</v>
      </c>
      <c r="C138" s="10" t="s">
        <v>39</v>
      </c>
      <c r="D138" s="2" t="s">
        <v>153</v>
      </c>
      <c r="E138" s="2" t="s">
        <v>186</v>
      </c>
      <c r="F138" s="2">
        <v>445</v>
      </c>
      <c r="G138" s="2" t="s">
        <v>33</v>
      </c>
      <c r="H138" s="2" t="s">
        <v>197</v>
      </c>
      <c r="I138" s="11"/>
      <c r="J138" s="11">
        <f t="shared" si="4"/>
        <v>0</v>
      </c>
    </row>
    <row r="139" spans="2:10">
      <c r="B139" s="10" t="s">
        <v>38</v>
      </c>
      <c r="C139" s="10" t="s">
        <v>39</v>
      </c>
      <c r="D139" s="2" t="s">
        <v>154</v>
      </c>
      <c r="E139" s="2" t="s">
        <v>186</v>
      </c>
      <c r="F139" s="2">
        <v>1140</v>
      </c>
      <c r="G139" s="2" t="s">
        <v>33</v>
      </c>
      <c r="H139" s="2" t="s">
        <v>197</v>
      </c>
      <c r="I139" s="11"/>
      <c r="J139" s="11">
        <f t="shared" si="4"/>
        <v>0</v>
      </c>
    </row>
    <row r="140" spans="2:10">
      <c r="B140" s="10" t="s">
        <v>38</v>
      </c>
      <c r="C140" s="10" t="s">
        <v>39</v>
      </c>
      <c r="D140" s="2" t="s">
        <v>155</v>
      </c>
      <c r="E140" s="2" t="s">
        <v>186</v>
      </c>
      <c r="F140" s="2">
        <v>160</v>
      </c>
      <c r="G140" s="2" t="s">
        <v>33</v>
      </c>
      <c r="H140" s="2" t="s">
        <v>197</v>
      </c>
      <c r="I140" s="11"/>
      <c r="J140" s="11">
        <f t="shared" si="4"/>
        <v>0</v>
      </c>
    </row>
    <row r="141" spans="2:10">
      <c r="B141" s="10" t="s">
        <v>38</v>
      </c>
      <c r="C141" s="10" t="s">
        <v>39</v>
      </c>
      <c r="D141" s="2" t="s">
        <v>156</v>
      </c>
      <c r="E141" s="2" t="s">
        <v>186</v>
      </c>
      <c r="F141" s="2">
        <v>8</v>
      </c>
      <c r="G141" s="2" t="s">
        <v>33</v>
      </c>
      <c r="H141" s="2" t="s">
        <v>197</v>
      </c>
      <c r="I141" s="11"/>
      <c r="J141" s="11">
        <f t="shared" si="4"/>
        <v>0</v>
      </c>
    </row>
    <row r="142" spans="2:10">
      <c r="B142" s="10" t="s">
        <v>38</v>
      </c>
      <c r="C142" s="10" t="s">
        <v>39</v>
      </c>
      <c r="D142" s="2" t="s">
        <v>157</v>
      </c>
      <c r="E142" s="2" t="s">
        <v>186</v>
      </c>
      <c r="F142" s="2">
        <v>1640</v>
      </c>
      <c r="G142" s="2" t="s">
        <v>33</v>
      </c>
      <c r="H142" s="2" t="s">
        <v>197</v>
      </c>
      <c r="I142" s="11"/>
      <c r="J142" s="11">
        <f t="shared" si="4"/>
        <v>0</v>
      </c>
    </row>
    <row r="143" spans="2:10">
      <c r="B143" s="10" t="s">
        <v>38</v>
      </c>
      <c r="C143" s="10" t="s">
        <v>39</v>
      </c>
      <c r="D143" s="2" t="s">
        <v>158</v>
      </c>
      <c r="E143" s="2" t="s">
        <v>186</v>
      </c>
      <c r="F143" s="2">
        <v>720</v>
      </c>
      <c r="G143" s="2" t="s">
        <v>33</v>
      </c>
      <c r="H143" s="2" t="s">
        <v>197</v>
      </c>
      <c r="I143" s="11"/>
      <c r="J143" s="11">
        <f t="shared" si="4"/>
        <v>0</v>
      </c>
    </row>
    <row r="144" spans="2:10">
      <c r="B144" s="10" t="s">
        <v>38</v>
      </c>
      <c r="C144" s="10" t="s">
        <v>39</v>
      </c>
      <c r="D144" s="2" t="s">
        <v>159</v>
      </c>
      <c r="E144" s="2" t="s">
        <v>186</v>
      </c>
      <c r="F144" s="2">
        <v>255</v>
      </c>
      <c r="G144" s="2" t="s">
        <v>33</v>
      </c>
      <c r="H144" s="2" t="s">
        <v>197</v>
      </c>
      <c r="I144" s="11"/>
      <c r="J144" s="11">
        <f t="shared" si="4"/>
        <v>0</v>
      </c>
    </row>
    <row r="145" spans="2:10">
      <c r="B145" s="10" t="s">
        <v>38</v>
      </c>
      <c r="C145" s="10" t="s">
        <v>39</v>
      </c>
      <c r="D145" s="2" t="s">
        <v>160</v>
      </c>
      <c r="E145" s="2" t="s">
        <v>186</v>
      </c>
      <c r="F145" s="2">
        <v>245</v>
      </c>
      <c r="G145" s="2" t="s">
        <v>33</v>
      </c>
      <c r="H145" s="2" t="s">
        <v>197</v>
      </c>
      <c r="I145" s="11"/>
      <c r="J145" s="11">
        <f t="shared" si="4"/>
        <v>0</v>
      </c>
    </row>
    <row r="146" spans="2:10">
      <c r="B146" s="10" t="s">
        <v>38</v>
      </c>
      <c r="C146" s="10" t="s">
        <v>39</v>
      </c>
      <c r="D146" s="2" t="s">
        <v>161</v>
      </c>
      <c r="E146" s="2" t="s">
        <v>186</v>
      </c>
      <c r="F146" s="2">
        <v>302</v>
      </c>
      <c r="G146" s="2" t="s">
        <v>33</v>
      </c>
      <c r="H146" s="2" t="s">
        <v>197</v>
      </c>
      <c r="I146" s="11"/>
      <c r="J146" s="11">
        <f t="shared" si="4"/>
        <v>0</v>
      </c>
    </row>
    <row r="147" spans="2:10">
      <c r="B147" s="10" t="s">
        <v>38</v>
      </c>
      <c r="C147" s="10" t="s">
        <v>39</v>
      </c>
      <c r="D147" s="2" t="s">
        <v>162</v>
      </c>
      <c r="E147" s="2" t="s">
        <v>186</v>
      </c>
      <c r="F147" s="2">
        <v>190</v>
      </c>
      <c r="G147" s="2" t="s">
        <v>33</v>
      </c>
      <c r="H147" s="2" t="s">
        <v>197</v>
      </c>
      <c r="I147" s="11"/>
      <c r="J147" s="11">
        <f t="shared" si="4"/>
        <v>0</v>
      </c>
    </row>
    <row r="148" spans="2:10">
      <c r="B148" s="10" t="s">
        <v>38</v>
      </c>
      <c r="C148" s="10" t="s">
        <v>39</v>
      </c>
      <c r="D148" s="2" t="s">
        <v>163</v>
      </c>
      <c r="E148" s="2" t="s">
        <v>186</v>
      </c>
      <c r="F148" s="2">
        <v>31</v>
      </c>
      <c r="G148" s="2" t="s">
        <v>33</v>
      </c>
      <c r="H148" s="2" t="s">
        <v>197</v>
      </c>
      <c r="I148" s="11"/>
      <c r="J148" s="11">
        <f t="shared" si="4"/>
        <v>0</v>
      </c>
    </row>
    <row r="149" spans="2:10">
      <c r="B149" s="10" t="s">
        <v>38</v>
      </c>
      <c r="C149" s="10" t="s">
        <v>39</v>
      </c>
      <c r="D149" s="2" t="s">
        <v>164</v>
      </c>
      <c r="E149" s="2" t="s">
        <v>186</v>
      </c>
      <c r="F149" s="2">
        <v>620</v>
      </c>
      <c r="G149" s="2" t="s">
        <v>33</v>
      </c>
      <c r="H149" s="2" t="s">
        <v>197</v>
      </c>
      <c r="I149" s="11">
        <v>90</v>
      </c>
      <c r="J149" s="11">
        <f t="shared" si="4"/>
        <v>5.5799999999999999E-3</v>
      </c>
    </row>
    <row r="150" spans="2:10">
      <c r="B150" s="10" t="s">
        <v>38</v>
      </c>
      <c r="C150" s="10" t="s">
        <v>39</v>
      </c>
      <c r="D150" s="2" t="s">
        <v>165</v>
      </c>
      <c r="E150" s="2" t="s">
        <v>186</v>
      </c>
      <c r="F150" s="2">
        <v>1389</v>
      </c>
      <c r="G150" s="2" t="s">
        <v>33</v>
      </c>
      <c r="H150" s="2" t="s">
        <v>197</v>
      </c>
      <c r="I150" s="11">
        <v>90</v>
      </c>
      <c r="J150" s="11">
        <f t="shared" si="4"/>
        <v>1.2501E-2</v>
      </c>
    </row>
    <row r="151" spans="2:10">
      <c r="B151" s="10" t="s">
        <v>38</v>
      </c>
      <c r="C151" s="10" t="s">
        <v>39</v>
      </c>
      <c r="D151" s="2" t="s">
        <v>166</v>
      </c>
      <c r="E151" s="2" t="s">
        <v>186</v>
      </c>
      <c r="F151" s="2">
        <v>135</v>
      </c>
      <c r="G151" s="2" t="s">
        <v>33</v>
      </c>
      <c r="H151" s="2" t="s">
        <v>197</v>
      </c>
      <c r="I151" s="11">
        <v>120</v>
      </c>
      <c r="J151" s="11">
        <f t="shared" si="4"/>
        <v>1.6199999999999999E-3</v>
      </c>
    </row>
    <row r="152" spans="2:10">
      <c r="B152" s="10" t="s">
        <v>38</v>
      </c>
      <c r="C152" s="10" t="s">
        <v>39</v>
      </c>
      <c r="D152" s="2" t="s">
        <v>167</v>
      </c>
      <c r="E152" s="2" t="s">
        <v>186</v>
      </c>
      <c r="F152" s="2">
        <v>159</v>
      </c>
      <c r="G152" s="2" t="s">
        <v>33</v>
      </c>
      <c r="H152" s="2" t="s">
        <v>197</v>
      </c>
      <c r="I152" s="11">
        <v>120</v>
      </c>
      <c r="J152" s="11">
        <f t="shared" si="4"/>
        <v>1.908E-3</v>
      </c>
    </row>
    <row r="153" spans="2:10">
      <c r="B153" s="10" t="s">
        <v>38</v>
      </c>
      <c r="C153" s="10" t="s">
        <v>39</v>
      </c>
      <c r="D153" s="2" t="s">
        <v>168</v>
      </c>
      <c r="E153" s="2" t="s">
        <v>186</v>
      </c>
      <c r="F153" s="2">
        <v>145</v>
      </c>
      <c r="G153" s="2" t="s">
        <v>33</v>
      </c>
      <c r="H153" s="2" t="s">
        <v>197</v>
      </c>
      <c r="I153" s="11">
        <v>160</v>
      </c>
      <c r="J153" s="11">
        <f t="shared" si="4"/>
        <v>2.32E-3</v>
      </c>
    </row>
    <row r="154" spans="2:10">
      <c r="B154" s="10" t="s">
        <v>38</v>
      </c>
      <c r="C154" s="10" t="s">
        <v>39</v>
      </c>
      <c r="D154" s="2" t="s">
        <v>169</v>
      </c>
      <c r="E154" s="2" t="s">
        <v>186</v>
      </c>
      <c r="F154" s="2">
        <v>25</v>
      </c>
      <c r="G154" s="2" t="s">
        <v>33</v>
      </c>
      <c r="H154" s="2" t="s">
        <v>197</v>
      </c>
      <c r="I154" s="11">
        <v>190</v>
      </c>
      <c r="J154" s="11">
        <f t="shared" si="4"/>
        <v>4.75E-4</v>
      </c>
    </row>
    <row r="155" spans="2:10">
      <c r="B155" s="10" t="s">
        <v>38</v>
      </c>
      <c r="C155" s="10" t="s">
        <v>39</v>
      </c>
      <c r="D155" s="2" t="s">
        <v>170</v>
      </c>
      <c r="E155" s="2" t="s">
        <v>187</v>
      </c>
      <c r="F155" s="2">
        <v>215</v>
      </c>
      <c r="G155" s="2" t="s">
        <v>33</v>
      </c>
      <c r="H155" s="2" t="s">
        <v>196</v>
      </c>
      <c r="I155" s="11">
        <v>328.53</v>
      </c>
      <c r="J155" s="11">
        <f>(I155*F155)/10000000</f>
        <v>7.0633950000000001E-3</v>
      </c>
    </row>
    <row r="156" spans="2:10">
      <c r="B156" s="10" t="s">
        <v>38</v>
      </c>
      <c r="C156" s="10" t="s">
        <v>39</v>
      </c>
      <c r="D156" s="2" t="s">
        <v>171</v>
      </c>
      <c r="E156" s="2" t="s">
        <v>187</v>
      </c>
      <c r="F156" s="2">
        <v>11</v>
      </c>
      <c r="G156" s="2" t="s">
        <v>33</v>
      </c>
      <c r="H156" s="2" t="s">
        <v>196</v>
      </c>
      <c r="I156" s="11">
        <v>461.38</v>
      </c>
      <c r="J156" s="11">
        <f t="shared" si="4"/>
        <v>5.0751799999999999E-4</v>
      </c>
    </row>
    <row r="157" spans="2:10">
      <c r="B157" s="10" t="s">
        <v>38</v>
      </c>
      <c r="C157" s="10" t="s">
        <v>39</v>
      </c>
      <c r="D157" s="2" t="s">
        <v>172</v>
      </c>
      <c r="E157" s="2" t="s">
        <v>187</v>
      </c>
      <c r="F157" s="2">
        <v>7</v>
      </c>
      <c r="G157" s="2" t="s">
        <v>33</v>
      </c>
      <c r="H157" s="2" t="s">
        <v>196</v>
      </c>
      <c r="I157" s="11">
        <v>461.38</v>
      </c>
      <c r="J157" s="11">
        <f t="shared" si="4"/>
        <v>3.22966E-4</v>
      </c>
    </row>
    <row r="158" spans="2:10">
      <c r="B158" s="10" t="s">
        <v>38</v>
      </c>
      <c r="C158" s="10" t="s">
        <v>39</v>
      </c>
      <c r="D158" s="2" t="s">
        <v>173</v>
      </c>
      <c r="E158" s="2" t="s">
        <v>187</v>
      </c>
      <c r="F158" s="2">
        <v>45</v>
      </c>
      <c r="G158" s="2" t="s">
        <v>33</v>
      </c>
      <c r="H158" s="2" t="s">
        <v>196</v>
      </c>
      <c r="I158" s="11">
        <v>461.38</v>
      </c>
      <c r="J158" s="11">
        <f t="shared" si="4"/>
        <v>2.0762099999999998E-3</v>
      </c>
    </row>
    <row r="159" spans="2:10">
      <c r="B159" s="10" t="s">
        <v>38</v>
      </c>
      <c r="C159" s="10" t="s">
        <v>39</v>
      </c>
      <c r="D159" s="2" t="s">
        <v>174</v>
      </c>
      <c r="E159" s="2" t="s">
        <v>187</v>
      </c>
      <c r="F159" s="2">
        <v>1098</v>
      </c>
      <c r="G159" s="2" t="s">
        <v>33</v>
      </c>
      <c r="H159" s="2" t="s">
        <v>196</v>
      </c>
      <c r="I159" s="11">
        <v>461.38</v>
      </c>
      <c r="J159" s="11">
        <f t="shared" si="4"/>
        <v>5.0659523999999997E-2</v>
      </c>
    </row>
    <row r="160" spans="2:10">
      <c r="B160" s="10" t="s">
        <v>38</v>
      </c>
      <c r="C160" s="10" t="s">
        <v>39</v>
      </c>
      <c r="D160" s="2" t="s">
        <v>175</v>
      </c>
      <c r="E160" s="2" t="s">
        <v>187</v>
      </c>
      <c r="F160" s="2">
        <v>1534</v>
      </c>
      <c r="G160" s="2" t="s">
        <v>33</v>
      </c>
      <c r="H160" s="2" t="s">
        <v>196</v>
      </c>
      <c r="I160" s="11">
        <v>461.38</v>
      </c>
      <c r="J160" s="11">
        <f t="shared" si="4"/>
        <v>7.0775692000000001E-2</v>
      </c>
    </row>
    <row r="161" spans="2:10">
      <c r="B161" s="10" t="s">
        <v>38</v>
      </c>
      <c r="C161" s="10" t="s">
        <v>39</v>
      </c>
      <c r="D161" s="2" t="s">
        <v>176</v>
      </c>
      <c r="E161" s="2" t="s">
        <v>187</v>
      </c>
      <c r="F161" s="2">
        <v>69</v>
      </c>
      <c r="G161" s="2" t="s">
        <v>33</v>
      </c>
      <c r="H161" s="2" t="s">
        <v>198</v>
      </c>
      <c r="I161" s="11">
        <v>461.38</v>
      </c>
      <c r="J161" s="11">
        <f t="shared" si="4"/>
        <v>3.1835220000000003E-3</v>
      </c>
    </row>
    <row r="162" spans="2:10">
      <c r="B162" s="10" t="s">
        <v>38</v>
      </c>
      <c r="C162" s="10" t="s">
        <v>39</v>
      </c>
      <c r="D162" s="2" t="s">
        <v>177</v>
      </c>
      <c r="E162" s="2" t="s">
        <v>187</v>
      </c>
      <c r="F162" s="2">
        <v>558</v>
      </c>
      <c r="G162" s="2" t="s">
        <v>33</v>
      </c>
      <c r="H162" s="2" t="s">
        <v>196</v>
      </c>
      <c r="I162" s="11">
        <v>243.46</v>
      </c>
      <c r="J162" s="11">
        <f t="shared" ref="J162:J163" si="5">(I162*F162)/10000000</f>
        <v>1.3585067999999999E-2</v>
      </c>
    </row>
    <row r="163" spans="2:10">
      <c r="B163" s="10" t="s">
        <v>38</v>
      </c>
      <c r="C163" s="10" t="s">
        <v>39</v>
      </c>
      <c r="D163" s="2" t="s">
        <v>178</v>
      </c>
      <c r="E163" s="2" t="s">
        <v>187</v>
      </c>
      <c r="F163" s="2">
        <v>264</v>
      </c>
      <c r="G163" s="2" t="s">
        <v>33</v>
      </c>
      <c r="H163" s="2" t="s">
        <v>196</v>
      </c>
      <c r="I163" s="11">
        <v>243.46</v>
      </c>
      <c r="J163" s="11">
        <f t="shared" si="5"/>
        <v>6.4273440000000006E-3</v>
      </c>
    </row>
    <row r="164" spans="2:10">
      <c r="B164" s="10"/>
      <c r="C164" s="10"/>
      <c r="D164" s="10"/>
      <c r="E164" s="10"/>
      <c r="F164" s="10"/>
      <c r="G164" s="10"/>
      <c r="H164" s="96" t="s">
        <v>970</v>
      </c>
      <c r="I164" s="97"/>
      <c r="J164" s="52">
        <f>SUM(J2:J163)</f>
        <v>1.4196982980000004</v>
      </c>
    </row>
  </sheetData>
  <mergeCells count="1">
    <mergeCell ref="H164:I16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F8D9-5144-4217-959A-F3A36DBF16AA}">
  <dimension ref="A1:J8"/>
  <sheetViews>
    <sheetView workbookViewId="0">
      <selection activeCell="B2" sqref="B2:J8"/>
    </sheetView>
  </sheetViews>
  <sheetFormatPr defaultRowHeight="14.5"/>
  <cols>
    <col min="2" max="2" width="11.54296875" bestFit="1" customWidth="1"/>
    <col min="3" max="3" width="27.1796875" bestFit="1" customWidth="1"/>
    <col min="4" max="4" width="39.81640625" bestFit="1" customWidth="1"/>
    <col min="5" max="5" width="13.7265625" customWidth="1"/>
    <col min="9" max="9" width="11.36328125" bestFit="1" customWidth="1"/>
    <col min="10" max="10" width="8.81640625" bestFit="1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58">
      <c r="B2" s="10" t="s">
        <v>210</v>
      </c>
      <c r="C2" s="10" t="s">
        <v>211</v>
      </c>
      <c r="D2" s="2" t="s">
        <v>199</v>
      </c>
      <c r="E2" s="36" t="s">
        <v>205</v>
      </c>
      <c r="F2" s="2">
        <v>1</v>
      </c>
      <c r="G2" s="2" t="s">
        <v>33</v>
      </c>
      <c r="H2" s="2" t="s">
        <v>206</v>
      </c>
      <c r="I2" s="12">
        <v>83838</v>
      </c>
      <c r="J2" s="12">
        <f t="shared" ref="J2:J7" si="0">(I2*F2)/10000000</f>
        <v>8.3838000000000003E-3</v>
      </c>
    </row>
    <row r="3" spans="1:10" ht="58">
      <c r="B3" s="10" t="s">
        <v>210</v>
      </c>
      <c r="C3" s="10" t="s">
        <v>211</v>
      </c>
      <c r="D3" s="2" t="s">
        <v>200</v>
      </c>
      <c r="E3" s="36" t="s">
        <v>205</v>
      </c>
      <c r="F3" s="2">
        <v>1</v>
      </c>
      <c r="G3" s="2" t="s">
        <v>33</v>
      </c>
      <c r="H3" s="2" t="s">
        <v>206</v>
      </c>
      <c r="I3" s="12">
        <v>44687</v>
      </c>
      <c r="J3" s="12">
        <f t="shared" si="0"/>
        <v>4.4686999999999999E-3</v>
      </c>
    </row>
    <row r="4" spans="1:10">
      <c r="B4" s="10" t="s">
        <v>210</v>
      </c>
      <c r="C4" s="10" t="s">
        <v>211</v>
      </c>
      <c r="D4" s="2" t="s">
        <v>201</v>
      </c>
      <c r="E4" s="2" t="s">
        <v>207</v>
      </c>
      <c r="F4" s="2">
        <v>1</v>
      </c>
      <c r="G4" s="2" t="s">
        <v>33</v>
      </c>
      <c r="H4" s="2" t="s">
        <v>208</v>
      </c>
      <c r="I4" s="12">
        <v>5750</v>
      </c>
      <c r="J4" s="12">
        <f t="shared" si="0"/>
        <v>5.7499999999999999E-4</v>
      </c>
    </row>
    <row r="5" spans="1:10">
      <c r="B5" s="10" t="s">
        <v>210</v>
      </c>
      <c r="C5" s="10" t="s">
        <v>211</v>
      </c>
      <c r="D5" s="2" t="s">
        <v>202</v>
      </c>
      <c r="E5" s="2" t="s">
        <v>207</v>
      </c>
      <c r="F5" s="2">
        <v>1</v>
      </c>
      <c r="G5" s="2" t="s">
        <v>33</v>
      </c>
      <c r="H5" s="2" t="s">
        <v>208</v>
      </c>
      <c r="I5" s="12">
        <v>4750</v>
      </c>
      <c r="J5" s="12">
        <f t="shared" si="0"/>
        <v>4.75E-4</v>
      </c>
    </row>
    <row r="6" spans="1:10">
      <c r="B6" s="10" t="s">
        <v>210</v>
      </c>
      <c r="C6" s="10" t="s">
        <v>211</v>
      </c>
      <c r="D6" s="2" t="s">
        <v>203</v>
      </c>
      <c r="E6" s="2" t="s">
        <v>207</v>
      </c>
      <c r="F6" s="2">
        <v>1</v>
      </c>
      <c r="G6" s="2" t="s">
        <v>33</v>
      </c>
      <c r="H6" s="2" t="s">
        <v>209</v>
      </c>
      <c r="I6" s="12">
        <v>18865</v>
      </c>
      <c r="J6" s="12">
        <f t="shared" si="0"/>
        <v>1.8864999999999999E-3</v>
      </c>
    </row>
    <row r="7" spans="1:10">
      <c r="B7" s="10" t="s">
        <v>210</v>
      </c>
      <c r="C7" s="10" t="s">
        <v>211</v>
      </c>
      <c r="D7" s="2" t="s">
        <v>204</v>
      </c>
      <c r="E7" s="2" t="s">
        <v>207</v>
      </c>
      <c r="F7" s="2">
        <v>1</v>
      </c>
      <c r="G7" s="2" t="s">
        <v>33</v>
      </c>
      <c r="H7" s="2" t="s">
        <v>209</v>
      </c>
      <c r="I7" s="12">
        <v>13051.5</v>
      </c>
      <c r="J7" s="12">
        <f t="shared" si="0"/>
        <v>1.3051499999999999E-3</v>
      </c>
    </row>
    <row r="8" spans="1:10">
      <c r="B8" s="10"/>
      <c r="C8" s="10"/>
      <c r="D8" s="10"/>
      <c r="E8" s="10"/>
      <c r="F8" s="10"/>
      <c r="G8" s="10"/>
      <c r="H8" s="98" t="s">
        <v>970</v>
      </c>
      <c r="I8" s="99"/>
      <c r="J8" s="13">
        <f>SUM(J2:J7)</f>
        <v>1.7094149999999999E-2</v>
      </c>
    </row>
  </sheetData>
  <mergeCells count="1">
    <mergeCell ref="H8:I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8414-3FB2-4D39-9C4E-A7D66698D2A7}">
  <dimension ref="A1:J22"/>
  <sheetViews>
    <sheetView workbookViewId="0">
      <selection activeCell="B2" sqref="B2:J22"/>
    </sheetView>
  </sheetViews>
  <sheetFormatPr defaultRowHeight="14.5"/>
  <cols>
    <col min="1" max="1" width="5.81640625" bestFit="1" customWidth="1"/>
    <col min="2" max="2" width="11.54296875" bestFit="1" customWidth="1"/>
    <col min="3" max="3" width="35.36328125" bestFit="1" customWidth="1"/>
    <col min="4" max="4" width="38.54296875" bestFit="1" customWidth="1"/>
    <col min="5" max="5" width="8.81640625" bestFit="1" customWidth="1"/>
    <col min="6" max="6" width="3.81640625" bestFit="1" customWidth="1"/>
    <col min="7" max="7" width="6.26953125" bestFit="1" customWidth="1"/>
    <col min="8" max="8" width="35.08984375" bestFit="1" customWidth="1"/>
    <col min="9" max="9" width="11.36328125" bestFit="1" customWidth="1"/>
    <col min="10" max="10" width="8.81640625" bestFit="1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B2" s="10" t="s">
        <v>253</v>
      </c>
      <c r="C2" s="10" t="s">
        <v>254</v>
      </c>
      <c r="D2" s="25" t="s">
        <v>212</v>
      </c>
      <c r="E2" s="10" t="s">
        <v>232</v>
      </c>
      <c r="F2" s="10">
        <v>10</v>
      </c>
      <c r="G2" s="10" t="s">
        <v>250</v>
      </c>
      <c r="H2" s="25" t="s">
        <v>244</v>
      </c>
      <c r="I2" s="12">
        <v>23800</v>
      </c>
      <c r="J2" s="12">
        <f t="shared" ref="J2:J21" si="0">(I2*F2)/10000000</f>
        <v>2.3800000000000002E-2</v>
      </c>
    </row>
    <row r="3" spans="1:10">
      <c r="B3" s="10" t="s">
        <v>253</v>
      </c>
      <c r="C3" s="10" t="s">
        <v>254</v>
      </c>
      <c r="D3" s="25" t="s">
        <v>213</v>
      </c>
      <c r="E3" s="10" t="s">
        <v>233</v>
      </c>
      <c r="F3" s="10">
        <v>2</v>
      </c>
      <c r="G3" s="10" t="s">
        <v>250</v>
      </c>
      <c r="H3" s="25" t="s">
        <v>245</v>
      </c>
      <c r="I3" s="12">
        <v>1398</v>
      </c>
      <c r="J3" s="12">
        <f t="shared" si="0"/>
        <v>2.7960000000000002E-4</v>
      </c>
    </row>
    <row r="4" spans="1:10">
      <c r="B4" s="10" t="s">
        <v>253</v>
      </c>
      <c r="C4" s="10" t="s">
        <v>254</v>
      </c>
      <c r="D4" s="25" t="s">
        <v>214</v>
      </c>
      <c r="E4" s="10" t="s">
        <v>234</v>
      </c>
      <c r="F4" s="10">
        <v>12</v>
      </c>
      <c r="G4" s="10" t="s">
        <v>250</v>
      </c>
      <c r="H4" s="10" t="s">
        <v>246</v>
      </c>
      <c r="I4" s="12">
        <v>3889</v>
      </c>
      <c r="J4" s="12">
        <f t="shared" si="0"/>
        <v>4.6667999999999996E-3</v>
      </c>
    </row>
    <row r="5" spans="1:10">
      <c r="B5" s="10" t="s">
        <v>253</v>
      </c>
      <c r="C5" s="10" t="s">
        <v>254</v>
      </c>
      <c r="D5" s="25" t="s">
        <v>215</v>
      </c>
      <c r="E5" s="10" t="s">
        <v>235</v>
      </c>
      <c r="F5" s="10">
        <v>6</v>
      </c>
      <c r="G5" s="10" t="s">
        <v>250</v>
      </c>
      <c r="H5" s="10" t="s">
        <v>246</v>
      </c>
      <c r="I5" s="12">
        <v>3344</v>
      </c>
      <c r="J5" s="12">
        <f t="shared" si="0"/>
        <v>2.0064000000000002E-3</v>
      </c>
    </row>
    <row r="6" spans="1:10">
      <c r="B6" s="10" t="s">
        <v>253</v>
      </c>
      <c r="C6" s="10" t="s">
        <v>254</v>
      </c>
      <c r="D6" s="25" t="s">
        <v>216</v>
      </c>
      <c r="E6" s="10" t="s">
        <v>236</v>
      </c>
      <c r="F6" s="10">
        <v>6</v>
      </c>
      <c r="G6" s="10" t="s">
        <v>250</v>
      </c>
      <c r="H6" s="10" t="s">
        <v>246</v>
      </c>
      <c r="I6" s="12">
        <v>2446</v>
      </c>
      <c r="J6" s="12">
        <f t="shared" si="0"/>
        <v>1.4675999999999999E-3</v>
      </c>
    </row>
    <row r="7" spans="1:10">
      <c r="B7" s="10" t="s">
        <v>253</v>
      </c>
      <c r="C7" s="10" t="s">
        <v>254</v>
      </c>
      <c r="D7" s="25" t="s">
        <v>217</v>
      </c>
      <c r="E7" s="10" t="s">
        <v>237</v>
      </c>
      <c r="F7" s="10">
        <v>3</v>
      </c>
      <c r="G7" s="10" t="s">
        <v>250</v>
      </c>
      <c r="H7" s="10" t="s">
        <v>246</v>
      </c>
      <c r="I7" s="54">
        <v>13052</v>
      </c>
      <c r="J7" s="12">
        <f t="shared" si="0"/>
        <v>3.9156E-3</v>
      </c>
    </row>
    <row r="8" spans="1:10">
      <c r="B8" s="10" t="s">
        <v>253</v>
      </c>
      <c r="C8" s="10" t="s">
        <v>254</v>
      </c>
      <c r="D8" s="25" t="s">
        <v>218</v>
      </c>
      <c r="E8" s="10" t="s">
        <v>238</v>
      </c>
      <c r="F8" s="10">
        <v>2</v>
      </c>
      <c r="G8" s="10" t="s">
        <v>250</v>
      </c>
      <c r="H8" s="10" t="s">
        <v>246</v>
      </c>
      <c r="I8" s="12">
        <v>6311</v>
      </c>
      <c r="J8" s="12">
        <f t="shared" si="0"/>
        <v>1.2622E-3</v>
      </c>
    </row>
    <row r="9" spans="1:10">
      <c r="B9" s="10" t="s">
        <v>253</v>
      </c>
      <c r="C9" s="10" t="s">
        <v>254</v>
      </c>
      <c r="D9" s="25" t="s">
        <v>219</v>
      </c>
      <c r="E9" s="10" t="s">
        <v>239</v>
      </c>
      <c r="F9" s="10">
        <v>3</v>
      </c>
      <c r="G9" s="10" t="s">
        <v>250</v>
      </c>
      <c r="H9" s="10" t="s">
        <v>246</v>
      </c>
      <c r="I9" s="12">
        <v>5731</v>
      </c>
      <c r="J9" s="12">
        <f t="shared" si="0"/>
        <v>1.7193E-3</v>
      </c>
    </row>
    <row r="10" spans="1:10">
      <c r="B10" s="10" t="s">
        <v>253</v>
      </c>
      <c r="C10" s="10" t="s">
        <v>254</v>
      </c>
      <c r="D10" s="25" t="s">
        <v>220</v>
      </c>
      <c r="E10" s="10" t="s">
        <v>235</v>
      </c>
      <c r="F10" s="10">
        <v>2</v>
      </c>
      <c r="G10" s="10" t="s">
        <v>250</v>
      </c>
      <c r="H10" s="10" t="s">
        <v>246</v>
      </c>
      <c r="I10" s="12">
        <v>9419</v>
      </c>
      <c r="J10" s="12">
        <f t="shared" si="0"/>
        <v>1.8837999999999999E-3</v>
      </c>
    </row>
    <row r="11" spans="1:10">
      <c r="B11" s="10" t="s">
        <v>253</v>
      </c>
      <c r="C11" s="10" t="s">
        <v>254</v>
      </c>
      <c r="D11" s="25" t="s">
        <v>221</v>
      </c>
      <c r="E11" s="10" t="s">
        <v>240</v>
      </c>
      <c r="F11" s="10">
        <v>10</v>
      </c>
      <c r="G11" s="10" t="s">
        <v>250</v>
      </c>
      <c r="H11" s="10" t="s">
        <v>246</v>
      </c>
      <c r="I11" s="12">
        <v>6538</v>
      </c>
      <c r="J11" s="12">
        <f t="shared" si="0"/>
        <v>6.5380000000000004E-3</v>
      </c>
    </row>
    <row r="12" spans="1:10">
      <c r="B12" s="10" t="s">
        <v>253</v>
      </c>
      <c r="C12" s="10" t="s">
        <v>254</v>
      </c>
      <c r="D12" s="25" t="s">
        <v>222</v>
      </c>
      <c r="E12" s="10" t="s">
        <v>236</v>
      </c>
      <c r="F12" s="10">
        <v>2</v>
      </c>
      <c r="G12" s="10" t="s">
        <v>250</v>
      </c>
      <c r="H12" s="10" t="s">
        <v>246</v>
      </c>
      <c r="I12" s="12">
        <v>5253</v>
      </c>
      <c r="J12" s="12">
        <f t="shared" si="0"/>
        <v>1.0506000000000001E-3</v>
      </c>
    </row>
    <row r="13" spans="1:10">
      <c r="B13" s="10" t="s">
        <v>253</v>
      </c>
      <c r="C13" s="10" t="s">
        <v>254</v>
      </c>
      <c r="D13" s="25" t="s">
        <v>223</v>
      </c>
      <c r="E13" s="10" t="s">
        <v>241</v>
      </c>
      <c r="F13" s="10">
        <v>1</v>
      </c>
      <c r="G13" s="10" t="s">
        <v>250</v>
      </c>
      <c r="H13" s="10" t="s">
        <v>246</v>
      </c>
      <c r="I13" s="12">
        <v>3225</v>
      </c>
      <c r="J13" s="12">
        <f t="shared" si="0"/>
        <v>3.2249999999999998E-4</v>
      </c>
    </row>
    <row r="14" spans="1:10">
      <c r="B14" s="10" t="s">
        <v>253</v>
      </c>
      <c r="C14" s="10" t="s">
        <v>254</v>
      </c>
      <c r="D14" s="25" t="s">
        <v>224</v>
      </c>
      <c r="E14" s="10" t="s">
        <v>240</v>
      </c>
      <c r="F14" s="10">
        <v>2</v>
      </c>
      <c r="G14" s="10" t="s">
        <v>250</v>
      </c>
      <c r="H14" s="10" t="s">
        <v>247</v>
      </c>
      <c r="I14" s="12">
        <v>6440</v>
      </c>
      <c r="J14" s="12">
        <f t="shared" si="0"/>
        <v>1.2880000000000001E-3</v>
      </c>
    </row>
    <row r="15" spans="1:10">
      <c r="B15" s="10" t="s">
        <v>253</v>
      </c>
      <c r="C15" s="10" t="s">
        <v>254</v>
      </c>
      <c r="D15" s="25" t="s">
        <v>225</v>
      </c>
      <c r="E15" s="10" t="s">
        <v>239</v>
      </c>
      <c r="F15" s="10">
        <v>1</v>
      </c>
      <c r="G15" s="10" t="s">
        <v>250</v>
      </c>
      <c r="H15" s="10" t="s">
        <v>247</v>
      </c>
      <c r="I15" s="12">
        <v>4665</v>
      </c>
      <c r="J15" s="12">
        <f t="shared" si="0"/>
        <v>4.6650000000000001E-4</v>
      </c>
    </row>
    <row r="16" spans="1:10">
      <c r="B16" s="10" t="s">
        <v>253</v>
      </c>
      <c r="C16" s="10" t="s">
        <v>254</v>
      </c>
      <c r="D16" s="25" t="s">
        <v>226</v>
      </c>
      <c r="E16" s="10" t="s">
        <v>242</v>
      </c>
      <c r="F16" s="10">
        <v>15</v>
      </c>
      <c r="G16" s="10" t="s">
        <v>251</v>
      </c>
      <c r="H16" s="10" t="s">
        <v>248</v>
      </c>
      <c r="I16" s="12">
        <v>3721</v>
      </c>
      <c r="J16" s="12">
        <f t="shared" si="0"/>
        <v>5.5814999999999997E-3</v>
      </c>
    </row>
    <row r="17" spans="2:10">
      <c r="B17" s="10" t="s">
        <v>253</v>
      </c>
      <c r="C17" s="10" t="s">
        <v>254</v>
      </c>
      <c r="D17" s="25" t="s">
        <v>227</v>
      </c>
      <c r="E17" s="10" t="s">
        <v>238</v>
      </c>
      <c r="F17" s="10">
        <v>5</v>
      </c>
      <c r="G17" s="10" t="s">
        <v>251</v>
      </c>
      <c r="H17" s="10" t="s">
        <v>248</v>
      </c>
      <c r="I17" s="12">
        <v>2490</v>
      </c>
      <c r="J17" s="12">
        <f t="shared" si="0"/>
        <v>1.245E-3</v>
      </c>
    </row>
    <row r="18" spans="2:10">
      <c r="B18" s="10" t="s">
        <v>253</v>
      </c>
      <c r="C18" s="10" t="s">
        <v>254</v>
      </c>
      <c r="D18" s="25" t="s">
        <v>228</v>
      </c>
      <c r="E18" s="10" t="s">
        <v>237</v>
      </c>
      <c r="F18" s="10">
        <v>9</v>
      </c>
      <c r="G18" s="10" t="s">
        <v>251</v>
      </c>
      <c r="H18" s="10" t="s">
        <v>248</v>
      </c>
      <c r="I18" s="12">
        <v>3129</v>
      </c>
      <c r="J18" s="12">
        <f t="shared" si="0"/>
        <v>2.8161000000000002E-3</v>
      </c>
    </row>
    <row r="19" spans="2:10">
      <c r="B19" s="10" t="s">
        <v>253</v>
      </c>
      <c r="C19" s="10" t="s">
        <v>254</v>
      </c>
      <c r="D19" s="25" t="s">
        <v>229</v>
      </c>
      <c r="E19" s="10" t="s">
        <v>236</v>
      </c>
      <c r="F19" s="10">
        <v>15</v>
      </c>
      <c r="G19" s="10" t="s">
        <v>251</v>
      </c>
      <c r="H19" s="10" t="s">
        <v>248</v>
      </c>
      <c r="I19" s="12">
        <v>389</v>
      </c>
      <c r="J19" s="12">
        <f t="shared" si="0"/>
        <v>5.8350000000000003E-4</v>
      </c>
    </row>
    <row r="20" spans="2:10">
      <c r="B20" s="10" t="s">
        <v>253</v>
      </c>
      <c r="C20" s="10" t="s">
        <v>254</v>
      </c>
      <c r="D20" s="25" t="s">
        <v>230</v>
      </c>
      <c r="E20" s="10" t="s">
        <v>239</v>
      </c>
      <c r="F20" s="10">
        <v>12</v>
      </c>
      <c r="G20" s="10" t="s">
        <v>251</v>
      </c>
      <c r="H20" s="10" t="s">
        <v>248</v>
      </c>
      <c r="I20" s="12">
        <v>499</v>
      </c>
      <c r="J20" s="12">
        <f t="shared" si="0"/>
        <v>5.9880000000000003E-4</v>
      </c>
    </row>
    <row r="21" spans="2:10">
      <c r="B21" s="10" t="s">
        <v>253</v>
      </c>
      <c r="C21" s="10" t="s">
        <v>254</v>
      </c>
      <c r="D21" s="25" t="s">
        <v>231</v>
      </c>
      <c r="E21" s="10" t="s">
        <v>243</v>
      </c>
      <c r="F21" s="10">
        <v>75</v>
      </c>
      <c r="G21" s="10" t="s">
        <v>252</v>
      </c>
      <c r="H21" s="25" t="s">
        <v>249</v>
      </c>
      <c r="I21" s="12">
        <v>1068</v>
      </c>
      <c r="J21" s="12">
        <f t="shared" si="0"/>
        <v>8.0099999999999998E-3</v>
      </c>
    </row>
    <row r="22" spans="2:10">
      <c r="B22" s="10"/>
      <c r="C22" s="10"/>
      <c r="D22" s="10"/>
      <c r="E22" s="10"/>
      <c r="F22" s="10"/>
      <c r="G22" s="10"/>
      <c r="H22" s="98" t="s">
        <v>971</v>
      </c>
      <c r="I22" s="99"/>
      <c r="J22" s="13">
        <f>SUM(J2:J21)</f>
        <v>6.9501800000000016E-2</v>
      </c>
    </row>
  </sheetData>
  <mergeCells count="1">
    <mergeCell ref="H22:I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470F-F9E9-4763-B07A-74438EDC735A}">
  <dimension ref="A1:J45"/>
  <sheetViews>
    <sheetView topLeftCell="A31" workbookViewId="0">
      <selection activeCell="B2" sqref="B2:J45"/>
    </sheetView>
  </sheetViews>
  <sheetFormatPr defaultRowHeight="14.5"/>
  <cols>
    <col min="2" max="2" width="11.54296875" bestFit="1" customWidth="1"/>
    <col min="3" max="3" width="23.7265625" bestFit="1" customWidth="1"/>
    <col min="4" max="4" width="18.08984375" bestFit="1" customWidth="1"/>
    <col min="5" max="5" width="13.7265625" customWidth="1"/>
    <col min="6" max="6" width="8.81640625" bestFit="1" customWidth="1"/>
    <col min="8" max="8" width="11.6328125" customWidth="1"/>
    <col min="9" max="9" width="9.54296875" bestFit="1" customWidth="1"/>
    <col min="10" max="10" width="8.81640625" bestFit="1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3" t="s">
        <v>9</v>
      </c>
    </row>
    <row r="2" spans="1:10">
      <c r="B2" s="41" t="s">
        <v>322</v>
      </c>
      <c r="C2" s="30" t="s">
        <v>323</v>
      </c>
      <c r="D2" s="36" t="s">
        <v>255</v>
      </c>
      <c r="E2" s="36" t="s">
        <v>256</v>
      </c>
      <c r="F2" s="36">
        <v>2</v>
      </c>
      <c r="G2" s="36" t="s">
        <v>33</v>
      </c>
      <c r="H2" s="36" t="s">
        <v>257</v>
      </c>
      <c r="I2" s="38">
        <v>4550</v>
      </c>
      <c r="J2" s="45">
        <f t="shared" ref="J2:J44" si="0">(I2*F2)/10000000</f>
        <v>9.1E-4</v>
      </c>
    </row>
    <row r="3" spans="1:10">
      <c r="B3" s="41" t="s">
        <v>322</v>
      </c>
      <c r="C3" s="30" t="s">
        <v>323</v>
      </c>
      <c r="D3" s="36" t="s">
        <v>258</v>
      </c>
      <c r="E3" s="36" t="s">
        <v>259</v>
      </c>
      <c r="F3" s="36">
        <v>1</v>
      </c>
      <c r="G3" s="36" t="s">
        <v>33</v>
      </c>
      <c r="H3" s="36" t="s">
        <v>260</v>
      </c>
      <c r="I3" s="38">
        <v>1600</v>
      </c>
      <c r="J3" s="45">
        <f t="shared" si="0"/>
        <v>1.6000000000000001E-4</v>
      </c>
    </row>
    <row r="4" spans="1:10" ht="29">
      <c r="B4" s="41" t="s">
        <v>322</v>
      </c>
      <c r="C4" s="30" t="s">
        <v>323</v>
      </c>
      <c r="D4" s="36" t="s">
        <v>261</v>
      </c>
      <c r="E4" s="36" t="s">
        <v>262</v>
      </c>
      <c r="F4" s="36">
        <v>2</v>
      </c>
      <c r="G4" s="36" t="s">
        <v>33</v>
      </c>
      <c r="H4" s="36" t="s">
        <v>263</v>
      </c>
      <c r="I4" s="38">
        <v>1200</v>
      </c>
      <c r="J4" s="45">
        <f t="shared" si="0"/>
        <v>2.4000000000000001E-4</v>
      </c>
    </row>
    <row r="5" spans="1:10" ht="29">
      <c r="B5" s="41" t="s">
        <v>322</v>
      </c>
      <c r="C5" s="30" t="s">
        <v>323</v>
      </c>
      <c r="D5" s="36" t="s">
        <v>261</v>
      </c>
      <c r="E5" s="36" t="s">
        <v>264</v>
      </c>
      <c r="F5" s="36">
        <v>10</v>
      </c>
      <c r="G5" s="36" t="s">
        <v>33</v>
      </c>
      <c r="H5" s="36" t="s">
        <v>260</v>
      </c>
      <c r="I5" s="38">
        <v>1000</v>
      </c>
      <c r="J5" s="45">
        <f t="shared" si="0"/>
        <v>1E-3</v>
      </c>
    </row>
    <row r="6" spans="1:10">
      <c r="B6" s="41" t="s">
        <v>322</v>
      </c>
      <c r="C6" s="30" t="s">
        <v>323</v>
      </c>
      <c r="D6" s="36" t="s">
        <v>265</v>
      </c>
      <c r="E6" s="36" t="s">
        <v>266</v>
      </c>
      <c r="F6" s="36">
        <v>14</v>
      </c>
      <c r="G6" s="36" t="s">
        <v>33</v>
      </c>
      <c r="H6" s="36" t="s">
        <v>267</v>
      </c>
      <c r="I6" s="36">
        <v>36.409999999999997</v>
      </c>
      <c r="J6" s="45">
        <f t="shared" si="0"/>
        <v>5.0973999999999997E-5</v>
      </c>
    </row>
    <row r="7" spans="1:10">
      <c r="B7" s="41" t="s">
        <v>322</v>
      </c>
      <c r="C7" s="30" t="s">
        <v>323</v>
      </c>
      <c r="D7" s="36" t="s">
        <v>265</v>
      </c>
      <c r="E7" s="36" t="s">
        <v>268</v>
      </c>
      <c r="F7" s="36">
        <v>29</v>
      </c>
      <c r="G7" s="36" t="s">
        <v>33</v>
      </c>
      <c r="H7" s="36" t="s">
        <v>267</v>
      </c>
      <c r="I7" s="36">
        <v>74.010000000000005</v>
      </c>
      <c r="J7" s="45">
        <f t="shared" si="0"/>
        <v>2.1462900000000001E-4</v>
      </c>
    </row>
    <row r="8" spans="1:10">
      <c r="B8" s="41" t="s">
        <v>322</v>
      </c>
      <c r="C8" s="30" t="s">
        <v>323</v>
      </c>
      <c r="D8" s="36" t="s">
        <v>265</v>
      </c>
      <c r="E8" s="36" t="s">
        <v>268</v>
      </c>
      <c r="F8" s="36">
        <v>50</v>
      </c>
      <c r="G8" s="36" t="s">
        <v>33</v>
      </c>
      <c r="H8" s="36" t="s">
        <v>269</v>
      </c>
      <c r="I8" s="36">
        <v>74.010000000000005</v>
      </c>
      <c r="J8" s="45">
        <f t="shared" si="0"/>
        <v>3.7005000000000002E-4</v>
      </c>
    </row>
    <row r="9" spans="1:10">
      <c r="B9" s="41" t="s">
        <v>322</v>
      </c>
      <c r="C9" s="30" t="s">
        <v>323</v>
      </c>
      <c r="D9" s="36" t="s">
        <v>265</v>
      </c>
      <c r="E9" s="36" t="s">
        <v>270</v>
      </c>
      <c r="F9" s="36">
        <v>20</v>
      </c>
      <c r="G9" s="36" t="s">
        <v>33</v>
      </c>
      <c r="H9" s="36" t="s">
        <v>267</v>
      </c>
      <c r="I9" s="36">
        <v>103.21</v>
      </c>
      <c r="J9" s="45">
        <f t="shared" si="0"/>
        <v>2.0641999999999999E-4</v>
      </c>
    </row>
    <row r="10" spans="1:10">
      <c r="B10" s="41" t="s">
        <v>322</v>
      </c>
      <c r="C10" s="30" t="s">
        <v>323</v>
      </c>
      <c r="D10" s="36" t="s">
        <v>265</v>
      </c>
      <c r="E10" s="36" t="s">
        <v>270</v>
      </c>
      <c r="F10" s="36">
        <v>10</v>
      </c>
      <c r="G10" s="36" t="s">
        <v>33</v>
      </c>
      <c r="H10" s="36" t="s">
        <v>269</v>
      </c>
      <c r="I10" s="36">
        <v>103.21</v>
      </c>
      <c r="J10" s="45">
        <f t="shared" si="0"/>
        <v>1.0321E-4</v>
      </c>
    </row>
    <row r="11" spans="1:10">
      <c r="B11" s="41" t="s">
        <v>322</v>
      </c>
      <c r="C11" s="30" t="s">
        <v>323</v>
      </c>
      <c r="D11" s="36" t="s">
        <v>265</v>
      </c>
      <c r="E11" s="36" t="s">
        <v>271</v>
      </c>
      <c r="F11" s="36">
        <v>37</v>
      </c>
      <c r="G11" s="36" t="s">
        <v>33</v>
      </c>
      <c r="H11" s="36" t="s">
        <v>269</v>
      </c>
      <c r="I11" s="36">
        <v>25.2</v>
      </c>
      <c r="J11" s="45">
        <f t="shared" si="0"/>
        <v>9.3239999999999995E-5</v>
      </c>
    </row>
    <row r="12" spans="1:10">
      <c r="B12" s="41" t="s">
        <v>322</v>
      </c>
      <c r="C12" s="30" t="s">
        <v>323</v>
      </c>
      <c r="D12" s="36" t="s">
        <v>272</v>
      </c>
      <c r="E12" s="36" t="s">
        <v>273</v>
      </c>
      <c r="F12" s="36">
        <v>48</v>
      </c>
      <c r="G12" s="36" t="s">
        <v>33</v>
      </c>
      <c r="H12" s="36" t="s">
        <v>269</v>
      </c>
      <c r="I12" s="36">
        <v>40.119999999999997</v>
      </c>
      <c r="J12" s="45">
        <f t="shared" si="0"/>
        <v>1.9257599999999997E-4</v>
      </c>
    </row>
    <row r="13" spans="1:10">
      <c r="B13" s="41" t="s">
        <v>322</v>
      </c>
      <c r="C13" s="30" t="s">
        <v>323</v>
      </c>
      <c r="D13" s="36" t="s">
        <v>272</v>
      </c>
      <c r="E13" s="36" t="s">
        <v>274</v>
      </c>
      <c r="F13" s="36">
        <v>47</v>
      </c>
      <c r="G13" s="36" t="s">
        <v>33</v>
      </c>
      <c r="H13" s="36" t="s">
        <v>269</v>
      </c>
      <c r="I13" s="36">
        <v>40.119999999999997</v>
      </c>
      <c r="J13" s="45">
        <f t="shared" si="0"/>
        <v>1.8856399999999998E-4</v>
      </c>
    </row>
    <row r="14" spans="1:10">
      <c r="B14" s="41" t="s">
        <v>322</v>
      </c>
      <c r="C14" s="30" t="s">
        <v>323</v>
      </c>
      <c r="D14" s="36" t="s">
        <v>272</v>
      </c>
      <c r="E14" s="36" t="s">
        <v>266</v>
      </c>
      <c r="F14" s="36">
        <v>56</v>
      </c>
      <c r="G14" s="36" t="s">
        <v>33</v>
      </c>
      <c r="H14" s="36" t="s">
        <v>269</v>
      </c>
      <c r="I14" s="36">
        <v>40.119999999999997</v>
      </c>
      <c r="J14" s="45">
        <f t="shared" si="0"/>
        <v>2.2467199999999998E-4</v>
      </c>
    </row>
    <row r="15" spans="1:10">
      <c r="B15" s="41" t="s">
        <v>322</v>
      </c>
      <c r="C15" s="30" t="s">
        <v>323</v>
      </c>
      <c r="D15" s="36" t="s">
        <v>272</v>
      </c>
      <c r="E15" s="36" t="s">
        <v>275</v>
      </c>
      <c r="F15" s="36">
        <v>32</v>
      </c>
      <c r="G15" s="36" t="s">
        <v>33</v>
      </c>
      <c r="H15" s="36" t="s">
        <v>269</v>
      </c>
      <c r="I15" s="36">
        <v>53.04</v>
      </c>
      <c r="J15" s="45">
        <f t="shared" si="0"/>
        <v>1.6972799999999999E-4</v>
      </c>
    </row>
    <row r="16" spans="1:10">
      <c r="B16" s="41" t="s">
        <v>322</v>
      </c>
      <c r="C16" s="30" t="s">
        <v>323</v>
      </c>
      <c r="D16" s="36" t="s">
        <v>272</v>
      </c>
      <c r="E16" s="36" t="s">
        <v>276</v>
      </c>
      <c r="F16" s="36">
        <v>56</v>
      </c>
      <c r="G16" s="36" t="s">
        <v>33</v>
      </c>
      <c r="H16" s="36" t="s">
        <v>269</v>
      </c>
      <c r="I16" s="36">
        <v>87.04</v>
      </c>
      <c r="J16" s="45">
        <f t="shared" si="0"/>
        <v>4.8742400000000008E-4</v>
      </c>
    </row>
    <row r="17" spans="2:10">
      <c r="B17" s="41" t="s">
        <v>322</v>
      </c>
      <c r="C17" s="30" t="s">
        <v>323</v>
      </c>
      <c r="D17" s="36" t="s">
        <v>272</v>
      </c>
      <c r="E17" s="36" t="s">
        <v>277</v>
      </c>
      <c r="F17" s="36">
        <v>24</v>
      </c>
      <c r="G17" s="36" t="s">
        <v>33</v>
      </c>
      <c r="H17" s="36" t="s">
        <v>269</v>
      </c>
      <c r="I17" s="36">
        <v>142.12</v>
      </c>
      <c r="J17" s="45">
        <f t="shared" si="0"/>
        <v>3.4108800000000002E-4</v>
      </c>
    </row>
    <row r="18" spans="2:10">
      <c r="B18" s="41" t="s">
        <v>322</v>
      </c>
      <c r="C18" s="30" t="s">
        <v>323</v>
      </c>
      <c r="D18" s="36" t="s">
        <v>278</v>
      </c>
      <c r="E18" s="36" t="s">
        <v>279</v>
      </c>
      <c r="F18" s="36">
        <v>50</v>
      </c>
      <c r="G18" s="36" t="s">
        <v>33</v>
      </c>
      <c r="H18" s="36" t="s">
        <v>269</v>
      </c>
      <c r="I18" s="36">
        <v>22</v>
      </c>
      <c r="J18" s="45">
        <f t="shared" si="0"/>
        <v>1.1E-4</v>
      </c>
    </row>
    <row r="19" spans="2:10">
      <c r="B19" s="41" t="s">
        <v>322</v>
      </c>
      <c r="C19" s="30" t="s">
        <v>323</v>
      </c>
      <c r="D19" s="36" t="s">
        <v>280</v>
      </c>
      <c r="E19" s="36" t="s">
        <v>281</v>
      </c>
      <c r="F19" s="36">
        <v>2</v>
      </c>
      <c r="G19" s="36" t="s">
        <v>33</v>
      </c>
      <c r="H19" s="36" t="s">
        <v>282</v>
      </c>
      <c r="I19" s="36">
        <v>680</v>
      </c>
      <c r="J19" s="45">
        <f t="shared" si="0"/>
        <v>1.36E-4</v>
      </c>
    </row>
    <row r="20" spans="2:10">
      <c r="B20" s="41" t="s">
        <v>322</v>
      </c>
      <c r="C20" s="30" t="s">
        <v>323</v>
      </c>
      <c r="D20" s="36" t="s">
        <v>280</v>
      </c>
      <c r="E20" s="36" t="s">
        <v>283</v>
      </c>
      <c r="F20" s="36">
        <v>3</v>
      </c>
      <c r="G20" s="36" t="s">
        <v>33</v>
      </c>
      <c r="H20" s="36" t="s">
        <v>282</v>
      </c>
      <c r="I20" s="36">
        <v>540</v>
      </c>
      <c r="J20" s="45">
        <f t="shared" si="0"/>
        <v>1.6200000000000001E-4</v>
      </c>
    </row>
    <row r="21" spans="2:10">
      <c r="B21" s="41" t="s">
        <v>322</v>
      </c>
      <c r="C21" s="30" t="s">
        <v>323</v>
      </c>
      <c r="D21" s="36" t="s">
        <v>280</v>
      </c>
      <c r="E21" s="36" t="s">
        <v>284</v>
      </c>
      <c r="F21" s="36">
        <v>9</v>
      </c>
      <c r="G21" s="36" t="s">
        <v>33</v>
      </c>
      <c r="H21" s="36" t="s">
        <v>282</v>
      </c>
      <c r="I21" s="36">
        <v>863</v>
      </c>
      <c r="J21" s="45">
        <f t="shared" si="0"/>
        <v>7.7669999999999996E-4</v>
      </c>
    </row>
    <row r="22" spans="2:10">
      <c r="B22" s="41" t="s">
        <v>322</v>
      </c>
      <c r="C22" s="30" t="s">
        <v>323</v>
      </c>
      <c r="D22" s="36" t="s">
        <v>280</v>
      </c>
      <c r="E22" s="36" t="s">
        <v>285</v>
      </c>
      <c r="F22" s="36">
        <v>1</v>
      </c>
      <c r="G22" s="36" t="s">
        <v>33</v>
      </c>
      <c r="H22" s="36" t="s">
        <v>282</v>
      </c>
      <c r="I22" s="36">
        <v>458.25</v>
      </c>
      <c r="J22" s="45">
        <f t="shared" si="0"/>
        <v>4.5825000000000003E-5</v>
      </c>
    </row>
    <row r="23" spans="2:10" ht="29">
      <c r="B23" s="41" t="s">
        <v>322</v>
      </c>
      <c r="C23" s="30" t="s">
        <v>323</v>
      </c>
      <c r="D23" s="36" t="s">
        <v>286</v>
      </c>
      <c r="E23" s="36" t="s">
        <v>287</v>
      </c>
      <c r="F23" s="36">
        <v>3</v>
      </c>
      <c r="G23" s="36" t="s">
        <v>33</v>
      </c>
      <c r="H23" s="36" t="s">
        <v>282</v>
      </c>
      <c r="I23" s="38">
        <v>18781.39</v>
      </c>
      <c r="J23" s="45">
        <f t="shared" si="0"/>
        <v>5.6344170000000001E-3</v>
      </c>
    </row>
    <row r="24" spans="2:10">
      <c r="B24" s="41" t="s">
        <v>322</v>
      </c>
      <c r="C24" s="30" t="s">
        <v>323</v>
      </c>
      <c r="D24" s="36" t="s">
        <v>288</v>
      </c>
      <c r="E24" s="36" t="s">
        <v>289</v>
      </c>
      <c r="F24" s="36">
        <v>81</v>
      </c>
      <c r="G24" s="36" t="s">
        <v>33</v>
      </c>
      <c r="H24" s="36" t="s">
        <v>282</v>
      </c>
      <c r="I24" s="36">
        <v>88</v>
      </c>
      <c r="J24" s="45">
        <f t="shared" si="0"/>
        <v>7.1279999999999998E-4</v>
      </c>
    </row>
    <row r="25" spans="2:10">
      <c r="B25" s="41" t="s">
        <v>322</v>
      </c>
      <c r="C25" s="30" t="s">
        <v>323</v>
      </c>
      <c r="D25" s="36" t="s">
        <v>288</v>
      </c>
      <c r="E25" s="36" t="s">
        <v>290</v>
      </c>
      <c r="F25" s="36">
        <v>2</v>
      </c>
      <c r="G25" s="36" t="s">
        <v>33</v>
      </c>
      <c r="H25" s="36" t="s">
        <v>282</v>
      </c>
      <c r="I25" s="36">
        <v>209</v>
      </c>
      <c r="J25" s="45">
        <f t="shared" si="0"/>
        <v>4.18E-5</v>
      </c>
    </row>
    <row r="26" spans="2:10">
      <c r="B26" s="41" t="s">
        <v>322</v>
      </c>
      <c r="C26" s="30" t="s">
        <v>323</v>
      </c>
      <c r="D26" s="36" t="s">
        <v>288</v>
      </c>
      <c r="E26" s="36" t="s">
        <v>291</v>
      </c>
      <c r="F26" s="36">
        <v>1</v>
      </c>
      <c r="G26" s="36" t="s">
        <v>33</v>
      </c>
      <c r="H26" s="36" t="s">
        <v>282</v>
      </c>
      <c r="I26" s="36">
        <v>215</v>
      </c>
      <c r="J26" s="45">
        <f t="shared" si="0"/>
        <v>2.1500000000000001E-5</v>
      </c>
    </row>
    <row r="27" spans="2:10">
      <c r="B27" s="41" t="s">
        <v>322</v>
      </c>
      <c r="C27" s="30" t="s">
        <v>323</v>
      </c>
      <c r="D27" s="36" t="s">
        <v>288</v>
      </c>
      <c r="E27" s="36" t="s">
        <v>292</v>
      </c>
      <c r="F27" s="36">
        <v>2</v>
      </c>
      <c r="G27" s="36" t="s">
        <v>33</v>
      </c>
      <c r="H27" s="36" t="s">
        <v>282</v>
      </c>
      <c r="I27" s="36">
        <v>342</v>
      </c>
      <c r="J27" s="45">
        <f t="shared" si="0"/>
        <v>6.8399999999999996E-5</v>
      </c>
    </row>
    <row r="28" spans="2:10">
      <c r="B28" s="41" t="s">
        <v>322</v>
      </c>
      <c r="C28" s="30" t="s">
        <v>323</v>
      </c>
      <c r="D28" s="36" t="s">
        <v>288</v>
      </c>
      <c r="E28" s="36" t="s">
        <v>293</v>
      </c>
      <c r="F28" s="36">
        <v>6</v>
      </c>
      <c r="G28" s="36" t="s">
        <v>33</v>
      </c>
      <c r="H28" s="36" t="s">
        <v>282</v>
      </c>
      <c r="I28" s="36">
        <v>215</v>
      </c>
      <c r="J28" s="45">
        <f t="shared" si="0"/>
        <v>1.2899999999999999E-4</v>
      </c>
    </row>
    <row r="29" spans="2:10">
      <c r="B29" s="41" t="s">
        <v>322</v>
      </c>
      <c r="C29" s="30" t="s">
        <v>323</v>
      </c>
      <c r="D29" s="36" t="s">
        <v>288</v>
      </c>
      <c r="E29" s="36" t="s">
        <v>294</v>
      </c>
      <c r="F29" s="36">
        <v>9</v>
      </c>
      <c r="G29" s="36" t="s">
        <v>33</v>
      </c>
      <c r="H29" s="36" t="s">
        <v>282</v>
      </c>
      <c r="I29" s="36">
        <v>434</v>
      </c>
      <c r="J29" s="45">
        <f t="shared" si="0"/>
        <v>3.9060000000000001E-4</v>
      </c>
    </row>
    <row r="30" spans="2:10">
      <c r="B30" s="41" t="s">
        <v>322</v>
      </c>
      <c r="C30" s="30" t="s">
        <v>323</v>
      </c>
      <c r="D30" s="36" t="s">
        <v>288</v>
      </c>
      <c r="E30" s="36" t="s">
        <v>295</v>
      </c>
      <c r="F30" s="36">
        <v>6</v>
      </c>
      <c r="G30" s="36" t="s">
        <v>33</v>
      </c>
      <c r="H30" s="36" t="s">
        <v>282</v>
      </c>
      <c r="I30" s="36">
        <v>628</v>
      </c>
      <c r="J30" s="45">
        <f t="shared" si="0"/>
        <v>3.768E-4</v>
      </c>
    </row>
    <row r="31" spans="2:10">
      <c r="B31" s="41" t="s">
        <v>322</v>
      </c>
      <c r="C31" s="30" t="s">
        <v>323</v>
      </c>
      <c r="D31" s="36" t="s">
        <v>288</v>
      </c>
      <c r="E31" s="36" t="s">
        <v>296</v>
      </c>
      <c r="F31" s="36">
        <v>3</v>
      </c>
      <c r="G31" s="36" t="s">
        <v>33</v>
      </c>
      <c r="H31" s="36" t="s">
        <v>282</v>
      </c>
      <c r="I31" s="36">
        <v>628</v>
      </c>
      <c r="J31" s="45">
        <f t="shared" si="0"/>
        <v>1.884E-4</v>
      </c>
    </row>
    <row r="32" spans="2:10">
      <c r="B32" s="41" t="s">
        <v>322</v>
      </c>
      <c r="C32" s="30" t="s">
        <v>323</v>
      </c>
      <c r="D32" s="36" t="s">
        <v>297</v>
      </c>
      <c r="E32" s="36" t="s">
        <v>298</v>
      </c>
      <c r="F32" s="36">
        <v>4</v>
      </c>
      <c r="G32" s="36" t="s">
        <v>33</v>
      </c>
      <c r="H32" s="36" t="s">
        <v>282</v>
      </c>
      <c r="I32" s="38">
        <v>1860</v>
      </c>
      <c r="J32" s="45">
        <f t="shared" si="0"/>
        <v>7.4399999999999998E-4</v>
      </c>
    </row>
    <row r="33" spans="2:10">
      <c r="B33" s="41" t="s">
        <v>322</v>
      </c>
      <c r="C33" s="30" t="s">
        <v>323</v>
      </c>
      <c r="D33" s="36" t="s">
        <v>297</v>
      </c>
      <c r="E33" s="36" t="s">
        <v>299</v>
      </c>
      <c r="F33" s="36">
        <v>2</v>
      </c>
      <c r="G33" s="36" t="s">
        <v>33</v>
      </c>
      <c r="H33" s="36" t="s">
        <v>282</v>
      </c>
      <c r="I33" s="38">
        <v>2130</v>
      </c>
      <c r="J33" s="45">
        <f t="shared" si="0"/>
        <v>4.26E-4</v>
      </c>
    </row>
    <row r="34" spans="2:10">
      <c r="B34" s="41" t="s">
        <v>322</v>
      </c>
      <c r="C34" s="30" t="s">
        <v>323</v>
      </c>
      <c r="D34" s="36" t="s">
        <v>297</v>
      </c>
      <c r="E34" s="36" t="s">
        <v>300</v>
      </c>
      <c r="F34" s="36">
        <v>1</v>
      </c>
      <c r="G34" s="36" t="s">
        <v>33</v>
      </c>
      <c r="H34" s="36" t="s">
        <v>282</v>
      </c>
      <c r="I34" s="38">
        <v>3250</v>
      </c>
      <c r="J34" s="45">
        <f t="shared" si="0"/>
        <v>3.2499999999999999E-4</v>
      </c>
    </row>
    <row r="35" spans="2:10">
      <c r="B35" s="41" t="s">
        <v>322</v>
      </c>
      <c r="C35" s="30" t="s">
        <v>323</v>
      </c>
      <c r="D35" s="36" t="s">
        <v>297</v>
      </c>
      <c r="E35" s="36" t="s">
        <v>301</v>
      </c>
      <c r="F35" s="36">
        <v>4</v>
      </c>
      <c r="G35" s="36" t="s">
        <v>33</v>
      </c>
      <c r="H35" s="36" t="s">
        <v>282</v>
      </c>
      <c r="I35" s="38">
        <v>3250</v>
      </c>
      <c r="J35" s="45">
        <f t="shared" si="0"/>
        <v>1.2999999999999999E-3</v>
      </c>
    </row>
    <row r="36" spans="2:10">
      <c r="B36" s="41" t="s">
        <v>322</v>
      </c>
      <c r="C36" s="30" t="s">
        <v>323</v>
      </c>
      <c r="D36" s="36" t="s">
        <v>297</v>
      </c>
      <c r="E36" s="36" t="s">
        <v>302</v>
      </c>
      <c r="F36" s="36">
        <v>1</v>
      </c>
      <c r="G36" s="36" t="s">
        <v>33</v>
      </c>
      <c r="H36" s="36" t="s">
        <v>282</v>
      </c>
      <c r="I36" s="38">
        <v>3250</v>
      </c>
      <c r="J36" s="45">
        <f t="shared" si="0"/>
        <v>3.2499999999999999E-4</v>
      </c>
    </row>
    <row r="37" spans="2:10">
      <c r="B37" s="41" t="s">
        <v>322</v>
      </c>
      <c r="C37" s="30" t="s">
        <v>323</v>
      </c>
      <c r="D37" s="36" t="s">
        <v>303</v>
      </c>
      <c r="E37" s="36" t="s">
        <v>304</v>
      </c>
      <c r="F37" s="36">
        <v>1</v>
      </c>
      <c r="G37" s="36" t="s">
        <v>33</v>
      </c>
      <c r="H37" s="36" t="s">
        <v>282</v>
      </c>
      <c r="I37" s="38">
        <v>2136</v>
      </c>
      <c r="J37" s="45">
        <f t="shared" si="0"/>
        <v>2.1359999999999999E-4</v>
      </c>
    </row>
    <row r="38" spans="2:10">
      <c r="B38" s="41" t="s">
        <v>322</v>
      </c>
      <c r="C38" s="30" t="s">
        <v>323</v>
      </c>
      <c r="D38" s="36" t="s">
        <v>305</v>
      </c>
      <c r="E38" s="36" t="s">
        <v>306</v>
      </c>
      <c r="F38" s="36">
        <v>5</v>
      </c>
      <c r="G38" s="36" t="s">
        <v>33</v>
      </c>
      <c r="H38" s="36" t="s">
        <v>307</v>
      </c>
      <c r="I38" s="38">
        <v>1100</v>
      </c>
      <c r="J38" s="45">
        <f t="shared" si="0"/>
        <v>5.5000000000000003E-4</v>
      </c>
    </row>
    <row r="39" spans="2:10">
      <c r="B39" s="41" t="s">
        <v>322</v>
      </c>
      <c r="C39" s="30" t="s">
        <v>323</v>
      </c>
      <c r="D39" s="36" t="s">
        <v>308</v>
      </c>
      <c r="E39" s="36" t="s">
        <v>309</v>
      </c>
      <c r="F39" s="36">
        <v>16</v>
      </c>
      <c r="G39" s="36" t="s">
        <v>33</v>
      </c>
      <c r="H39" s="36" t="s">
        <v>267</v>
      </c>
      <c r="I39" s="36">
        <v>34.4</v>
      </c>
      <c r="J39" s="45">
        <f t="shared" si="0"/>
        <v>5.5039999999999995E-5</v>
      </c>
    </row>
    <row r="40" spans="2:10" ht="29">
      <c r="B40" s="41" t="s">
        <v>322</v>
      </c>
      <c r="C40" s="30" t="s">
        <v>323</v>
      </c>
      <c r="D40" s="36" t="s">
        <v>310</v>
      </c>
      <c r="E40" s="36" t="s">
        <v>311</v>
      </c>
      <c r="F40" s="36">
        <v>1</v>
      </c>
      <c r="G40" s="36" t="s">
        <v>33</v>
      </c>
      <c r="H40" s="36" t="s">
        <v>312</v>
      </c>
      <c r="I40" s="38">
        <v>3852</v>
      </c>
      <c r="J40" s="45">
        <f t="shared" si="0"/>
        <v>3.8519999999999998E-4</v>
      </c>
    </row>
    <row r="41" spans="2:10">
      <c r="B41" s="41" t="s">
        <v>322</v>
      </c>
      <c r="C41" s="30" t="s">
        <v>323</v>
      </c>
      <c r="D41" s="36" t="s">
        <v>313</v>
      </c>
      <c r="E41" s="36"/>
      <c r="F41" s="36">
        <v>7</v>
      </c>
      <c r="G41" s="36" t="s">
        <v>33</v>
      </c>
      <c r="H41" s="36" t="s">
        <v>314</v>
      </c>
      <c r="I41" s="36">
        <v>550</v>
      </c>
      <c r="J41" s="45">
        <f t="shared" si="0"/>
        <v>3.8499999999999998E-4</v>
      </c>
    </row>
    <row r="42" spans="2:10">
      <c r="B42" s="41" t="s">
        <v>322</v>
      </c>
      <c r="C42" s="30" t="s">
        <v>323</v>
      </c>
      <c r="D42" s="36" t="s">
        <v>315</v>
      </c>
      <c r="E42" s="36"/>
      <c r="F42" s="36">
        <v>1</v>
      </c>
      <c r="G42" s="36" t="s">
        <v>33</v>
      </c>
      <c r="H42" s="36" t="s">
        <v>316</v>
      </c>
      <c r="I42" s="38">
        <v>4314</v>
      </c>
      <c r="J42" s="45">
        <f t="shared" si="0"/>
        <v>4.3140000000000002E-4</v>
      </c>
    </row>
    <row r="43" spans="2:10" ht="43.5">
      <c r="B43" s="41" t="s">
        <v>322</v>
      </c>
      <c r="C43" s="30" t="s">
        <v>323</v>
      </c>
      <c r="D43" s="36" t="s">
        <v>317</v>
      </c>
      <c r="E43" s="36" t="s">
        <v>318</v>
      </c>
      <c r="F43" s="36">
        <v>520</v>
      </c>
      <c r="G43" s="36" t="s">
        <v>182</v>
      </c>
      <c r="H43" s="36" t="s">
        <v>319</v>
      </c>
      <c r="I43" s="38">
        <v>2855</v>
      </c>
      <c r="J43" s="45">
        <f t="shared" si="0"/>
        <v>0.14846000000000001</v>
      </c>
    </row>
    <row r="44" spans="2:10" ht="29">
      <c r="B44" s="41" t="s">
        <v>322</v>
      </c>
      <c r="C44" s="30" t="s">
        <v>323</v>
      </c>
      <c r="D44" s="36" t="s">
        <v>320</v>
      </c>
      <c r="E44" s="36" t="s">
        <v>321</v>
      </c>
      <c r="F44" s="36">
        <v>120</v>
      </c>
      <c r="G44" s="36" t="s">
        <v>33</v>
      </c>
      <c r="H44" s="36" t="s">
        <v>260</v>
      </c>
      <c r="I44" s="38">
        <v>1200</v>
      </c>
      <c r="J44" s="45">
        <f t="shared" si="0"/>
        <v>1.44E-2</v>
      </c>
    </row>
    <row r="45" spans="2:10">
      <c r="B45" s="41"/>
      <c r="C45" s="41"/>
      <c r="D45" s="41"/>
      <c r="E45" s="41"/>
      <c r="F45" s="41"/>
      <c r="G45" s="41"/>
      <c r="H45" s="100" t="s">
        <v>970</v>
      </c>
      <c r="I45" s="100"/>
      <c r="J45" s="58">
        <f>SUM(J2:J44)</f>
        <v>0.18174705699999999</v>
      </c>
    </row>
  </sheetData>
  <mergeCells count="1">
    <mergeCell ref="H45:I4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54D5-2F7E-4465-A65B-0EF127AD5319}">
  <dimension ref="A1:J12"/>
  <sheetViews>
    <sheetView workbookViewId="0">
      <selection activeCell="D16" sqref="D16"/>
    </sheetView>
  </sheetViews>
  <sheetFormatPr defaultRowHeight="14.5"/>
  <cols>
    <col min="2" max="2" width="11.54296875" bestFit="1" customWidth="1"/>
    <col min="3" max="3" width="17.08984375" bestFit="1" customWidth="1"/>
    <col min="4" max="4" width="31.36328125" bestFit="1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B2" s="10" t="s">
        <v>324</v>
      </c>
      <c r="C2" s="10" t="s">
        <v>340</v>
      </c>
      <c r="D2" s="2" t="s">
        <v>325</v>
      </c>
      <c r="E2" s="2"/>
      <c r="F2" s="2">
        <v>2</v>
      </c>
      <c r="G2" s="36" t="s">
        <v>33</v>
      </c>
      <c r="H2" s="2" t="s">
        <v>326</v>
      </c>
      <c r="I2" s="2">
        <v>582</v>
      </c>
      <c r="J2" s="12">
        <f t="shared" ref="J2:J11" si="0">(I2*F2)/10000000</f>
        <v>1.164E-4</v>
      </c>
    </row>
    <row r="3" spans="1:10">
      <c r="B3" s="10" t="s">
        <v>324</v>
      </c>
      <c r="C3" s="10" t="s">
        <v>340</v>
      </c>
      <c r="D3" s="2" t="s">
        <v>327</v>
      </c>
      <c r="E3" s="2"/>
      <c r="F3" s="2">
        <v>1</v>
      </c>
      <c r="G3" s="2" t="s">
        <v>33</v>
      </c>
      <c r="H3" s="2" t="s">
        <v>328</v>
      </c>
      <c r="I3" s="2">
        <v>18839</v>
      </c>
      <c r="J3" s="12">
        <f t="shared" si="0"/>
        <v>1.8839E-3</v>
      </c>
    </row>
    <row r="4" spans="1:10">
      <c r="B4" s="10" t="s">
        <v>324</v>
      </c>
      <c r="C4" s="10" t="s">
        <v>340</v>
      </c>
      <c r="D4" s="2" t="s">
        <v>329</v>
      </c>
      <c r="E4" s="2"/>
      <c r="F4" s="2">
        <v>2</v>
      </c>
      <c r="G4" s="2" t="s">
        <v>33</v>
      </c>
      <c r="H4" s="2" t="s">
        <v>330</v>
      </c>
      <c r="I4" s="2">
        <v>32010</v>
      </c>
      <c r="J4" s="12">
        <f t="shared" si="0"/>
        <v>6.4019999999999997E-3</v>
      </c>
    </row>
    <row r="5" spans="1:10">
      <c r="B5" s="10" t="s">
        <v>324</v>
      </c>
      <c r="C5" s="10" t="s">
        <v>340</v>
      </c>
      <c r="D5" s="2" t="s">
        <v>331</v>
      </c>
      <c r="E5" s="2"/>
      <c r="F5" s="2">
        <v>2</v>
      </c>
      <c r="G5" s="2" t="s">
        <v>33</v>
      </c>
      <c r="H5" s="2" t="s">
        <v>330</v>
      </c>
      <c r="I5" s="2">
        <v>6296</v>
      </c>
      <c r="J5" s="12">
        <f t="shared" si="0"/>
        <v>1.2592E-3</v>
      </c>
    </row>
    <row r="6" spans="1:10">
      <c r="B6" s="10" t="s">
        <v>324</v>
      </c>
      <c r="C6" s="10" t="s">
        <v>340</v>
      </c>
      <c r="D6" s="2" t="s">
        <v>332</v>
      </c>
      <c r="E6" s="2"/>
      <c r="F6" s="2">
        <v>2</v>
      </c>
      <c r="G6" s="2" t="s">
        <v>33</v>
      </c>
      <c r="H6" s="2" t="s">
        <v>333</v>
      </c>
      <c r="I6" s="2">
        <v>16874</v>
      </c>
      <c r="J6" s="12">
        <f t="shared" si="0"/>
        <v>3.3747999999999998E-3</v>
      </c>
    </row>
    <row r="7" spans="1:10">
      <c r="B7" s="10" t="s">
        <v>324</v>
      </c>
      <c r="C7" s="10" t="s">
        <v>340</v>
      </c>
      <c r="D7" s="2" t="s">
        <v>334</v>
      </c>
      <c r="E7" s="2"/>
      <c r="F7" s="2">
        <v>3</v>
      </c>
      <c r="G7" s="2" t="s">
        <v>33</v>
      </c>
      <c r="H7" s="2" t="s">
        <v>333</v>
      </c>
      <c r="I7" s="2">
        <v>12235</v>
      </c>
      <c r="J7" s="12">
        <f t="shared" si="0"/>
        <v>3.6705000000000002E-3</v>
      </c>
    </row>
    <row r="8" spans="1:10">
      <c r="B8" s="10" t="s">
        <v>324</v>
      </c>
      <c r="C8" s="10" t="s">
        <v>340</v>
      </c>
      <c r="D8" s="2" t="s">
        <v>335</v>
      </c>
      <c r="E8" s="2"/>
      <c r="F8" s="2">
        <v>3</v>
      </c>
      <c r="G8" s="2" t="s">
        <v>33</v>
      </c>
      <c r="H8" s="2" t="s">
        <v>333</v>
      </c>
      <c r="I8" s="2">
        <v>3456</v>
      </c>
      <c r="J8" s="12">
        <f t="shared" si="0"/>
        <v>1.0368E-3</v>
      </c>
    </row>
    <row r="9" spans="1:10">
      <c r="B9" s="10" t="s">
        <v>324</v>
      </c>
      <c r="C9" s="10" t="s">
        <v>340</v>
      </c>
      <c r="D9" s="2" t="s">
        <v>336</v>
      </c>
      <c r="E9" s="2"/>
      <c r="F9" s="2">
        <v>2</v>
      </c>
      <c r="G9" s="2" t="s">
        <v>33</v>
      </c>
      <c r="H9" s="2" t="s">
        <v>333</v>
      </c>
      <c r="I9" s="2">
        <v>2865</v>
      </c>
      <c r="J9" s="12">
        <f t="shared" si="0"/>
        <v>5.7300000000000005E-4</v>
      </c>
    </row>
    <row r="10" spans="1:10">
      <c r="B10" s="10" t="s">
        <v>324</v>
      </c>
      <c r="C10" s="10" t="s">
        <v>340</v>
      </c>
      <c r="D10" s="2" t="s">
        <v>336</v>
      </c>
      <c r="E10" s="2"/>
      <c r="F10" s="2">
        <v>7</v>
      </c>
      <c r="G10" s="2" t="s">
        <v>33</v>
      </c>
      <c r="H10" s="2" t="s">
        <v>337</v>
      </c>
      <c r="I10" s="2">
        <v>2650</v>
      </c>
      <c r="J10" s="12">
        <f t="shared" si="0"/>
        <v>1.8550000000000001E-3</v>
      </c>
    </row>
    <row r="11" spans="1:10">
      <c r="B11" s="10" t="s">
        <v>324</v>
      </c>
      <c r="C11" s="10" t="s">
        <v>340</v>
      </c>
      <c r="D11" s="2" t="s">
        <v>338</v>
      </c>
      <c r="E11" s="2"/>
      <c r="F11" s="2">
        <v>2</v>
      </c>
      <c r="G11" s="2" t="s">
        <v>33</v>
      </c>
      <c r="H11" s="2" t="s">
        <v>339</v>
      </c>
      <c r="I11" s="2">
        <v>4200</v>
      </c>
      <c r="J11" s="12">
        <f t="shared" si="0"/>
        <v>8.4000000000000003E-4</v>
      </c>
    </row>
    <row r="12" spans="1:10">
      <c r="B12" s="10"/>
      <c r="C12" s="10"/>
      <c r="D12" s="10"/>
      <c r="E12" s="10"/>
      <c r="F12" s="10"/>
      <c r="G12" s="10"/>
      <c r="H12" s="94" t="s">
        <v>970</v>
      </c>
      <c r="I12" s="95"/>
      <c r="J12" s="53">
        <f>SUM(J2:J11)</f>
        <v>2.1011600000000002E-2</v>
      </c>
    </row>
  </sheetData>
  <mergeCells count="1">
    <mergeCell ref="H12:I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3559-AB25-4DC7-94AD-681E8C05DDCF}">
  <dimension ref="A1:J66"/>
  <sheetViews>
    <sheetView workbookViewId="0">
      <selection activeCell="F22" sqref="F22"/>
    </sheetView>
  </sheetViews>
  <sheetFormatPr defaultRowHeight="14.5"/>
  <cols>
    <col min="2" max="2" width="11.54296875" bestFit="1" customWidth="1"/>
    <col min="3" max="3" width="29.7265625" bestFit="1" customWidth="1"/>
    <col min="4" max="4" width="39" bestFit="1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B2" s="10" t="s">
        <v>407</v>
      </c>
      <c r="C2" s="10" t="s">
        <v>408</v>
      </c>
      <c r="D2" s="2" t="s">
        <v>341</v>
      </c>
      <c r="E2" s="2"/>
      <c r="F2" s="2">
        <v>7</v>
      </c>
      <c r="G2" s="2" t="s">
        <v>33</v>
      </c>
      <c r="H2" s="2" t="s">
        <v>312</v>
      </c>
      <c r="I2" s="2">
        <v>4070</v>
      </c>
      <c r="J2" s="40">
        <f t="shared" ref="J2:J33" si="0">(I2*F2)/10000000</f>
        <v>2.849E-3</v>
      </c>
    </row>
    <row r="3" spans="1:10">
      <c r="B3" s="10" t="s">
        <v>407</v>
      </c>
      <c r="C3" s="10" t="s">
        <v>408</v>
      </c>
      <c r="D3" s="2" t="s">
        <v>342</v>
      </c>
      <c r="E3" s="2"/>
      <c r="F3" s="2">
        <v>3</v>
      </c>
      <c r="G3" s="2" t="s">
        <v>33</v>
      </c>
      <c r="H3" s="2"/>
      <c r="I3" s="2">
        <v>949.96</v>
      </c>
      <c r="J3" s="40">
        <f t="shared" si="0"/>
        <v>2.8498800000000002E-4</v>
      </c>
    </row>
    <row r="4" spans="1:10">
      <c r="B4" s="10" t="s">
        <v>407</v>
      </c>
      <c r="C4" s="10" t="s">
        <v>408</v>
      </c>
      <c r="D4" s="2" t="s">
        <v>343</v>
      </c>
      <c r="E4" s="2"/>
      <c r="F4" s="2">
        <v>65</v>
      </c>
      <c r="G4" s="2" t="s">
        <v>33</v>
      </c>
      <c r="H4" s="2" t="s">
        <v>344</v>
      </c>
      <c r="I4" s="2">
        <v>810</v>
      </c>
      <c r="J4" s="40">
        <f t="shared" si="0"/>
        <v>5.2649999999999997E-3</v>
      </c>
    </row>
    <row r="5" spans="1:10">
      <c r="B5" s="10" t="s">
        <v>407</v>
      </c>
      <c r="C5" s="10" t="s">
        <v>408</v>
      </c>
      <c r="D5" s="2" t="s">
        <v>345</v>
      </c>
      <c r="E5" s="2"/>
      <c r="F5" s="2">
        <v>60</v>
      </c>
      <c r="G5" s="2" t="s">
        <v>33</v>
      </c>
      <c r="H5" s="2" t="s">
        <v>344</v>
      </c>
      <c r="I5" s="2">
        <v>150</v>
      </c>
      <c r="J5" s="40">
        <f t="shared" si="0"/>
        <v>8.9999999999999998E-4</v>
      </c>
    </row>
    <row r="6" spans="1:10">
      <c r="B6" s="10" t="s">
        <v>407</v>
      </c>
      <c r="C6" s="10" t="s">
        <v>408</v>
      </c>
      <c r="D6" s="2" t="s">
        <v>346</v>
      </c>
      <c r="E6" s="2"/>
      <c r="F6" s="2">
        <v>23</v>
      </c>
      <c r="G6" s="2" t="s">
        <v>33</v>
      </c>
      <c r="H6" s="2" t="s">
        <v>344</v>
      </c>
      <c r="I6" s="2">
        <v>150</v>
      </c>
      <c r="J6" s="40">
        <f t="shared" si="0"/>
        <v>3.4499999999999998E-4</v>
      </c>
    </row>
    <row r="7" spans="1:10">
      <c r="B7" s="10" t="s">
        <v>407</v>
      </c>
      <c r="C7" s="10" t="s">
        <v>408</v>
      </c>
      <c r="D7" s="2" t="s">
        <v>347</v>
      </c>
      <c r="E7" s="2"/>
      <c r="F7" s="2">
        <v>27</v>
      </c>
      <c r="G7" s="2" t="s">
        <v>33</v>
      </c>
      <c r="H7" s="2" t="s">
        <v>344</v>
      </c>
      <c r="I7" s="2">
        <v>160</v>
      </c>
      <c r="J7" s="40">
        <f t="shared" si="0"/>
        <v>4.3199999999999998E-4</v>
      </c>
    </row>
    <row r="8" spans="1:10">
      <c r="B8" s="10" t="s">
        <v>407</v>
      </c>
      <c r="C8" s="10" t="s">
        <v>408</v>
      </c>
      <c r="D8" s="2" t="s">
        <v>348</v>
      </c>
      <c r="E8" s="2"/>
      <c r="F8" s="2">
        <v>1</v>
      </c>
      <c r="G8" s="2" t="s">
        <v>250</v>
      </c>
      <c r="H8" s="2" t="s">
        <v>349</v>
      </c>
      <c r="I8" s="2">
        <v>3372.35</v>
      </c>
      <c r="J8" s="40">
        <f t="shared" si="0"/>
        <v>3.3723499999999997E-4</v>
      </c>
    </row>
    <row r="9" spans="1:10">
      <c r="B9" s="10" t="s">
        <v>407</v>
      </c>
      <c r="C9" s="10" t="s">
        <v>408</v>
      </c>
      <c r="D9" s="2" t="s">
        <v>350</v>
      </c>
      <c r="E9" s="2"/>
      <c r="F9" s="2">
        <v>2</v>
      </c>
      <c r="G9" s="2" t="s">
        <v>250</v>
      </c>
      <c r="H9" s="2" t="s">
        <v>349</v>
      </c>
      <c r="I9" s="2">
        <v>1462.06</v>
      </c>
      <c r="J9" s="40">
        <f t="shared" si="0"/>
        <v>2.9241199999999998E-4</v>
      </c>
    </row>
    <row r="10" spans="1:10">
      <c r="B10" s="10" t="s">
        <v>407</v>
      </c>
      <c r="C10" s="10" t="s">
        <v>408</v>
      </c>
      <c r="D10" s="2" t="s">
        <v>351</v>
      </c>
      <c r="E10" s="2"/>
      <c r="F10" s="2">
        <v>12</v>
      </c>
      <c r="G10" s="2" t="s">
        <v>250</v>
      </c>
      <c r="H10" s="2" t="s">
        <v>352</v>
      </c>
      <c r="I10" s="2">
        <v>313.45999999999998</v>
      </c>
      <c r="J10" s="40">
        <f t="shared" si="0"/>
        <v>3.7615199999999993E-4</v>
      </c>
    </row>
    <row r="11" spans="1:10">
      <c r="B11" s="10" t="s">
        <v>407</v>
      </c>
      <c r="C11" s="10" t="s">
        <v>408</v>
      </c>
      <c r="D11" s="2" t="s">
        <v>353</v>
      </c>
      <c r="E11" s="2"/>
      <c r="F11" s="2">
        <v>40</v>
      </c>
      <c r="G11" s="2" t="s">
        <v>250</v>
      </c>
      <c r="H11" s="2" t="s">
        <v>352</v>
      </c>
      <c r="I11" s="2">
        <v>321.89999999999998</v>
      </c>
      <c r="J11" s="40">
        <f t="shared" si="0"/>
        <v>1.2876000000000001E-3</v>
      </c>
    </row>
    <row r="12" spans="1:10">
      <c r="B12" s="10" t="s">
        <v>407</v>
      </c>
      <c r="C12" s="10" t="s">
        <v>408</v>
      </c>
      <c r="D12" s="2" t="s">
        <v>354</v>
      </c>
      <c r="E12" s="2"/>
      <c r="F12" s="2">
        <v>135</v>
      </c>
      <c r="G12" s="2" t="s">
        <v>355</v>
      </c>
      <c r="H12" s="2" t="s">
        <v>356</v>
      </c>
      <c r="I12" s="2">
        <v>775.33</v>
      </c>
      <c r="J12" s="40">
        <f t="shared" si="0"/>
        <v>1.0466955E-2</v>
      </c>
    </row>
    <row r="13" spans="1:10">
      <c r="B13" s="10" t="s">
        <v>407</v>
      </c>
      <c r="C13" s="10" t="s">
        <v>408</v>
      </c>
      <c r="D13" s="2" t="s">
        <v>357</v>
      </c>
      <c r="E13" s="2"/>
      <c r="F13" s="2">
        <v>402</v>
      </c>
      <c r="G13" s="2" t="s">
        <v>355</v>
      </c>
      <c r="H13" s="2" t="s">
        <v>356</v>
      </c>
      <c r="I13" s="2">
        <v>330.98</v>
      </c>
      <c r="J13" s="40">
        <f t="shared" si="0"/>
        <v>1.3305396000000002E-2</v>
      </c>
    </row>
    <row r="14" spans="1:10">
      <c r="B14" s="10" t="s">
        <v>407</v>
      </c>
      <c r="C14" s="10" t="s">
        <v>408</v>
      </c>
      <c r="D14" s="2" t="s">
        <v>358</v>
      </c>
      <c r="E14" s="2"/>
      <c r="F14" s="2">
        <v>4</v>
      </c>
      <c r="G14" s="2" t="s">
        <v>250</v>
      </c>
      <c r="H14" s="2" t="s">
        <v>356</v>
      </c>
      <c r="I14" s="2">
        <v>198.77</v>
      </c>
      <c r="J14" s="40">
        <f t="shared" si="0"/>
        <v>7.9507999999999998E-5</v>
      </c>
    </row>
    <row r="15" spans="1:10">
      <c r="B15" s="10" t="s">
        <v>407</v>
      </c>
      <c r="C15" s="10" t="s">
        <v>408</v>
      </c>
      <c r="D15" s="2" t="s">
        <v>359</v>
      </c>
      <c r="E15" s="2"/>
      <c r="F15" s="2">
        <v>2</v>
      </c>
      <c r="G15" s="2" t="s">
        <v>250</v>
      </c>
      <c r="H15" s="2" t="s">
        <v>356</v>
      </c>
      <c r="I15" s="2">
        <v>1595.78</v>
      </c>
      <c r="J15" s="40">
        <f t="shared" si="0"/>
        <v>3.1915600000000002E-4</v>
      </c>
    </row>
    <row r="16" spans="1:10">
      <c r="B16" s="10" t="s">
        <v>407</v>
      </c>
      <c r="C16" s="10" t="s">
        <v>408</v>
      </c>
      <c r="D16" s="2" t="s">
        <v>360</v>
      </c>
      <c r="E16" s="2"/>
      <c r="F16" s="2">
        <v>1</v>
      </c>
      <c r="G16" s="2" t="s">
        <v>250</v>
      </c>
      <c r="H16" s="2" t="s">
        <v>356</v>
      </c>
      <c r="I16" s="2">
        <v>1059.3800000000001</v>
      </c>
      <c r="J16" s="40">
        <f t="shared" si="0"/>
        <v>1.0593800000000001E-4</v>
      </c>
    </row>
    <row r="17" spans="2:10">
      <c r="B17" s="10" t="s">
        <v>407</v>
      </c>
      <c r="C17" s="10" t="s">
        <v>408</v>
      </c>
      <c r="D17" s="2" t="s">
        <v>361</v>
      </c>
      <c r="E17" s="2"/>
      <c r="F17" s="2">
        <v>1</v>
      </c>
      <c r="G17" s="2" t="s">
        <v>250</v>
      </c>
      <c r="H17" s="2" t="s">
        <v>362</v>
      </c>
      <c r="I17" s="2">
        <v>2043</v>
      </c>
      <c r="J17" s="40">
        <f t="shared" si="0"/>
        <v>2.0430000000000001E-4</v>
      </c>
    </row>
    <row r="18" spans="2:10">
      <c r="B18" s="10" t="s">
        <v>407</v>
      </c>
      <c r="C18" s="10" t="s">
        <v>408</v>
      </c>
      <c r="D18" s="2" t="s">
        <v>363</v>
      </c>
      <c r="E18" s="2"/>
      <c r="F18" s="2">
        <v>3</v>
      </c>
      <c r="G18" s="2" t="s">
        <v>250</v>
      </c>
      <c r="H18" s="2" t="s">
        <v>364</v>
      </c>
      <c r="I18" s="2">
        <v>3561.02</v>
      </c>
      <c r="J18" s="40">
        <f t="shared" si="0"/>
        <v>1.068306E-3</v>
      </c>
    </row>
    <row r="19" spans="2:10">
      <c r="B19" s="10" t="s">
        <v>407</v>
      </c>
      <c r="C19" s="10" t="s">
        <v>408</v>
      </c>
      <c r="D19" s="2" t="s">
        <v>365</v>
      </c>
      <c r="E19" s="2"/>
      <c r="F19" s="2">
        <v>1</v>
      </c>
      <c r="G19" s="2" t="s">
        <v>250</v>
      </c>
      <c r="H19" s="2" t="s">
        <v>364</v>
      </c>
      <c r="I19" s="2">
        <v>3877.12</v>
      </c>
      <c r="J19" s="40">
        <f t="shared" si="0"/>
        <v>3.8771199999999996E-4</v>
      </c>
    </row>
    <row r="20" spans="2:10">
      <c r="B20" s="10" t="s">
        <v>407</v>
      </c>
      <c r="C20" s="10" t="s">
        <v>408</v>
      </c>
      <c r="D20" s="2" t="s">
        <v>366</v>
      </c>
      <c r="E20" s="2"/>
      <c r="F20" s="2">
        <v>12</v>
      </c>
      <c r="G20" s="2" t="s">
        <v>250</v>
      </c>
      <c r="H20" s="2" t="s">
        <v>364</v>
      </c>
      <c r="I20" s="2">
        <v>612.26</v>
      </c>
      <c r="J20" s="40">
        <f t="shared" si="0"/>
        <v>7.34712E-4</v>
      </c>
    </row>
    <row r="21" spans="2:10">
      <c r="B21" s="10" t="s">
        <v>407</v>
      </c>
      <c r="C21" s="10" t="s">
        <v>408</v>
      </c>
      <c r="D21" s="2" t="s">
        <v>367</v>
      </c>
      <c r="E21" s="2"/>
      <c r="F21" s="2">
        <v>3</v>
      </c>
      <c r="G21" s="2" t="s">
        <v>250</v>
      </c>
      <c r="H21" s="2" t="s">
        <v>364</v>
      </c>
      <c r="I21" s="2">
        <v>1136.32</v>
      </c>
      <c r="J21" s="40">
        <f t="shared" si="0"/>
        <v>3.4089599999999998E-4</v>
      </c>
    </row>
    <row r="22" spans="2:10">
      <c r="B22" s="10" t="s">
        <v>407</v>
      </c>
      <c r="C22" s="10" t="s">
        <v>408</v>
      </c>
      <c r="D22" s="2" t="s">
        <v>368</v>
      </c>
      <c r="E22" s="2"/>
      <c r="F22" s="2">
        <v>4</v>
      </c>
      <c r="G22" s="2" t="s">
        <v>250</v>
      </c>
      <c r="H22" s="2" t="s">
        <v>364</v>
      </c>
      <c r="I22" s="2">
        <v>3033</v>
      </c>
      <c r="J22" s="40">
        <f t="shared" si="0"/>
        <v>1.2132E-3</v>
      </c>
    </row>
    <row r="23" spans="2:10">
      <c r="B23" s="10" t="s">
        <v>407</v>
      </c>
      <c r="C23" s="10" t="s">
        <v>408</v>
      </c>
      <c r="D23" s="2" t="s">
        <v>369</v>
      </c>
      <c r="E23" s="2"/>
      <c r="F23" s="2">
        <v>2</v>
      </c>
      <c r="G23" s="2" t="s">
        <v>250</v>
      </c>
      <c r="H23" s="2"/>
      <c r="I23" s="2">
        <v>4225.8999999999996</v>
      </c>
      <c r="J23" s="40">
        <f t="shared" si="0"/>
        <v>8.4517999999999995E-4</v>
      </c>
    </row>
    <row r="24" spans="2:10">
      <c r="B24" s="10" t="s">
        <v>407</v>
      </c>
      <c r="C24" s="10" t="s">
        <v>408</v>
      </c>
      <c r="D24" s="2" t="s">
        <v>370</v>
      </c>
      <c r="E24" s="2"/>
      <c r="F24" s="2">
        <v>1</v>
      </c>
      <c r="G24" s="2" t="s">
        <v>250</v>
      </c>
      <c r="H24" s="2"/>
      <c r="I24" s="2">
        <v>4225.8999999999996</v>
      </c>
      <c r="J24" s="40">
        <f t="shared" si="0"/>
        <v>4.2258999999999998E-4</v>
      </c>
    </row>
    <row r="25" spans="2:10">
      <c r="B25" s="10" t="s">
        <v>407</v>
      </c>
      <c r="C25" s="10" t="s">
        <v>408</v>
      </c>
      <c r="D25" s="2" t="s">
        <v>371</v>
      </c>
      <c r="E25" s="2"/>
      <c r="F25" s="2">
        <v>180</v>
      </c>
      <c r="G25" s="2" t="s">
        <v>250</v>
      </c>
      <c r="H25" s="2" t="s">
        <v>364</v>
      </c>
      <c r="I25" s="2">
        <v>122</v>
      </c>
      <c r="J25" s="40">
        <f t="shared" si="0"/>
        <v>2.196E-3</v>
      </c>
    </row>
    <row r="26" spans="2:10">
      <c r="B26" s="10" t="s">
        <v>407</v>
      </c>
      <c r="C26" s="10" t="s">
        <v>408</v>
      </c>
      <c r="D26" s="2" t="s">
        <v>372</v>
      </c>
      <c r="E26" s="2"/>
      <c r="F26" s="2">
        <v>33</v>
      </c>
      <c r="G26" s="2" t="s">
        <v>250</v>
      </c>
      <c r="H26" s="2" t="s">
        <v>364</v>
      </c>
      <c r="I26" s="2">
        <v>85</v>
      </c>
      <c r="J26" s="40">
        <f t="shared" si="0"/>
        <v>2.8049999999999999E-4</v>
      </c>
    </row>
    <row r="27" spans="2:10">
      <c r="B27" s="10" t="s">
        <v>407</v>
      </c>
      <c r="C27" s="10" t="s">
        <v>408</v>
      </c>
      <c r="D27" s="2" t="s">
        <v>373</v>
      </c>
      <c r="E27" s="2"/>
      <c r="F27" s="2">
        <v>10</v>
      </c>
      <c r="G27" s="2" t="s">
        <v>250</v>
      </c>
      <c r="H27" s="2" t="s">
        <v>364</v>
      </c>
      <c r="I27" s="2">
        <v>50.15</v>
      </c>
      <c r="J27" s="40">
        <f t="shared" si="0"/>
        <v>5.0149999999999999E-5</v>
      </c>
    </row>
    <row r="28" spans="2:10">
      <c r="B28" s="10" t="s">
        <v>407</v>
      </c>
      <c r="C28" s="10" t="s">
        <v>408</v>
      </c>
      <c r="D28" s="2" t="s">
        <v>374</v>
      </c>
      <c r="E28" s="2"/>
      <c r="F28" s="2">
        <v>400</v>
      </c>
      <c r="G28" s="2" t="s">
        <v>250</v>
      </c>
      <c r="H28" s="2" t="s">
        <v>364</v>
      </c>
      <c r="I28" s="2">
        <v>50.15</v>
      </c>
      <c r="J28" s="40">
        <f t="shared" si="0"/>
        <v>2.006E-3</v>
      </c>
    </row>
    <row r="29" spans="2:10">
      <c r="B29" s="10" t="s">
        <v>407</v>
      </c>
      <c r="C29" s="10" t="s">
        <v>408</v>
      </c>
      <c r="D29" s="2" t="s">
        <v>375</v>
      </c>
      <c r="E29" s="2"/>
      <c r="F29" s="2">
        <v>240</v>
      </c>
      <c r="G29" s="2" t="s">
        <v>250</v>
      </c>
      <c r="H29" s="2" t="s">
        <v>364</v>
      </c>
      <c r="I29" s="2">
        <v>138</v>
      </c>
      <c r="J29" s="40">
        <f t="shared" si="0"/>
        <v>3.3119999999999998E-3</v>
      </c>
    </row>
    <row r="30" spans="2:10">
      <c r="B30" s="10" t="s">
        <v>407</v>
      </c>
      <c r="C30" s="10" t="s">
        <v>408</v>
      </c>
      <c r="D30" s="2" t="s">
        <v>376</v>
      </c>
      <c r="E30" s="2"/>
      <c r="F30" s="2">
        <v>70</v>
      </c>
      <c r="G30" s="2" t="s">
        <v>250</v>
      </c>
      <c r="H30" s="2" t="s">
        <v>364</v>
      </c>
      <c r="I30" s="2">
        <v>77</v>
      </c>
      <c r="J30" s="40">
        <f t="shared" si="0"/>
        <v>5.3899999999999998E-4</v>
      </c>
    </row>
    <row r="31" spans="2:10">
      <c r="B31" s="10" t="s">
        <v>407</v>
      </c>
      <c r="C31" s="10" t="s">
        <v>408</v>
      </c>
      <c r="D31" s="2" t="s">
        <v>377</v>
      </c>
      <c r="E31" s="2"/>
      <c r="F31" s="2">
        <v>55</v>
      </c>
      <c r="G31" s="2" t="s">
        <v>250</v>
      </c>
      <c r="H31" s="2" t="s">
        <v>364</v>
      </c>
      <c r="I31" s="2">
        <v>47</v>
      </c>
      <c r="J31" s="40">
        <f t="shared" si="0"/>
        <v>2.5849999999999999E-4</v>
      </c>
    </row>
    <row r="32" spans="2:10">
      <c r="B32" s="10" t="s">
        <v>407</v>
      </c>
      <c r="C32" s="10" t="s">
        <v>408</v>
      </c>
      <c r="D32" s="2" t="s">
        <v>378</v>
      </c>
      <c r="E32" s="2"/>
      <c r="F32" s="2">
        <v>25</v>
      </c>
      <c r="G32" s="2" t="s">
        <v>250</v>
      </c>
      <c r="H32" s="2" t="s">
        <v>364</v>
      </c>
      <c r="I32" s="2">
        <v>85</v>
      </c>
      <c r="J32" s="40">
        <f t="shared" si="0"/>
        <v>2.1249999999999999E-4</v>
      </c>
    </row>
    <row r="33" spans="2:10">
      <c r="B33" s="10" t="s">
        <v>407</v>
      </c>
      <c r="C33" s="10" t="s">
        <v>408</v>
      </c>
      <c r="D33" s="2" t="s">
        <v>379</v>
      </c>
      <c r="E33" s="2"/>
      <c r="F33" s="2">
        <v>66</v>
      </c>
      <c r="G33" s="2" t="s">
        <v>250</v>
      </c>
      <c r="H33" s="2" t="s">
        <v>364</v>
      </c>
      <c r="I33" s="2">
        <v>66</v>
      </c>
      <c r="J33" s="40">
        <f t="shared" si="0"/>
        <v>4.3560000000000002E-4</v>
      </c>
    </row>
    <row r="34" spans="2:10">
      <c r="B34" s="10" t="s">
        <v>407</v>
      </c>
      <c r="C34" s="10" t="s">
        <v>408</v>
      </c>
      <c r="D34" s="2" t="s">
        <v>380</v>
      </c>
      <c r="E34" s="2"/>
      <c r="F34" s="2">
        <v>30</v>
      </c>
      <c r="G34" s="2" t="s">
        <v>250</v>
      </c>
      <c r="H34" s="2" t="s">
        <v>364</v>
      </c>
      <c r="I34" s="2">
        <v>52</v>
      </c>
      <c r="J34" s="40">
        <f t="shared" ref="J34:J65" si="1">(I34*F34)/10000000</f>
        <v>1.56E-4</v>
      </c>
    </row>
    <row r="35" spans="2:10">
      <c r="B35" s="10" t="s">
        <v>407</v>
      </c>
      <c r="C35" s="10" t="s">
        <v>408</v>
      </c>
      <c r="D35" s="2" t="s">
        <v>381</v>
      </c>
      <c r="E35" s="2"/>
      <c r="F35" s="2">
        <v>210</v>
      </c>
      <c r="G35" s="2" t="s">
        <v>250</v>
      </c>
      <c r="H35" s="2" t="s">
        <v>364</v>
      </c>
      <c r="I35" s="2">
        <v>42</v>
      </c>
      <c r="J35" s="40">
        <f t="shared" si="1"/>
        <v>8.8199999999999997E-4</v>
      </c>
    </row>
    <row r="36" spans="2:10">
      <c r="B36" s="10" t="s">
        <v>407</v>
      </c>
      <c r="C36" s="10" t="s">
        <v>408</v>
      </c>
      <c r="D36" s="2" t="s">
        <v>381</v>
      </c>
      <c r="E36" s="2"/>
      <c r="F36" s="2">
        <v>88</v>
      </c>
      <c r="G36" s="2" t="s">
        <v>250</v>
      </c>
      <c r="H36" s="2" t="s">
        <v>382</v>
      </c>
      <c r="I36" s="2">
        <v>42</v>
      </c>
      <c r="J36" s="40">
        <f t="shared" si="1"/>
        <v>3.6959999999999998E-4</v>
      </c>
    </row>
    <row r="37" spans="2:10">
      <c r="B37" s="10" t="s">
        <v>407</v>
      </c>
      <c r="C37" s="10" t="s">
        <v>408</v>
      </c>
      <c r="D37" s="2" t="s">
        <v>383</v>
      </c>
      <c r="E37" s="2"/>
      <c r="F37" s="2">
        <v>1</v>
      </c>
      <c r="G37" s="2" t="s">
        <v>250</v>
      </c>
      <c r="H37" s="2" t="s">
        <v>382</v>
      </c>
      <c r="I37" s="2">
        <v>847.11</v>
      </c>
      <c r="J37" s="40">
        <f t="shared" si="1"/>
        <v>8.4710999999999996E-5</v>
      </c>
    </row>
    <row r="38" spans="2:10">
      <c r="B38" s="10" t="s">
        <v>407</v>
      </c>
      <c r="C38" s="10" t="s">
        <v>408</v>
      </c>
      <c r="D38" s="2" t="s">
        <v>384</v>
      </c>
      <c r="E38" s="2"/>
      <c r="F38" s="2">
        <v>1</v>
      </c>
      <c r="G38" s="2" t="s">
        <v>250</v>
      </c>
      <c r="H38" s="2" t="s">
        <v>382</v>
      </c>
      <c r="I38" s="2">
        <v>351.19</v>
      </c>
      <c r="J38" s="40">
        <f t="shared" si="1"/>
        <v>3.5119E-5</v>
      </c>
    </row>
    <row r="39" spans="2:10">
      <c r="B39" s="10" t="s">
        <v>407</v>
      </c>
      <c r="C39" s="10" t="s">
        <v>408</v>
      </c>
      <c r="D39" s="2" t="s">
        <v>385</v>
      </c>
      <c r="E39" s="2"/>
      <c r="F39" s="2">
        <v>3</v>
      </c>
      <c r="G39" s="2" t="s">
        <v>250</v>
      </c>
      <c r="H39" s="2" t="s">
        <v>382</v>
      </c>
      <c r="I39" s="2">
        <v>1449.77</v>
      </c>
      <c r="J39" s="40">
        <f t="shared" si="1"/>
        <v>4.3493099999999995E-4</v>
      </c>
    </row>
    <row r="40" spans="2:10">
      <c r="B40" s="10" t="s">
        <v>407</v>
      </c>
      <c r="C40" s="10" t="s">
        <v>408</v>
      </c>
      <c r="D40" s="2" t="s">
        <v>386</v>
      </c>
      <c r="E40" s="2"/>
      <c r="F40" s="2">
        <v>3</v>
      </c>
      <c r="G40" s="2" t="s">
        <v>250</v>
      </c>
      <c r="H40" s="2" t="s">
        <v>382</v>
      </c>
      <c r="I40" s="2">
        <v>357.03</v>
      </c>
      <c r="J40" s="40">
        <f t="shared" si="1"/>
        <v>1.0710899999999999E-4</v>
      </c>
    </row>
    <row r="41" spans="2:10">
      <c r="B41" s="10" t="s">
        <v>407</v>
      </c>
      <c r="C41" s="10" t="s">
        <v>408</v>
      </c>
      <c r="D41" s="2" t="s">
        <v>387</v>
      </c>
      <c r="E41" s="2"/>
      <c r="F41" s="2">
        <v>3</v>
      </c>
      <c r="G41" s="2" t="s">
        <v>250</v>
      </c>
      <c r="H41" s="2" t="s">
        <v>382</v>
      </c>
      <c r="I41" s="2">
        <v>655.69</v>
      </c>
      <c r="J41" s="40">
        <f t="shared" si="1"/>
        <v>1.9670700000000001E-4</v>
      </c>
    </row>
    <row r="42" spans="2:10">
      <c r="B42" s="10" t="s">
        <v>407</v>
      </c>
      <c r="C42" s="10" t="s">
        <v>408</v>
      </c>
      <c r="D42" s="2" t="s">
        <v>387</v>
      </c>
      <c r="E42" s="2"/>
      <c r="F42" s="2">
        <v>2</v>
      </c>
      <c r="G42" s="2" t="s">
        <v>250</v>
      </c>
      <c r="H42" s="2" t="s">
        <v>382</v>
      </c>
      <c r="I42" s="2">
        <v>655.69</v>
      </c>
      <c r="J42" s="40">
        <f t="shared" si="1"/>
        <v>1.3113800000000002E-4</v>
      </c>
    </row>
    <row r="43" spans="2:10">
      <c r="B43" s="10" t="s">
        <v>407</v>
      </c>
      <c r="C43" s="10" t="s">
        <v>408</v>
      </c>
      <c r="D43" s="2" t="s">
        <v>385</v>
      </c>
      <c r="E43" s="2"/>
      <c r="F43" s="2">
        <v>2</v>
      </c>
      <c r="G43" s="2" t="s">
        <v>250</v>
      </c>
      <c r="H43" s="2" t="s">
        <v>382</v>
      </c>
      <c r="I43" s="2">
        <v>1449.77</v>
      </c>
      <c r="J43" s="40">
        <f t="shared" si="1"/>
        <v>2.8995399999999998E-4</v>
      </c>
    </row>
    <row r="44" spans="2:10">
      <c r="B44" s="10" t="s">
        <v>407</v>
      </c>
      <c r="C44" s="10" t="s">
        <v>408</v>
      </c>
      <c r="D44" s="2" t="s">
        <v>388</v>
      </c>
      <c r="E44" s="2"/>
      <c r="F44" s="2">
        <v>2</v>
      </c>
      <c r="G44" s="2" t="s">
        <v>250</v>
      </c>
      <c r="H44" s="2" t="s">
        <v>382</v>
      </c>
      <c r="I44" s="2">
        <v>357.03</v>
      </c>
      <c r="J44" s="40">
        <f t="shared" si="1"/>
        <v>7.1406E-5</v>
      </c>
    </row>
    <row r="45" spans="2:10">
      <c r="B45" s="10" t="s">
        <v>407</v>
      </c>
      <c r="C45" s="10" t="s">
        <v>408</v>
      </c>
      <c r="D45" s="2" t="s">
        <v>385</v>
      </c>
      <c r="E45" s="2"/>
      <c r="F45" s="2">
        <v>3</v>
      </c>
      <c r="G45" s="2" t="s">
        <v>250</v>
      </c>
      <c r="H45" s="2" t="s">
        <v>382</v>
      </c>
      <c r="I45" s="2">
        <v>1449.77</v>
      </c>
      <c r="J45" s="40">
        <f t="shared" si="1"/>
        <v>4.3493099999999995E-4</v>
      </c>
    </row>
    <row r="46" spans="2:10">
      <c r="B46" s="10" t="s">
        <v>407</v>
      </c>
      <c r="C46" s="10" t="s">
        <v>408</v>
      </c>
      <c r="D46" s="2" t="s">
        <v>389</v>
      </c>
      <c r="E46" s="2"/>
      <c r="F46" s="2">
        <v>3</v>
      </c>
      <c r="G46" s="2" t="s">
        <v>250</v>
      </c>
      <c r="H46" s="2" t="s">
        <v>382</v>
      </c>
      <c r="I46" s="2">
        <v>579.73</v>
      </c>
      <c r="J46" s="40">
        <f t="shared" si="1"/>
        <v>1.73919E-4</v>
      </c>
    </row>
    <row r="47" spans="2:10">
      <c r="B47" s="10" t="s">
        <v>407</v>
      </c>
      <c r="C47" s="10" t="s">
        <v>408</v>
      </c>
      <c r="D47" s="2" t="s">
        <v>387</v>
      </c>
      <c r="E47" s="2"/>
      <c r="F47" s="2">
        <v>3</v>
      </c>
      <c r="G47" s="2" t="s">
        <v>250</v>
      </c>
      <c r="H47" s="2" t="s">
        <v>382</v>
      </c>
      <c r="I47" s="2">
        <v>655.69</v>
      </c>
      <c r="J47" s="40">
        <f t="shared" si="1"/>
        <v>1.9670700000000001E-4</v>
      </c>
    </row>
    <row r="48" spans="2:10">
      <c r="B48" s="10" t="s">
        <v>407</v>
      </c>
      <c r="C48" s="10" t="s">
        <v>408</v>
      </c>
      <c r="D48" s="2" t="s">
        <v>390</v>
      </c>
      <c r="E48" s="2"/>
      <c r="F48" s="2">
        <v>1</v>
      </c>
      <c r="G48" s="2" t="s">
        <v>250</v>
      </c>
      <c r="H48" s="2" t="s">
        <v>382</v>
      </c>
      <c r="I48" s="2">
        <v>1133.96</v>
      </c>
      <c r="J48" s="40">
        <f t="shared" si="1"/>
        <v>1.1339600000000001E-4</v>
      </c>
    </row>
    <row r="49" spans="2:10">
      <c r="B49" s="10" t="s">
        <v>407</v>
      </c>
      <c r="C49" s="10" t="s">
        <v>408</v>
      </c>
      <c r="D49" s="2" t="s">
        <v>391</v>
      </c>
      <c r="E49" s="2"/>
      <c r="F49" s="2">
        <v>1</v>
      </c>
      <c r="G49" s="2" t="s">
        <v>250</v>
      </c>
      <c r="H49" s="2" t="s">
        <v>382</v>
      </c>
      <c r="I49" s="2">
        <v>2767.64</v>
      </c>
      <c r="J49" s="40">
        <f t="shared" si="1"/>
        <v>2.7676399999999998E-4</v>
      </c>
    </row>
    <row r="50" spans="2:10">
      <c r="B50" s="10" t="s">
        <v>407</v>
      </c>
      <c r="C50" s="10" t="s">
        <v>408</v>
      </c>
      <c r="D50" s="2" t="s">
        <v>392</v>
      </c>
      <c r="E50" s="2"/>
      <c r="F50" s="2">
        <v>1</v>
      </c>
      <c r="G50" s="2" t="s">
        <v>250</v>
      </c>
      <c r="H50" s="2" t="s">
        <v>382</v>
      </c>
      <c r="I50" s="2">
        <v>3359.53</v>
      </c>
      <c r="J50" s="40">
        <f t="shared" si="1"/>
        <v>3.35953E-4</v>
      </c>
    </row>
    <row r="51" spans="2:10">
      <c r="B51" s="10" t="s">
        <v>407</v>
      </c>
      <c r="C51" s="10" t="s">
        <v>408</v>
      </c>
      <c r="D51" s="2" t="s">
        <v>392</v>
      </c>
      <c r="E51" s="2"/>
      <c r="F51" s="2">
        <v>7</v>
      </c>
      <c r="G51" s="2" t="s">
        <v>250</v>
      </c>
      <c r="H51" s="2" t="s">
        <v>382</v>
      </c>
      <c r="I51" s="2">
        <v>3359.53</v>
      </c>
      <c r="J51" s="40">
        <f t="shared" si="1"/>
        <v>2.3516710000000005E-3</v>
      </c>
    </row>
    <row r="52" spans="2:10">
      <c r="B52" s="10" t="s">
        <v>407</v>
      </c>
      <c r="C52" s="10" t="s">
        <v>408</v>
      </c>
      <c r="D52" s="2" t="s">
        <v>393</v>
      </c>
      <c r="E52" s="2"/>
      <c r="F52" s="2">
        <v>6</v>
      </c>
      <c r="G52" s="2" t="s">
        <v>250</v>
      </c>
      <c r="H52" s="2" t="s">
        <v>382</v>
      </c>
      <c r="I52" s="2">
        <v>610.4</v>
      </c>
      <c r="J52" s="40">
        <f t="shared" si="1"/>
        <v>3.6623999999999999E-4</v>
      </c>
    </row>
    <row r="53" spans="2:10">
      <c r="B53" s="10" t="s">
        <v>407</v>
      </c>
      <c r="C53" s="10" t="s">
        <v>408</v>
      </c>
      <c r="D53" s="2" t="s">
        <v>394</v>
      </c>
      <c r="E53" s="2"/>
      <c r="F53" s="2">
        <v>7</v>
      </c>
      <c r="G53" s="2" t="s">
        <v>250</v>
      </c>
      <c r="H53" s="2" t="s">
        <v>382</v>
      </c>
      <c r="I53" s="2">
        <v>2767.64</v>
      </c>
      <c r="J53" s="40">
        <f t="shared" si="1"/>
        <v>1.937348E-3</v>
      </c>
    </row>
    <row r="54" spans="2:10">
      <c r="B54" s="10" t="s">
        <v>407</v>
      </c>
      <c r="C54" s="10" t="s">
        <v>408</v>
      </c>
      <c r="D54" s="2" t="s">
        <v>392</v>
      </c>
      <c r="E54" s="2"/>
      <c r="F54" s="2">
        <v>5</v>
      </c>
      <c r="G54" s="2" t="s">
        <v>250</v>
      </c>
      <c r="H54" s="2" t="s">
        <v>382</v>
      </c>
      <c r="I54" s="2">
        <v>3359.53</v>
      </c>
      <c r="J54" s="40">
        <f t="shared" si="1"/>
        <v>1.6797650000000002E-3</v>
      </c>
    </row>
    <row r="55" spans="2:10">
      <c r="B55" s="10" t="s">
        <v>407</v>
      </c>
      <c r="C55" s="10" t="s">
        <v>408</v>
      </c>
      <c r="D55" s="2" t="s">
        <v>395</v>
      </c>
      <c r="E55" s="2"/>
      <c r="F55" s="2">
        <v>5</v>
      </c>
      <c r="G55" s="2" t="s">
        <v>250</v>
      </c>
      <c r="H55" s="2" t="s">
        <v>382</v>
      </c>
      <c r="I55" s="2">
        <v>2767.64</v>
      </c>
      <c r="J55" s="40">
        <f t="shared" si="1"/>
        <v>1.3838199999999998E-3</v>
      </c>
    </row>
    <row r="56" spans="2:10">
      <c r="B56" s="10" t="s">
        <v>407</v>
      </c>
      <c r="C56" s="10" t="s">
        <v>408</v>
      </c>
      <c r="D56" s="2" t="s">
        <v>396</v>
      </c>
      <c r="E56" s="2"/>
      <c r="F56" s="2">
        <v>1</v>
      </c>
      <c r="G56" s="2" t="s">
        <v>250</v>
      </c>
      <c r="H56" s="2" t="s">
        <v>382</v>
      </c>
      <c r="I56" s="2">
        <v>2773.59</v>
      </c>
      <c r="J56" s="40">
        <f t="shared" si="1"/>
        <v>2.7735900000000003E-4</v>
      </c>
    </row>
    <row r="57" spans="2:10">
      <c r="B57" s="10" t="s">
        <v>407</v>
      </c>
      <c r="C57" s="10" t="s">
        <v>408</v>
      </c>
      <c r="D57" s="2" t="s">
        <v>397</v>
      </c>
      <c r="E57" s="2"/>
      <c r="F57" s="2">
        <v>1</v>
      </c>
      <c r="G57" s="2" t="s">
        <v>250</v>
      </c>
      <c r="H57" s="2" t="s">
        <v>382</v>
      </c>
      <c r="I57" s="2">
        <v>9988.4500000000007</v>
      </c>
      <c r="J57" s="40">
        <f t="shared" si="1"/>
        <v>9.9884500000000016E-4</v>
      </c>
    </row>
    <row r="58" spans="2:10">
      <c r="B58" s="10" t="s">
        <v>407</v>
      </c>
      <c r="C58" s="10" t="s">
        <v>408</v>
      </c>
      <c r="D58" s="2" t="s">
        <v>398</v>
      </c>
      <c r="E58" s="2"/>
      <c r="F58" s="2">
        <v>1</v>
      </c>
      <c r="G58" s="2" t="s">
        <v>250</v>
      </c>
      <c r="H58" s="2" t="s">
        <v>382</v>
      </c>
      <c r="I58" s="2">
        <v>13210.99</v>
      </c>
      <c r="J58" s="40">
        <f t="shared" si="1"/>
        <v>1.3210990000000001E-3</v>
      </c>
    </row>
    <row r="59" spans="2:10">
      <c r="B59" s="10" t="s">
        <v>407</v>
      </c>
      <c r="C59" s="10" t="s">
        <v>408</v>
      </c>
      <c r="D59" s="2" t="s">
        <v>399</v>
      </c>
      <c r="E59" s="2"/>
      <c r="F59" s="2">
        <v>184</v>
      </c>
      <c r="G59" s="2" t="s">
        <v>355</v>
      </c>
      <c r="H59" s="2" t="s">
        <v>400</v>
      </c>
      <c r="I59" s="2">
        <v>295</v>
      </c>
      <c r="J59" s="40">
        <f t="shared" si="1"/>
        <v>5.4279999999999997E-3</v>
      </c>
    </row>
    <row r="60" spans="2:10">
      <c r="B60" s="10" t="s">
        <v>407</v>
      </c>
      <c r="C60" s="10" t="s">
        <v>408</v>
      </c>
      <c r="D60" s="2" t="s">
        <v>401</v>
      </c>
      <c r="E60" s="2"/>
      <c r="F60" s="2">
        <v>190</v>
      </c>
      <c r="G60" s="2" t="s">
        <v>355</v>
      </c>
      <c r="H60" s="2" t="s">
        <v>400</v>
      </c>
      <c r="I60" s="2">
        <v>214</v>
      </c>
      <c r="J60" s="40">
        <f t="shared" si="1"/>
        <v>4.0660000000000002E-3</v>
      </c>
    </row>
    <row r="61" spans="2:10">
      <c r="B61" s="10" t="s">
        <v>407</v>
      </c>
      <c r="C61" s="10" t="s">
        <v>408</v>
      </c>
      <c r="D61" s="2" t="s">
        <v>402</v>
      </c>
      <c r="E61" s="2"/>
      <c r="F61" s="2">
        <v>573</v>
      </c>
      <c r="G61" s="2" t="s">
        <v>355</v>
      </c>
      <c r="H61" s="2" t="s">
        <v>400</v>
      </c>
      <c r="I61" s="2">
        <v>443</v>
      </c>
      <c r="J61" s="40">
        <f t="shared" si="1"/>
        <v>2.5383900000000001E-2</v>
      </c>
    </row>
    <row r="62" spans="2:10">
      <c r="B62" s="10" t="s">
        <v>407</v>
      </c>
      <c r="C62" s="10" t="s">
        <v>408</v>
      </c>
      <c r="D62" s="2" t="s">
        <v>403</v>
      </c>
      <c r="E62" s="2"/>
      <c r="F62" s="2">
        <v>131</v>
      </c>
      <c r="G62" s="2" t="s">
        <v>355</v>
      </c>
      <c r="H62" s="2" t="s">
        <v>400</v>
      </c>
      <c r="I62" s="2">
        <v>334.35</v>
      </c>
      <c r="J62" s="40">
        <f t="shared" si="1"/>
        <v>4.3799850000000003E-3</v>
      </c>
    </row>
    <row r="63" spans="2:10">
      <c r="B63" s="10" t="s">
        <v>407</v>
      </c>
      <c r="C63" s="10" t="s">
        <v>408</v>
      </c>
      <c r="D63" s="2" t="s">
        <v>404</v>
      </c>
      <c r="E63" s="2"/>
      <c r="F63" s="2">
        <v>92</v>
      </c>
      <c r="G63" s="2" t="s">
        <v>355</v>
      </c>
      <c r="H63" s="2" t="s">
        <v>400</v>
      </c>
      <c r="I63" s="2">
        <v>696</v>
      </c>
      <c r="J63" s="40">
        <f t="shared" si="1"/>
        <v>6.4032000000000004E-3</v>
      </c>
    </row>
    <row r="64" spans="2:10">
      <c r="B64" s="10" t="s">
        <v>407</v>
      </c>
      <c r="C64" s="10" t="s">
        <v>408</v>
      </c>
      <c r="D64" s="2" t="s">
        <v>405</v>
      </c>
      <c r="E64" s="2"/>
      <c r="F64" s="2">
        <v>50</v>
      </c>
      <c r="G64" s="2" t="s">
        <v>182</v>
      </c>
      <c r="H64" s="2"/>
      <c r="I64" s="2">
        <v>2257.92</v>
      </c>
      <c r="J64" s="40">
        <f t="shared" si="1"/>
        <v>1.12896E-2</v>
      </c>
    </row>
    <row r="65" spans="2:10">
      <c r="B65" s="10" t="s">
        <v>407</v>
      </c>
      <c r="C65" s="10" t="s">
        <v>408</v>
      </c>
      <c r="D65" s="2" t="s">
        <v>406</v>
      </c>
      <c r="E65" s="2"/>
      <c r="F65" s="2">
        <v>60</v>
      </c>
      <c r="G65" s="2" t="s">
        <v>182</v>
      </c>
      <c r="H65" s="2"/>
      <c r="I65" s="2">
        <v>3763.19</v>
      </c>
      <c r="J65" s="40">
        <f t="shared" si="1"/>
        <v>2.2579140000000001E-2</v>
      </c>
    </row>
    <row r="66" spans="2:10">
      <c r="B66" s="10"/>
      <c r="C66" s="10"/>
      <c r="D66" s="10"/>
      <c r="E66" s="10"/>
      <c r="F66" s="10"/>
      <c r="G66" s="10"/>
      <c r="H66" s="94" t="s">
        <v>970</v>
      </c>
      <c r="I66" s="95"/>
      <c r="J66" s="53">
        <f>SUM(J2:J65)</f>
        <v>0.145289803</v>
      </c>
    </row>
  </sheetData>
  <mergeCells count="1">
    <mergeCell ref="H66:I6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2D5C-03B5-46E0-AFBA-40EC43F2F96E}">
  <dimension ref="A1:J6"/>
  <sheetViews>
    <sheetView topLeftCell="A13" workbookViewId="0">
      <selection activeCell="E14" sqref="E14"/>
    </sheetView>
  </sheetViews>
  <sheetFormatPr defaultRowHeight="14.5"/>
  <cols>
    <col min="2" max="2" width="11.54296875" bestFit="1" customWidth="1"/>
    <col min="3" max="3" width="35" bestFit="1" customWidth="1"/>
    <col min="4" max="4" width="20.90625" bestFit="1" customWidth="1"/>
    <col min="5" max="5" width="9.1796875" bestFit="1" customWidth="1"/>
    <col min="6" max="6" width="3.81640625" bestFit="1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B2" s="41" t="s">
        <v>416</v>
      </c>
      <c r="C2" s="30" t="s">
        <v>417</v>
      </c>
      <c r="D2" s="22" t="s">
        <v>409</v>
      </c>
      <c r="E2" s="22" t="s">
        <v>410</v>
      </c>
      <c r="F2" s="23">
        <v>48</v>
      </c>
      <c r="G2" s="22" t="s">
        <v>182</v>
      </c>
      <c r="H2" s="22" t="s">
        <v>198</v>
      </c>
      <c r="I2" s="22">
        <v>366.81</v>
      </c>
      <c r="J2" s="56">
        <f>(I2*F2)/10000000</f>
        <v>1.7606880000000001E-3</v>
      </c>
    </row>
    <row r="3" spans="1:10">
      <c r="B3" s="41" t="s">
        <v>416</v>
      </c>
      <c r="C3" s="30" t="s">
        <v>417</v>
      </c>
      <c r="D3" s="22" t="s">
        <v>411</v>
      </c>
      <c r="E3" s="22" t="s">
        <v>410</v>
      </c>
      <c r="F3" s="23">
        <v>24</v>
      </c>
      <c r="G3" s="22" t="s">
        <v>182</v>
      </c>
      <c r="H3" s="22" t="s">
        <v>198</v>
      </c>
      <c r="I3" s="22">
        <v>694.12</v>
      </c>
      <c r="J3" s="56">
        <f>(I3*F3)/10000000</f>
        <v>1.6658880000000001E-3</v>
      </c>
    </row>
    <row r="4" spans="1:10">
      <c r="B4" s="41" t="s">
        <v>416</v>
      </c>
      <c r="C4" s="30" t="s">
        <v>417</v>
      </c>
      <c r="D4" s="22" t="s">
        <v>412</v>
      </c>
      <c r="E4" s="22" t="s">
        <v>413</v>
      </c>
      <c r="F4" s="23">
        <v>42</v>
      </c>
      <c r="G4" s="22" t="s">
        <v>182</v>
      </c>
      <c r="H4" s="22" t="s">
        <v>198</v>
      </c>
      <c r="I4" s="22">
        <v>181.25</v>
      </c>
      <c r="J4" s="56">
        <f>(I4*F4)/10000000</f>
        <v>7.6124999999999999E-4</v>
      </c>
    </row>
    <row r="5" spans="1:10">
      <c r="B5" s="41" t="s">
        <v>416</v>
      </c>
      <c r="C5" s="30" t="s">
        <v>417</v>
      </c>
      <c r="D5" s="22" t="s">
        <v>414</v>
      </c>
      <c r="E5" s="22" t="s">
        <v>415</v>
      </c>
      <c r="F5" s="23">
        <v>96</v>
      </c>
      <c r="G5" s="22" t="s">
        <v>182</v>
      </c>
      <c r="H5" s="22" t="s">
        <v>198</v>
      </c>
      <c r="I5" s="22">
        <v>478.19</v>
      </c>
      <c r="J5" s="56">
        <f>(I5*F5)/10000000</f>
        <v>4.5906239999999997E-3</v>
      </c>
    </row>
    <row r="6" spans="1:10">
      <c r="B6" s="41"/>
      <c r="C6" s="41"/>
      <c r="D6" s="41"/>
      <c r="E6" s="41"/>
      <c r="F6" s="41"/>
      <c r="G6" s="41"/>
      <c r="H6" s="101" t="s">
        <v>970</v>
      </c>
      <c r="I6" s="102"/>
      <c r="J6" s="57">
        <f>SUM(J2:J5)</f>
        <v>8.7784500000000001E-3</v>
      </c>
    </row>
  </sheetData>
  <mergeCells count="1">
    <mergeCell ref="H6:I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0040-4D07-421C-A820-19DE654E5813}">
  <dimension ref="A1:J3"/>
  <sheetViews>
    <sheetView workbookViewId="0">
      <selection activeCell="B2" sqref="B2:J3"/>
    </sheetView>
  </sheetViews>
  <sheetFormatPr defaultRowHeight="14.5"/>
  <cols>
    <col min="2" max="2" width="11.54296875" bestFit="1" customWidth="1"/>
    <col min="3" max="3" width="16.1796875" bestFit="1" customWidth="1"/>
    <col min="4" max="4" width="15.7265625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43.5">
      <c r="B2" s="10" t="s">
        <v>418</v>
      </c>
      <c r="C2" s="10" t="s">
        <v>421</v>
      </c>
      <c r="D2" s="36" t="s">
        <v>419</v>
      </c>
      <c r="E2" s="2"/>
      <c r="F2" s="2">
        <v>7</v>
      </c>
      <c r="G2" s="2" t="s">
        <v>33</v>
      </c>
      <c r="H2" s="36" t="s">
        <v>420</v>
      </c>
      <c r="I2" s="2">
        <v>103000</v>
      </c>
      <c r="J2" s="12">
        <f>(I2*F2)/10000000</f>
        <v>7.2099999999999997E-2</v>
      </c>
    </row>
    <row r="3" spans="1:10">
      <c r="B3" s="10"/>
      <c r="C3" s="10"/>
      <c r="D3" s="10"/>
      <c r="E3" s="10"/>
      <c r="F3" s="10"/>
      <c r="G3" s="10"/>
      <c r="H3" s="94" t="s">
        <v>970</v>
      </c>
      <c r="I3" s="95"/>
      <c r="J3" s="13">
        <f>SUM(J2)</f>
        <v>7.2099999999999997E-2</v>
      </c>
    </row>
  </sheetData>
  <mergeCells count="1">
    <mergeCell ref="H3:I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90E2-480A-4A8E-A05B-D1C337F116D8}">
  <dimension ref="A1:J10"/>
  <sheetViews>
    <sheetView workbookViewId="0">
      <selection activeCell="D16" sqref="D16"/>
    </sheetView>
  </sheetViews>
  <sheetFormatPr defaultRowHeight="14.5"/>
  <cols>
    <col min="2" max="2" width="11.54296875" bestFit="1" customWidth="1"/>
    <col min="3" max="3" width="20.26953125" bestFit="1" customWidth="1"/>
    <col min="4" max="4" width="39.6328125" bestFit="1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B2" s="4" t="s">
        <v>422</v>
      </c>
      <c r="C2" s="4" t="s">
        <v>439</v>
      </c>
      <c r="D2" s="2" t="s">
        <v>423</v>
      </c>
      <c r="E2" s="5" t="s">
        <v>424</v>
      </c>
      <c r="F2" s="5">
        <v>60</v>
      </c>
      <c r="G2" s="5" t="s">
        <v>14</v>
      </c>
      <c r="H2" s="5" t="s">
        <v>425</v>
      </c>
      <c r="I2" s="5">
        <v>2044</v>
      </c>
      <c r="J2" s="7">
        <f t="shared" ref="J2:J9" si="0">(I2*F2)/10000000</f>
        <v>1.2264000000000001E-2</v>
      </c>
    </row>
    <row r="3" spans="1:10">
      <c r="B3" s="4" t="s">
        <v>422</v>
      </c>
      <c r="C3" s="4" t="s">
        <v>439</v>
      </c>
      <c r="D3" s="2" t="s">
        <v>426</v>
      </c>
      <c r="E3" s="5" t="s">
        <v>424</v>
      </c>
      <c r="F3" s="5">
        <v>1002</v>
      </c>
      <c r="G3" s="5" t="s">
        <v>14</v>
      </c>
      <c r="H3" s="5" t="s">
        <v>425</v>
      </c>
      <c r="I3" s="5">
        <v>176</v>
      </c>
      <c r="J3" s="7">
        <f t="shared" si="0"/>
        <v>1.76352E-2</v>
      </c>
    </row>
    <row r="4" spans="1:10">
      <c r="B4" s="4" t="s">
        <v>422</v>
      </c>
      <c r="C4" s="4" t="s">
        <v>439</v>
      </c>
      <c r="D4" s="5" t="s">
        <v>427</v>
      </c>
      <c r="E4" s="5" t="s">
        <v>428</v>
      </c>
      <c r="F4" s="5">
        <v>2000</v>
      </c>
      <c r="G4" s="5" t="s">
        <v>14</v>
      </c>
      <c r="H4" s="5" t="s">
        <v>429</v>
      </c>
      <c r="I4" s="5">
        <v>355</v>
      </c>
      <c r="J4" s="7">
        <f t="shared" si="0"/>
        <v>7.0999999999999994E-2</v>
      </c>
    </row>
    <row r="5" spans="1:10" ht="29">
      <c r="B5" s="4" t="s">
        <v>422</v>
      </c>
      <c r="C5" s="4" t="s">
        <v>439</v>
      </c>
      <c r="D5" s="34" t="s">
        <v>430</v>
      </c>
      <c r="E5" s="5" t="s">
        <v>428</v>
      </c>
      <c r="F5" s="5">
        <v>13</v>
      </c>
      <c r="G5" s="5" t="s">
        <v>431</v>
      </c>
      <c r="H5" s="5" t="s">
        <v>432</v>
      </c>
      <c r="I5" s="5">
        <v>6950</v>
      </c>
      <c r="J5" s="7">
        <f t="shared" si="0"/>
        <v>9.0349999999999996E-3</v>
      </c>
    </row>
    <row r="6" spans="1:10">
      <c r="B6" s="4" t="s">
        <v>422</v>
      </c>
      <c r="C6" s="4" t="s">
        <v>439</v>
      </c>
      <c r="D6" s="5" t="s">
        <v>433</v>
      </c>
      <c r="E6" s="5" t="s">
        <v>434</v>
      </c>
      <c r="F6" s="5">
        <v>16</v>
      </c>
      <c r="G6" s="5" t="s">
        <v>14</v>
      </c>
      <c r="H6" s="5" t="s">
        <v>435</v>
      </c>
      <c r="I6" s="26">
        <v>1054</v>
      </c>
      <c r="J6" s="7">
        <f t="shared" si="0"/>
        <v>1.6864E-3</v>
      </c>
    </row>
    <row r="7" spans="1:10">
      <c r="B7" s="4" t="s">
        <v>422</v>
      </c>
      <c r="C7" s="4" t="s">
        <v>439</v>
      </c>
      <c r="D7" s="5" t="s">
        <v>436</v>
      </c>
      <c r="E7" s="5" t="s">
        <v>434</v>
      </c>
      <c r="F7" s="5">
        <v>135</v>
      </c>
      <c r="G7" s="5" t="s">
        <v>14</v>
      </c>
      <c r="H7" s="5" t="s">
        <v>437</v>
      </c>
      <c r="I7" s="26">
        <v>1112.8</v>
      </c>
      <c r="J7" s="7">
        <f t="shared" si="0"/>
        <v>1.5022799999999999E-2</v>
      </c>
    </row>
    <row r="8" spans="1:10">
      <c r="B8" s="4" t="s">
        <v>422</v>
      </c>
      <c r="C8" s="4" t="s">
        <v>439</v>
      </c>
      <c r="D8" s="5" t="s">
        <v>438</v>
      </c>
      <c r="E8" s="5" t="s">
        <v>434</v>
      </c>
      <c r="F8" s="5">
        <v>72</v>
      </c>
      <c r="G8" s="5" t="s">
        <v>14</v>
      </c>
      <c r="H8" s="5" t="s">
        <v>437</v>
      </c>
      <c r="I8" s="26">
        <v>1730.25</v>
      </c>
      <c r="J8" s="7">
        <f t="shared" si="0"/>
        <v>1.24578E-2</v>
      </c>
    </row>
    <row r="9" spans="1:10">
      <c r="B9" s="4" t="s">
        <v>422</v>
      </c>
      <c r="C9" s="4" t="s">
        <v>439</v>
      </c>
      <c r="D9" s="5" t="s">
        <v>438</v>
      </c>
      <c r="E9" s="5" t="s">
        <v>434</v>
      </c>
      <c r="F9" s="5">
        <v>37</v>
      </c>
      <c r="G9" s="5" t="s">
        <v>14</v>
      </c>
      <c r="H9" s="5" t="s">
        <v>437</v>
      </c>
      <c r="I9" s="26">
        <v>1730.25</v>
      </c>
      <c r="J9" s="7">
        <f t="shared" si="0"/>
        <v>6.4019250000000002E-3</v>
      </c>
    </row>
    <row r="10" spans="1:10">
      <c r="B10" s="4"/>
      <c r="C10" s="4"/>
      <c r="D10" s="4"/>
      <c r="E10" s="4"/>
      <c r="F10" s="4"/>
      <c r="G10" s="4"/>
      <c r="H10" s="101" t="s">
        <v>970</v>
      </c>
      <c r="I10" s="102"/>
      <c r="J10" s="6">
        <f>SUM(J2:J9)</f>
        <v>0.14550312499999998</v>
      </c>
    </row>
  </sheetData>
  <mergeCells count="1">
    <mergeCell ref="H10:I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5C4D-46F6-4B9C-B2DC-6A04E93BE3C7}">
  <dimension ref="A1:J126"/>
  <sheetViews>
    <sheetView topLeftCell="A116" workbookViewId="0">
      <selection activeCell="C129" sqref="C129"/>
    </sheetView>
  </sheetViews>
  <sheetFormatPr defaultRowHeight="14.5"/>
  <cols>
    <col min="2" max="2" width="11.54296875" bestFit="1" customWidth="1"/>
    <col min="3" max="3" width="32.36328125" bestFit="1" customWidth="1"/>
    <col min="4" max="4" width="21.26953125" bestFit="1" customWidth="1"/>
    <col min="5" max="5" width="14.6328125" bestFit="1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B2" s="10" t="s">
        <v>563</v>
      </c>
      <c r="C2" s="10" t="s">
        <v>564</v>
      </c>
      <c r="D2" s="2" t="s">
        <v>440</v>
      </c>
      <c r="E2" s="2" t="s">
        <v>441</v>
      </c>
      <c r="F2" s="2">
        <v>90</v>
      </c>
      <c r="G2" s="2" t="s">
        <v>442</v>
      </c>
      <c r="H2" s="2" t="s">
        <v>443</v>
      </c>
      <c r="I2" s="35">
        <v>2350</v>
      </c>
      <c r="J2" s="12">
        <f t="shared" ref="J2:J33" si="0">(I2*F2)/10000000</f>
        <v>2.1149999999999999E-2</v>
      </c>
    </row>
    <row r="3" spans="1:10">
      <c r="B3" s="10" t="s">
        <v>563</v>
      </c>
      <c r="C3" s="10" t="s">
        <v>564</v>
      </c>
      <c r="D3" s="2" t="s">
        <v>444</v>
      </c>
      <c r="E3" s="2" t="s">
        <v>445</v>
      </c>
      <c r="F3" s="2">
        <v>10</v>
      </c>
      <c r="G3" s="2" t="s">
        <v>442</v>
      </c>
      <c r="H3" s="2" t="s">
        <v>446</v>
      </c>
      <c r="I3" s="35">
        <v>1265</v>
      </c>
      <c r="J3" s="12">
        <f t="shared" si="0"/>
        <v>1.2650000000000001E-3</v>
      </c>
    </row>
    <row r="4" spans="1:10">
      <c r="B4" s="10" t="s">
        <v>563</v>
      </c>
      <c r="C4" s="10" t="s">
        <v>564</v>
      </c>
      <c r="D4" s="2" t="s">
        <v>444</v>
      </c>
      <c r="E4" s="2" t="s">
        <v>445</v>
      </c>
      <c r="F4" s="2">
        <v>2</v>
      </c>
      <c r="G4" s="2" t="s">
        <v>442</v>
      </c>
      <c r="H4" s="2" t="s">
        <v>246</v>
      </c>
      <c r="I4" s="2"/>
      <c r="J4" s="12">
        <f t="shared" si="0"/>
        <v>0</v>
      </c>
    </row>
    <row r="5" spans="1:10">
      <c r="B5" s="10" t="s">
        <v>563</v>
      </c>
      <c r="C5" s="10" t="s">
        <v>564</v>
      </c>
      <c r="D5" s="2" t="s">
        <v>444</v>
      </c>
      <c r="E5" s="2" t="s">
        <v>447</v>
      </c>
      <c r="F5" s="2">
        <v>2</v>
      </c>
      <c r="G5" s="2" t="s">
        <v>442</v>
      </c>
      <c r="H5" s="2" t="s">
        <v>446</v>
      </c>
      <c r="I5" s="35">
        <v>2008.8</v>
      </c>
      <c r="J5" s="12">
        <f t="shared" si="0"/>
        <v>4.0175999999999998E-4</v>
      </c>
    </row>
    <row r="6" spans="1:10" ht="58">
      <c r="B6" s="10" t="s">
        <v>563</v>
      </c>
      <c r="C6" s="10" t="s">
        <v>564</v>
      </c>
      <c r="D6" s="2" t="s">
        <v>444</v>
      </c>
      <c r="E6" s="2" t="s">
        <v>447</v>
      </c>
      <c r="F6" s="2">
        <v>2</v>
      </c>
      <c r="G6" s="2" t="s">
        <v>442</v>
      </c>
      <c r="H6" s="39" t="s">
        <v>448</v>
      </c>
      <c r="I6" s="35">
        <v>2157.6</v>
      </c>
      <c r="J6" s="12">
        <f t="shared" si="0"/>
        <v>4.3151999999999996E-4</v>
      </c>
    </row>
    <row r="7" spans="1:10">
      <c r="B7" s="10" t="s">
        <v>563</v>
      </c>
      <c r="C7" s="10" t="s">
        <v>564</v>
      </c>
      <c r="D7" s="2" t="s">
        <v>444</v>
      </c>
      <c r="E7" s="2" t="s">
        <v>449</v>
      </c>
      <c r="F7" s="2">
        <v>2</v>
      </c>
      <c r="G7" s="2" t="s">
        <v>442</v>
      </c>
      <c r="H7" s="2" t="s">
        <v>446</v>
      </c>
      <c r="I7" s="35">
        <v>6291</v>
      </c>
      <c r="J7" s="12">
        <f t="shared" si="0"/>
        <v>1.2581999999999999E-3</v>
      </c>
    </row>
    <row r="8" spans="1:10">
      <c r="B8" s="10" t="s">
        <v>563</v>
      </c>
      <c r="C8" s="10" t="s">
        <v>564</v>
      </c>
      <c r="D8" s="2" t="s">
        <v>450</v>
      </c>
      <c r="E8" s="2" t="s">
        <v>451</v>
      </c>
      <c r="F8" s="2">
        <v>180</v>
      </c>
      <c r="G8" s="2" t="s">
        <v>442</v>
      </c>
      <c r="H8" s="2" t="s">
        <v>446</v>
      </c>
      <c r="I8" s="25">
        <v>473</v>
      </c>
      <c r="J8" s="12">
        <f t="shared" si="0"/>
        <v>8.5140000000000007E-3</v>
      </c>
    </row>
    <row r="9" spans="1:10">
      <c r="B9" s="10" t="s">
        <v>563</v>
      </c>
      <c r="C9" s="10" t="s">
        <v>564</v>
      </c>
      <c r="D9" s="2" t="s">
        <v>450</v>
      </c>
      <c r="E9" s="2" t="s">
        <v>452</v>
      </c>
      <c r="F9" s="2">
        <v>50</v>
      </c>
      <c r="G9" s="2" t="s">
        <v>442</v>
      </c>
      <c r="H9" s="2" t="s">
        <v>453</v>
      </c>
      <c r="I9" s="2"/>
      <c r="J9" s="12">
        <f t="shared" si="0"/>
        <v>0</v>
      </c>
    </row>
    <row r="10" spans="1:10">
      <c r="B10" s="10" t="s">
        <v>563</v>
      </c>
      <c r="C10" s="10" t="s">
        <v>564</v>
      </c>
      <c r="D10" s="2" t="s">
        <v>454</v>
      </c>
      <c r="E10" s="2" t="s">
        <v>455</v>
      </c>
      <c r="F10" s="2">
        <v>30</v>
      </c>
      <c r="G10" s="2" t="s">
        <v>182</v>
      </c>
      <c r="H10" s="2" t="s">
        <v>456</v>
      </c>
      <c r="I10" s="35">
        <v>4680</v>
      </c>
      <c r="J10" s="12">
        <f t="shared" si="0"/>
        <v>1.404E-2</v>
      </c>
    </row>
    <row r="11" spans="1:10">
      <c r="B11" s="10" t="s">
        <v>563</v>
      </c>
      <c r="C11" s="10" t="s">
        <v>564</v>
      </c>
      <c r="D11" s="2" t="s">
        <v>454</v>
      </c>
      <c r="E11" s="2" t="s">
        <v>457</v>
      </c>
      <c r="F11" s="2">
        <v>30</v>
      </c>
      <c r="G11" s="2" t="s">
        <v>182</v>
      </c>
      <c r="H11" s="2" t="s">
        <v>456</v>
      </c>
      <c r="I11" s="35">
        <v>3470</v>
      </c>
      <c r="J11" s="12">
        <f t="shared" si="0"/>
        <v>1.0410000000000001E-2</v>
      </c>
    </row>
    <row r="12" spans="1:10">
      <c r="B12" s="10" t="s">
        <v>563</v>
      </c>
      <c r="C12" s="10" t="s">
        <v>564</v>
      </c>
      <c r="D12" s="2" t="s">
        <v>454</v>
      </c>
      <c r="E12" s="2" t="s">
        <v>458</v>
      </c>
      <c r="F12" s="2">
        <v>12</v>
      </c>
      <c r="G12" s="2" t="s">
        <v>182</v>
      </c>
      <c r="H12" s="2" t="s">
        <v>456</v>
      </c>
      <c r="I12" s="35">
        <v>2955</v>
      </c>
      <c r="J12" s="12">
        <f t="shared" si="0"/>
        <v>3.5460000000000001E-3</v>
      </c>
    </row>
    <row r="13" spans="1:10">
      <c r="B13" s="10" t="s">
        <v>563</v>
      </c>
      <c r="C13" s="10" t="s">
        <v>564</v>
      </c>
      <c r="D13" s="2" t="s">
        <v>454</v>
      </c>
      <c r="E13" s="2" t="s">
        <v>449</v>
      </c>
      <c r="F13" s="2">
        <v>50</v>
      </c>
      <c r="G13" s="2" t="s">
        <v>182</v>
      </c>
      <c r="H13" s="2" t="s">
        <v>456</v>
      </c>
      <c r="I13" s="35">
        <v>2280</v>
      </c>
      <c r="J13" s="12">
        <f t="shared" si="0"/>
        <v>1.14E-2</v>
      </c>
    </row>
    <row r="14" spans="1:10">
      <c r="B14" s="10" t="s">
        <v>563</v>
      </c>
      <c r="C14" s="10" t="s">
        <v>564</v>
      </c>
      <c r="D14" s="2" t="s">
        <v>454</v>
      </c>
      <c r="E14" s="2" t="s">
        <v>459</v>
      </c>
      <c r="F14" s="2">
        <v>150</v>
      </c>
      <c r="G14" s="2" t="s">
        <v>182</v>
      </c>
      <c r="H14" s="2" t="s">
        <v>456</v>
      </c>
      <c r="I14" s="35">
        <v>1147</v>
      </c>
      <c r="J14" s="12">
        <f t="shared" si="0"/>
        <v>1.7205000000000002E-2</v>
      </c>
    </row>
    <row r="15" spans="1:10">
      <c r="B15" s="10" t="s">
        <v>563</v>
      </c>
      <c r="C15" s="10" t="s">
        <v>564</v>
      </c>
      <c r="D15" s="2" t="s">
        <v>454</v>
      </c>
      <c r="E15" s="2" t="s">
        <v>447</v>
      </c>
      <c r="F15" s="2">
        <v>40</v>
      </c>
      <c r="G15" s="2" t="s">
        <v>182</v>
      </c>
      <c r="H15" s="2" t="s">
        <v>456</v>
      </c>
      <c r="I15" s="25">
        <v>797</v>
      </c>
      <c r="J15" s="12">
        <f t="shared" si="0"/>
        <v>3.1879999999999999E-3</v>
      </c>
    </row>
    <row r="16" spans="1:10">
      <c r="B16" s="10" t="s">
        <v>563</v>
      </c>
      <c r="C16" s="10" t="s">
        <v>564</v>
      </c>
      <c r="D16" s="2" t="s">
        <v>454</v>
      </c>
      <c r="E16" s="2" t="s">
        <v>460</v>
      </c>
      <c r="F16" s="2">
        <v>60</v>
      </c>
      <c r="G16" s="2" t="s">
        <v>182</v>
      </c>
      <c r="H16" s="2" t="s">
        <v>456</v>
      </c>
      <c r="I16" s="25">
        <v>537</v>
      </c>
      <c r="J16" s="12">
        <f t="shared" si="0"/>
        <v>3.222E-3</v>
      </c>
    </row>
    <row r="17" spans="2:10">
      <c r="B17" s="10" t="s">
        <v>563</v>
      </c>
      <c r="C17" s="10" t="s">
        <v>564</v>
      </c>
      <c r="D17" s="2" t="s">
        <v>454</v>
      </c>
      <c r="E17" s="2" t="s">
        <v>461</v>
      </c>
      <c r="F17" s="2">
        <v>40</v>
      </c>
      <c r="G17" s="2" t="s">
        <v>182</v>
      </c>
      <c r="H17" s="2" t="s">
        <v>456</v>
      </c>
      <c r="I17" s="25">
        <v>541</v>
      </c>
      <c r="J17" s="12">
        <f t="shared" si="0"/>
        <v>2.1640000000000001E-3</v>
      </c>
    </row>
    <row r="18" spans="2:10">
      <c r="B18" s="10" t="s">
        <v>563</v>
      </c>
      <c r="C18" s="10" t="s">
        <v>564</v>
      </c>
      <c r="D18" s="2" t="s">
        <v>454</v>
      </c>
      <c r="E18" s="2" t="s">
        <v>462</v>
      </c>
      <c r="F18" s="2">
        <v>50</v>
      </c>
      <c r="G18" s="2" t="s">
        <v>182</v>
      </c>
      <c r="H18" s="2" t="s">
        <v>456</v>
      </c>
      <c r="I18" s="25">
        <v>340</v>
      </c>
      <c r="J18" s="12">
        <f t="shared" si="0"/>
        <v>1.6999999999999999E-3</v>
      </c>
    </row>
    <row r="19" spans="2:10" ht="29">
      <c r="B19" s="10" t="s">
        <v>563</v>
      </c>
      <c r="C19" s="10" t="s">
        <v>564</v>
      </c>
      <c r="D19" s="36" t="s">
        <v>463</v>
      </c>
      <c r="E19" s="36" t="s">
        <v>464</v>
      </c>
      <c r="F19" s="2">
        <v>7</v>
      </c>
      <c r="G19" s="2" t="s">
        <v>442</v>
      </c>
      <c r="H19" s="2" t="s">
        <v>465</v>
      </c>
      <c r="I19" s="35">
        <v>10475</v>
      </c>
      <c r="J19" s="12">
        <f t="shared" si="0"/>
        <v>7.3324999999999996E-3</v>
      </c>
    </row>
    <row r="20" spans="2:10">
      <c r="B20" s="10" t="s">
        <v>563</v>
      </c>
      <c r="C20" s="10" t="s">
        <v>564</v>
      </c>
      <c r="D20" s="2" t="s">
        <v>466</v>
      </c>
      <c r="E20" s="2" t="s">
        <v>467</v>
      </c>
      <c r="F20" s="2">
        <v>6</v>
      </c>
      <c r="G20" s="2" t="s">
        <v>442</v>
      </c>
      <c r="H20" s="2" t="s">
        <v>468</v>
      </c>
      <c r="I20" s="2"/>
      <c r="J20" s="12">
        <f t="shared" si="0"/>
        <v>0</v>
      </c>
    </row>
    <row r="21" spans="2:10">
      <c r="B21" s="10" t="s">
        <v>563</v>
      </c>
      <c r="C21" s="10" t="s">
        <v>564</v>
      </c>
      <c r="D21" s="2" t="s">
        <v>469</v>
      </c>
      <c r="E21" s="2" t="s">
        <v>458</v>
      </c>
      <c r="F21" s="2">
        <v>12</v>
      </c>
      <c r="G21" s="2" t="s">
        <v>182</v>
      </c>
      <c r="H21" s="2" t="s">
        <v>470</v>
      </c>
      <c r="I21" s="25">
        <v>102.6</v>
      </c>
      <c r="J21" s="12">
        <f t="shared" si="0"/>
        <v>1.2311999999999997E-4</v>
      </c>
    </row>
    <row r="22" spans="2:10">
      <c r="B22" s="10" t="s">
        <v>563</v>
      </c>
      <c r="C22" s="10" t="s">
        <v>564</v>
      </c>
      <c r="D22" s="2" t="s">
        <v>469</v>
      </c>
      <c r="E22" s="2" t="s">
        <v>471</v>
      </c>
      <c r="F22" s="2">
        <v>6</v>
      </c>
      <c r="G22" s="2" t="s">
        <v>182</v>
      </c>
      <c r="H22" s="2" t="s">
        <v>470</v>
      </c>
      <c r="I22" s="25">
        <v>930</v>
      </c>
      <c r="J22" s="12">
        <f t="shared" si="0"/>
        <v>5.5800000000000001E-4</v>
      </c>
    </row>
    <row r="23" spans="2:10">
      <c r="B23" s="10" t="s">
        <v>563</v>
      </c>
      <c r="C23" s="10" t="s">
        <v>564</v>
      </c>
      <c r="D23" s="2" t="s">
        <v>469</v>
      </c>
      <c r="E23" s="2" t="s">
        <v>445</v>
      </c>
      <c r="F23" s="2">
        <v>50</v>
      </c>
      <c r="G23" s="2" t="s">
        <v>182</v>
      </c>
      <c r="H23" s="2" t="s">
        <v>470</v>
      </c>
      <c r="I23" s="25">
        <v>295</v>
      </c>
      <c r="J23" s="12">
        <f t="shared" si="0"/>
        <v>1.475E-3</v>
      </c>
    </row>
    <row r="24" spans="2:10">
      <c r="B24" s="10" t="s">
        <v>563</v>
      </c>
      <c r="C24" s="10" t="s">
        <v>564</v>
      </c>
      <c r="D24" s="2" t="s">
        <v>469</v>
      </c>
      <c r="E24" s="2" t="s">
        <v>472</v>
      </c>
      <c r="F24" s="2">
        <v>60</v>
      </c>
      <c r="G24" s="2" t="s">
        <v>182</v>
      </c>
      <c r="H24" s="2" t="s">
        <v>470</v>
      </c>
      <c r="I24" s="25">
        <v>176.13</v>
      </c>
      <c r="J24" s="12">
        <f t="shared" si="0"/>
        <v>1.05678E-3</v>
      </c>
    </row>
    <row r="25" spans="2:10">
      <c r="B25" s="10" t="s">
        <v>563</v>
      </c>
      <c r="C25" s="10" t="s">
        <v>564</v>
      </c>
      <c r="D25" s="2" t="s">
        <v>469</v>
      </c>
      <c r="E25" s="2" t="s">
        <v>460</v>
      </c>
      <c r="F25" s="2">
        <v>20</v>
      </c>
      <c r="G25" s="2" t="s">
        <v>182</v>
      </c>
      <c r="H25" s="2" t="s">
        <v>470</v>
      </c>
      <c r="I25" s="25">
        <v>129.96</v>
      </c>
      <c r="J25" s="12">
        <f t="shared" si="0"/>
        <v>2.5992000000000002E-4</v>
      </c>
    </row>
    <row r="26" spans="2:10">
      <c r="B26" s="10" t="s">
        <v>563</v>
      </c>
      <c r="C26" s="10" t="s">
        <v>564</v>
      </c>
      <c r="D26" s="2" t="s">
        <v>469</v>
      </c>
      <c r="E26" s="2" t="s">
        <v>473</v>
      </c>
      <c r="F26" s="2">
        <v>5</v>
      </c>
      <c r="G26" s="2" t="s">
        <v>182</v>
      </c>
      <c r="H26" s="2" t="s">
        <v>470</v>
      </c>
      <c r="I26" s="25">
        <v>79.23</v>
      </c>
      <c r="J26" s="12">
        <f t="shared" si="0"/>
        <v>3.9615000000000006E-5</v>
      </c>
    </row>
    <row r="27" spans="2:10" ht="29">
      <c r="B27" s="10" t="s">
        <v>563</v>
      </c>
      <c r="C27" s="10" t="s">
        <v>564</v>
      </c>
      <c r="D27" s="36" t="s">
        <v>474</v>
      </c>
      <c r="E27" s="36" t="s">
        <v>475</v>
      </c>
      <c r="F27" s="2">
        <v>30</v>
      </c>
      <c r="G27" s="2" t="s">
        <v>476</v>
      </c>
      <c r="H27" s="2" t="s">
        <v>477</v>
      </c>
      <c r="I27" s="25">
        <v>402.04</v>
      </c>
      <c r="J27" s="12">
        <f t="shared" si="0"/>
        <v>1.20612E-3</v>
      </c>
    </row>
    <row r="28" spans="2:10">
      <c r="B28" s="10" t="s">
        <v>563</v>
      </c>
      <c r="C28" s="10" t="s">
        <v>564</v>
      </c>
      <c r="D28" s="2" t="s">
        <v>478</v>
      </c>
      <c r="E28" s="2" t="s">
        <v>479</v>
      </c>
      <c r="F28" s="2">
        <v>1</v>
      </c>
      <c r="G28" s="2" t="s">
        <v>442</v>
      </c>
      <c r="H28" s="2" t="s">
        <v>480</v>
      </c>
      <c r="I28" s="39">
        <v>4347</v>
      </c>
      <c r="J28" s="12">
        <f t="shared" si="0"/>
        <v>4.347E-4</v>
      </c>
    </row>
    <row r="29" spans="2:10">
      <c r="B29" s="10" t="s">
        <v>563</v>
      </c>
      <c r="C29" s="10" t="s">
        <v>564</v>
      </c>
      <c r="D29" s="2" t="s">
        <v>478</v>
      </c>
      <c r="E29" s="2" t="s">
        <v>481</v>
      </c>
      <c r="F29" s="2">
        <v>1</v>
      </c>
      <c r="G29" s="2" t="s">
        <v>442</v>
      </c>
      <c r="H29" s="2" t="s">
        <v>480</v>
      </c>
      <c r="I29" s="39">
        <v>2173.5</v>
      </c>
      <c r="J29" s="12">
        <f t="shared" si="0"/>
        <v>2.1735E-4</v>
      </c>
    </row>
    <row r="30" spans="2:10">
      <c r="B30" s="10" t="s">
        <v>563</v>
      </c>
      <c r="C30" s="10" t="s">
        <v>564</v>
      </c>
      <c r="D30" s="2" t="s">
        <v>478</v>
      </c>
      <c r="E30" s="2" t="s">
        <v>482</v>
      </c>
      <c r="F30" s="2">
        <v>1</v>
      </c>
      <c r="G30" s="2" t="s">
        <v>442</v>
      </c>
      <c r="H30" s="2" t="s">
        <v>480</v>
      </c>
      <c r="I30" s="39">
        <v>1035</v>
      </c>
      <c r="J30" s="12">
        <f t="shared" si="0"/>
        <v>1.0349999999999999E-4</v>
      </c>
    </row>
    <row r="31" spans="2:10">
      <c r="B31" s="10" t="s">
        <v>563</v>
      </c>
      <c r="C31" s="10" t="s">
        <v>564</v>
      </c>
      <c r="D31" s="2" t="s">
        <v>478</v>
      </c>
      <c r="E31" s="2" t="s">
        <v>483</v>
      </c>
      <c r="F31" s="2">
        <v>1</v>
      </c>
      <c r="G31" s="2" t="s">
        <v>442</v>
      </c>
      <c r="H31" s="2" t="s">
        <v>480</v>
      </c>
      <c r="I31" s="39">
        <v>690</v>
      </c>
      <c r="J31" s="12">
        <f t="shared" si="0"/>
        <v>6.8999999999999997E-5</v>
      </c>
    </row>
    <row r="32" spans="2:10">
      <c r="B32" s="10" t="s">
        <v>563</v>
      </c>
      <c r="C32" s="10" t="s">
        <v>564</v>
      </c>
      <c r="D32" s="2" t="s">
        <v>478</v>
      </c>
      <c r="E32" s="2" t="s">
        <v>484</v>
      </c>
      <c r="F32" s="2">
        <v>1</v>
      </c>
      <c r="G32" s="2" t="s">
        <v>442</v>
      </c>
      <c r="H32" s="2" t="s">
        <v>480</v>
      </c>
      <c r="I32" s="39">
        <v>948.75000000000011</v>
      </c>
      <c r="J32" s="12">
        <f t="shared" si="0"/>
        <v>9.4875000000000016E-5</v>
      </c>
    </row>
    <row r="33" spans="2:10">
      <c r="B33" s="10" t="s">
        <v>563</v>
      </c>
      <c r="C33" s="10" t="s">
        <v>564</v>
      </c>
      <c r="D33" s="2" t="s">
        <v>478</v>
      </c>
      <c r="E33" s="2" t="s">
        <v>485</v>
      </c>
      <c r="F33" s="2">
        <v>1</v>
      </c>
      <c r="G33" s="2" t="s">
        <v>442</v>
      </c>
      <c r="H33" s="2" t="s">
        <v>480</v>
      </c>
      <c r="I33" s="39">
        <v>1035</v>
      </c>
      <c r="J33" s="12">
        <f t="shared" si="0"/>
        <v>1.0349999999999999E-4</v>
      </c>
    </row>
    <row r="34" spans="2:10">
      <c r="B34" s="10" t="s">
        <v>563</v>
      </c>
      <c r="C34" s="10" t="s">
        <v>564</v>
      </c>
      <c r="D34" s="2" t="s">
        <v>478</v>
      </c>
      <c r="E34" s="2" t="s">
        <v>486</v>
      </c>
      <c r="F34" s="2">
        <v>1</v>
      </c>
      <c r="G34" s="2" t="s">
        <v>442</v>
      </c>
      <c r="H34" s="2" t="s">
        <v>480</v>
      </c>
      <c r="I34" s="39">
        <v>690</v>
      </c>
      <c r="J34" s="12">
        <f t="shared" ref="J34:J65" si="1">(I34*F34)/10000000</f>
        <v>6.8999999999999997E-5</v>
      </c>
    </row>
    <row r="35" spans="2:10">
      <c r="B35" s="10" t="s">
        <v>563</v>
      </c>
      <c r="C35" s="10" t="s">
        <v>564</v>
      </c>
      <c r="D35" s="2" t="s">
        <v>478</v>
      </c>
      <c r="E35" s="2" t="s">
        <v>487</v>
      </c>
      <c r="F35" s="2">
        <v>1</v>
      </c>
      <c r="G35" s="2" t="s">
        <v>442</v>
      </c>
      <c r="H35" s="2" t="s">
        <v>480</v>
      </c>
      <c r="I35" s="39">
        <v>1104.0000000000002</v>
      </c>
      <c r="J35" s="12">
        <f t="shared" si="1"/>
        <v>1.1040000000000003E-4</v>
      </c>
    </row>
    <row r="36" spans="2:10">
      <c r="B36" s="10" t="s">
        <v>563</v>
      </c>
      <c r="C36" s="10" t="s">
        <v>564</v>
      </c>
      <c r="D36" s="2" t="s">
        <v>478</v>
      </c>
      <c r="E36" s="2" t="s">
        <v>488</v>
      </c>
      <c r="F36" s="2">
        <v>1</v>
      </c>
      <c r="G36" s="2" t="s">
        <v>442</v>
      </c>
      <c r="H36" s="2" t="s">
        <v>480</v>
      </c>
      <c r="I36" s="39">
        <v>690</v>
      </c>
      <c r="J36" s="12">
        <f t="shared" si="1"/>
        <v>6.8999999999999997E-5</v>
      </c>
    </row>
    <row r="37" spans="2:10">
      <c r="B37" s="10" t="s">
        <v>563</v>
      </c>
      <c r="C37" s="10" t="s">
        <v>564</v>
      </c>
      <c r="D37" s="2" t="s">
        <v>478</v>
      </c>
      <c r="E37" s="2" t="s">
        <v>489</v>
      </c>
      <c r="F37" s="2">
        <v>1</v>
      </c>
      <c r="G37" s="2" t="s">
        <v>442</v>
      </c>
      <c r="H37" s="2" t="s">
        <v>480</v>
      </c>
      <c r="I37" s="39">
        <v>690</v>
      </c>
      <c r="J37" s="12">
        <f t="shared" si="1"/>
        <v>6.8999999999999997E-5</v>
      </c>
    </row>
    <row r="38" spans="2:10">
      <c r="B38" s="10" t="s">
        <v>563</v>
      </c>
      <c r="C38" s="10" t="s">
        <v>564</v>
      </c>
      <c r="D38" s="2" t="s">
        <v>478</v>
      </c>
      <c r="E38" s="2" t="s">
        <v>490</v>
      </c>
      <c r="F38" s="2">
        <v>1</v>
      </c>
      <c r="G38" s="2" t="s">
        <v>442</v>
      </c>
      <c r="H38" s="2" t="s">
        <v>480</v>
      </c>
      <c r="I38" s="39">
        <v>1207.5</v>
      </c>
      <c r="J38" s="12">
        <f t="shared" si="1"/>
        <v>1.2074999999999999E-4</v>
      </c>
    </row>
    <row r="39" spans="2:10">
      <c r="B39" s="10" t="s">
        <v>563</v>
      </c>
      <c r="C39" s="10" t="s">
        <v>564</v>
      </c>
      <c r="D39" s="2" t="s">
        <v>478</v>
      </c>
      <c r="E39" s="2" t="s">
        <v>491</v>
      </c>
      <c r="F39" s="2">
        <v>1</v>
      </c>
      <c r="G39" s="2" t="s">
        <v>442</v>
      </c>
      <c r="H39" s="2" t="s">
        <v>480</v>
      </c>
      <c r="I39" s="39">
        <v>2208.0000000000005</v>
      </c>
      <c r="J39" s="12">
        <f t="shared" si="1"/>
        <v>2.2080000000000005E-4</v>
      </c>
    </row>
    <row r="40" spans="2:10">
      <c r="B40" s="10" t="s">
        <v>563</v>
      </c>
      <c r="C40" s="10" t="s">
        <v>564</v>
      </c>
      <c r="D40" s="2" t="s">
        <v>478</v>
      </c>
      <c r="E40" s="2" t="s">
        <v>489</v>
      </c>
      <c r="F40" s="2">
        <v>1</v>
      </c>
      <c r="G40" s="2" t="s">
        <v>442</v>
      </c>
      <c r="H40" s="2" t="s">
        <v>480</v>
      </c>
      <c r="I40" s="39">
        <v>690</v>
      </c>
      <c r="J40" s="12">
        <f t="shared" si="1"/>
        <v>6.8999999999999997E-5</v>
      </c>
    </row>
    <row r="41" spans="2:10">
      <c r="B41" s="10" t="s">
        <v>563</v>
      </c>
      <c r="C41" s="10" t="s">
        <v>564</v>
      </c>
      <c r="D41" s="2" t="s">
        <v>478</v>
      </c>
      <c r="E41" s="2" t="s">
        <v>482</v>
      </c>
      <c r="F41" s="2">
        <v>1</v>
      </c>
      <c r="G41" s="2" t="s">
        <v>442</v>
      </c>
      <c r="H41" s="2" t="s">
        <v>480</v>
      </c>
      <c r="I41" s="39">
        <v>1035</v>
      </c>
      <c r="J41" s="12">
        <f t="shared" si="1"/>
        <v>1.0349999999999999E-4</v>
      </c>
    </row>
    <row r="42" spans="2:10">
      <c r="B42" s="10" t="s">
        <v>563</v>
      </c>
      <c r="C42" s="10" t="s">
        <v>564</v>
      </c>
      <c r="D42" s="2" t="s">
        <v>478</v>
      </c>
      <c r="E42" s="2" t="s">
        <v>492</v>
      </c>
      <c r="F42" s="2">
        <v>1</v>
      </c>
      <c r="G42" s="2" t="s">
        <v>442</v>
      </c>
      <c r="H42" s="2" t="s">
        <v>480</v>
      </c>
      <c r="I42" s="39">
        <v>690</v>
      </c>
      <c r="J42" s="12">
        <f t="shared" si="1"/>
        <v>6.8999999999999997E-5</v>
      </c>
    </row>
    <row r="43" spans="2:10">
      <c r="B43" s="10" t="s">
        <v>563</v>
      </c>
      <c r="C43" s="10" t="s">
        <v>564</v>
      </c>
      <c r="D43" s="2" t="s">
        <v>478</v>
      </c>
      <c r="E43" s="2" t="s">
        <v>493</v>
      </c>
      <c r="F43" s="2">
        <v>1</v>
      </c>
      <c r="G43" s="2" t="s">
        <v>442</v>
      </c>
      <c r="H43" s="2" t="s">
        <v>480</v>
      </c>
      <c r="I43" s="39">
        <v>828</v>
      </c>
      <c r="J43" s="12">
        <f t="shared" si="1"/>
        <v>8.2799999999999993E-5</v>
      </c>
    </row>
    <row r="44" spans="2:10">
      <c r="B44" s="10" t="s">
        <v>563</v>
      </c>
      <c r="C44" s="10" t="s">
        <v>564</v>
      </c>
      <c r="D44" s="2" t="s">
        <v>478</v>
      </c>
      <c r="E44" s="2" t="s">
        <v>494</v>
      </c>
      <c r="F44" s="2">
        <v>1</v>
      </c>
      <c r="G44" s="2" t="s">
        <v>442</v>
      </c>
      <c r="H44" s="2" t="s">
        <v>480</v>
      </c>
      <c r="I44" s="39">
        <v>690</v>
      </c>
      <c r="J44" s="12">
        <f t="shared" si="1"/>
        <v>6.8999999999999997E-5</v>
      </c>
    </row>
    <row r="45" spans="2:10">
      <c r="B45" s="10" t="s">
        <v>563</v>
      </c>
      <c r="C45" s="10" t="s">
        <v>564</v>
      </c>
      <c r="D45" s="2" t="s">
        <v>478</v>
      </c>
      <c r="E45" s="2" t="s">
        <v>486</v>
      </c>
      <c r="F45" s="2">
        <v>1</v>
      </c>
      <c r="G45" s="2" t="s">
        <v>442</v>
      </c>
      <c r="H45" s="2" t="s">
        <v>480</v>
      </c>
      <c r="I45" s="39">
        <v>690</v>
      </c>
      <c r="J45" s="12">
        <f t="shared" si="1"/>
        <v>6.8999999999999997E-5</v>
      </c>
    </row>
    <row r="46" spans="2:10">
      <c r="B46" s="10" t="s">
        <v>563</v>
      </c>
      <c r="C46" s="10" t="s">
        <v>564</v>
      </c>
      <c r="D46" s="2" t="s">
        <v>478</v>
      </c>
      <c r="E46" s="2" t="s">
        <v>495</v>
      </c>
      <c r="F46" s="2">
        <v>1</v>
      </c>
      <c r="G46" s="2" t="s">
        <v>442</v>
      </c>
      <c r="H46" s="2" t="s">
        <v>480</v>
      </c>
      <c r="I46" s="39">
        <v>776.25</v>
      </c>
      <c r="J46" s="12">
        <f t="shared" si="1"/>
        <v>7.7625000000000003E-5</v>
      </c>
    </row>
    <row r="47" spans="2:10">
      <c r="B47" s="10" t="s">
        <v>563</v>
      </c>
      <c r="C47" s="10" t="s">
        <v>564</v>
      </c>
      <c r="D47" s="2" t="s">
        <v>478</v>
      </c>
      <c r="E47" s="2" t="s">
        <v>496</v>
      </c>
      <c r="F47" s="2">
        <v>1</v>
      </c>
      <c r="G47" s="2" t="s">
        <v>442</v>
      </c>
      <c r="H47" s="2" t="s">
        <v>480</v>
      </c>
      <c r="I47" s="39">
        <v>4502.25</v>
      </c>
      <c r="J47" s="12">
        <f t="shared" si="1"/>
        <v>4.5022500000000001E-4</v>
      </c>
    </row>
    <row r="48" spans="2:10">
      <c r="B48" s="10" t="s">
        <v>563</v>
      </c>
      <c r="C48" s="10" t="s">
        <v>564</v>
      </c>
      <c r="D48" s="2" t="s">
        <v>478</v>
      </c>
      <c r="E48" s="2" t="s">
        <v>497</v>
      </c>
      <c r="F48" s="2">
        <v>1</v>
      </c>
      <c r="G48" s="2" t="s">
        <v>442</v>
      </c>
      <c r="H48" s="2" t="s">
        <v>480</v>
      </c>
      <c r="I48" s="39">
        <v>690</v>
      </c>
      <c r="J48" s="12">
        <f t="shared" si="1"/>
        <v>6.8999999999999997E-5</v>
      </c>
    </row>
    <row r="49" spans="2:10">
      <c r="B49" s="10" t="s">
        <v>563</v>
      </c>
      <c r="C49" s="10" t="s">
        <v>564</v>
      </c>
      <c r="D49" s="2" t="s">
        <v>478</v>
      </c>
      <c r="E49" s="2" t="s">
        <v>489</v>
      </c>
      <c r="F49" s="2">
        <v>1</v>
      </c>
      <c r="G49" s="2" t="s">
        <v>442</v>
      </c>
      <c r="H49" s="2" t="s">
        <v>480</v>
      </c>
      <c r="I49" s="39">
        <v>690</v>
      </c>
      <c r="J49" s="12">
        <f t="shared" si="1"/>
        <v>6.8999999999999997E-5</v>
      </c>
    </row>
    <row r="50" spans="2:10">
      <c r="B50" s="10" t="s">
        <v>563</v>
      </c>
      <c r="C50" s="10" t="s">
        <v>564</v>
      </c>
      <c r="D50" s="2" t="s">
        <v>478</v>
      </c>
      <c r="E50" s="2" t="s">
        <v>497</v>
      </c>
      <c r="F50" s="2">
        <v>1</v>
      </c>
      <c r="G50" s="2" t="s">
        <v>442</v>
      </c>
      <c r="H50" s="2" t="s">
        <v>480</v>
      </c>
      <c r="I50" s="39">
        <v>690</v>
      </c>
      <c r="J50" s="12">
        <f t="shared" si="1"/>
        <v>6.8999999999999997E-5</v>
      </c>
    </row>
    <row r="51" spans="2:10">
      <c r="B51" s="10" t="s">
        <v>563</v>
      </c>
      <c r="C51" s="10" t="s">
        <v>564</v>
      </c>
      <c r="D51" s="2" t="s">
        <v>478</v>
      </c>
      <c r="E51" s="2" t="s">
        <v>498</v>
      </c>
      <c r="F51" s="2">
        <v>1</v>
      </c>
      <c r="G51" s="2" t="s">
        <v>442</v>
      </c>
      <c r="H51" s="2" t="s">
        <v>480</v>
      </c>
      <c r="I51" s="39">
        <v>7452.0000000000009</v>
      </c>
      <c r="J51" s="12">
        <f t="shared" si="1"/>
        <v>7.4520000000000012E-4</v>
      </c>
    </row>
    <row r="52" spans="2:10">
      <c r="B52" s="10" t="s">
        <v>563</v>
      </c>
      <c r="C52" s="10" t="s">
        <v>564</v>
      </c>
      <c r="D52" s="2" t="s">
        <v>478</v>
      </c>
      <c r="E52" s="2" t="s">
        <v>499</v>
      </c>
      <c r="F52" s="2">
        <v>1</v>
      </c>
      <c r="G52" s="2" t="s">
        <v>442</v>
      </c>
      <c r="H52" s="2" t="s">
        <v>480</v>
      </c>
      <c r="I52" s="39">
        <v>724.5</v>
      </c>
      <c r="J52" s="12">
        <f t="shared" si="1"/>
        <v>7.2449999999999999E-5</v>
      </c>
    </row>
    <row r="53" spans="2:10">
      <c r="B53" s="10" t="s">
        <v>563</v>
      </c>
      <c r="C53" s="10" t="s">
        <v>564</v>
      </c>
      <c r="D53" s="2" t="s">
        <v>478</v>
      </c>
      <c r="E53" s="2" t="s">
        <v>494</v>
      </c>
      <c r="F53" s="2">
        <v>1</v>
      </c>
      <c r="G53" s="2" t="s">
        <v>442</v>
      </c>
      <c r="H53" s="2" t="s">
        <v>480</v>
      </c>
      <c r="I53" s="39">
        <v>690</v>
      </c>
      <c r="J53" s="12">
        <f t="shared" si="1"/>
        <v>6.8999999999999997E-5</v>
      </c>
    </row>
    <row r="54" spans="2:10">
      <c r="B54" s="10" t="s">
        <v>563</v>
      </c>
      <c r="C54" s="10" t="s">
        <v>564</v>
      </c>
      <c r="D54" s="2" t="s">
        <v>478</v>
      </c>
      <c r="E54" s="2" t="s">
        <v>500</v>
      </c>
      <c r="F54" s="2">
        <v>1</v>
      </c>
      <c r="G54" s="2" t="s">
        <v>442</v>
      </c>
      <c r="H54" s="2" t="s">
        <v>480</v>
      </c>
      <c r="I54" s="39">
        <v>690</v>
      </c>
      <c r="J54" s="12">
        <f t="shared" si="1"/>
        <v>6.8999999999999997E-5</v>
      </c>
    </row>
    <row r="55" spans="2:10">
      <c r="B55" s="10" t="s">
        <v>563</v>
      </c>
      <c r="C55" s="10" t="s">
        <v>564</v>
      </c>
      <c r="D55" s="2" t="s">
        <v>478</v>
      </c>
      <c r="E55" s="2" t="s">
        <v>488</v>
      </c>
      <c r="F55" s="2">
        <v>1</v>
      </c>
      <c r="G55" s="2" t="s">
        <v>442</v>
      </c>
      <c r="H55" s="2" t="s">
        <v>480</v>
      </c>
      <c r="I55" s="39">
        <v>690</v>
      </c>
      <c r="J55" s="12">
        <f t="shared" si="1"/>
        <v>6.8999999999999997E-5</v>
      </c>
    </row>
    <row r="56" spans="2:10">
      <c r="B56" s="10" t="s">
        <v>563</v>
      </c>
      <c r="C56" s="10" t="s">
        <v>564</v>
      </c>
      <c r="D56" s="2" t="s">
        <v>501</v>
      </c>
      <c r="E56" s="2" t="s">
        <v>488</v>
      </c>
      <c r="F56" s="2">
        <v>1</v>
      </c>
      <c r="G56" s="2" t="s">
        <v>442</v>
      </c>
      <c r="H56" s="2" t="s">
        <v>480</v>
      </c>
      <c r="I56" s="36">
        <v>580</v>
      </c>
      <c r="J56" s="12">
        <f t="shared" si="1"/>
        <v>5.8E-5</v>
      </c>
    </row>
    <row r="57" spans="2:10">
      <c r="B57" s="10" t="s">
        <v>563</v>
      </c>
      <c r="C57" s="10" t="s">
        <v>564</v>
      </c>
      <c r="D57" s="2" t="s">
        <v>501</v>
      </c>
      <c r="E57" s="2" t="s">
        <v>492</v>
      </c>
      <c r="F57" s="2">
        <v>1</v>
      </c>
      <c r="G57" s="2" t="s">
        <v>442</v>
      </c>
      <c r="H57" s="2" t="s">
        <v>480</v>
      </c>
      <c r="I57" s="36">
        <v>580</v>
      </c>
      <c r="J57" s="12">
        <f t="shared" si="1"/>
        <v>5.8E-5</v>
      </c>
    </row>
    <row r="58" spans="2:10">
      <c r="B58" s="10" t="s">
        <v>563</v>
      </c>
      <c r="C58" s="10" t="s">
        <v>564</v>
      </c>
      <c r="D58" s="2" t="s">
        <v>501</v>
      </c>
      <c r="E58" s="2" t="s">
        <v>502</v>
      </c>
      <c r="F58" s="2">
        <v>1</v>
      </c>
      <c r="G58" s="2" t="s">
        <v>442</v>
      </c>
      <c r="H58" s="2" t="s">
        <v>480</v>
      </c>
      <c r="I58" s="36">
        <v>2131.5</v>
      </c>
      <c r="J58" s="12">
        <f t="shared" si="1"/>
        <v>2.1315E-4</v>
      </c>
    </row>
    <row r="59" spans="2:10">
      <c r="B59" s="10" t="s">
        <v>563</v>
      </c>
      <c r="C59" s="10" t="s">
        <v>564</v>
      </c>
      <c r="D59" s="2" t="s">
        <v>501</v>
      </c>
      <c r="E59" s="2" t="s">
        <v>503</v>
      </c>
      <c r="F59" s="2">
        <v>1</v>
      </c>
      <c r="G59" s="2" t="s">
        <v>442</v>
      </c>
      <c r="H59" s="2" t="s">
        <v>480</v>
      </c>
      <c r="I59" s="36">
        <v>2436.0000000000005</v>
      </c>
      <c r="J59" s="12">
        <f t="shared" si="1"/>
        <v>2.4360000000000004E-4</v>
      </c>
    </row>
    <row r="60" spans="2:10">
      <c r="B60" s="10" t="s">
        <v>563</v>
      </c>
      <c r="C60" s="10" t="s">
        <v>564</v>
      </c>
      <c r="D60" s="2" t="s">
        <v>501</v>
      </c>
      <c r="E60" s="2" t="s">
        <v>504</v>
      </c>
      <c r="F60" s="2">
        <v>1</v>
      </c>
      <c r="G60" s="2" t="s">
        <v>442</v>
      </c>
      <c r="H60" s="2" t="s">
        <v>480</v>
      </c>
      <c r="I60" s="36">
        <v>580</v>
      </c>
      <c r="J60" s="12">
        <f t="shared" si="1"/>
        <v>5.8E-5</v>
      </c>
    </row>
    <row r="61" spans="2:10">
      <c r="B61" s="10" t="s">
        <v>563</v>
      </c>
      <c r="C61" s="10" t="s">
        <v>564</v>
      </c>
      <c r="D61" s="2" t="s">
        <v>501</v>
      </c>
      <c r="E61" s="2" t="s">
        <v>505</v>
      </c>
      <c r="F61" s="2">
        <v>1</v>
      </c>
      <c r="G61" s="2" t="s">
        <v>442</v>
      </c>
      <c r="H61" s="2" t="s">
        <v>480</v>
      </c>
      <c r="I61" s="36">
        <v>580</v>
      </c>
      <c r="J61" s="12">
        <f t="shared" si="1"/>
        <v>5.8E-5</v>
      </c>
    </row>
    <row r="62" spans="2:10">
      <c r="B62" s="10" t="s">
        <v>563</v>
      </c>
      <c r="C62" s="10" t="s">
        <v>564</v>
      </c>
      <c r="D62" s="2" t="s">
        <v>501</v>
      </c>
      <c r="E62" s="2" t="s">
        <v>506</v>
      </c>
      <c r="F62" s="2">
        <v>1</v>
      </c>
      <c r="G62" s="2" t="s">
        <v>442</v>
      </c>
      <c r="H62" s="2" t="s">
        <v>480</v>
      </c>
      <c r="I62" s="36">
        <v>797.50000000000011</v>
      </c>
      <c r="J62" s="12">
        <f t="shared" si="1"/>
        <v>7.9750000000000014E-5</v>
      </c>
    </row>
    <row r="63" spans="2:10">
      <c r="B63" s="10" t="s">
        <v>563</v>
      </c>
      <c r="C63" s="10" t="s">
        <v>564</v>
      </c>
      <c r="D63" s="2" t="s">
        <v>501</v>
      </c>
      <c r="E63" s="2" t="s">
        <v>507</v>
      </c>
      <c r="F63" s="2">
        <v>1</v>
      </c>
      <c r="G63" s="2" t="s">
        <v>442</v>
      </c>
      <c r="H63" s="2" t="s">
        <v>480</v>
      </c>
      <c r="I63" s="36">
        <v>652.5</v>
      </c>
      <c r="J63" s="12">
        <f t="shared" si="1"/>
        <v>6.525E-5</v>
      </c>
    </row>
    <row r="64" spans="2:10">
      <c r="B64" s="10" t="s">
        <v>563</v>
      </c>
      <c r="C64" s="10" t="s">
        <v>564</v>
      </c>
      <c r="D64" s="2" t="s">
        <v>501</v>
      </c>
      <c r="E64" s="2" t="s">
        <v>508</v>
      </c>
      <c r="F64" s="2">
        <v>1</v>
      </c>
      <c r="G64" s="2" t="s">
        <v>442</v>
      </c>
      <c r="H64" s="2" t="s">
        <v>480</v>
      </c>
      <c r="I64" s="36">
        <v>580</v>
      </c>
      <c r="J64" s="12">
        <f t="shared" si="1"/>
        <v>5.8E-5</v>
      </c>
    </row>
    <row r="65" spans="2:10">
      <c r="B65" s="10" t="s">
        <v>563</v>
      </c>
      <c r="C65" s="10" t="s">
        <v>564</v>
      </c>
      <c r="D65" s="2" t="s">
        <v>501</v>
      </c>
      <c r="E65" s="2" t="s">
        <v>509</v>
      </c>
      <c r="F65" s="2">
        <v>1</v>
      </c>
      <c r="G65" s="2" t="s">
        <v>442</v>
      </c>
      <c r="H65" s="2" t="s">
        <v>480</v>
      </c>
      <c r="I65" s="36">
        <v>580</v>
      </c>
      <c r="J65" s="12">
        <f t="shared" si="1"/>
        <v>5.8E-5</v>
      </c>
    </row>
    <row r="66" spans="2:10">
      <c r="B66" s="10" t="s">
        <v>563</v>
      </c>
      <c r="C66" s="10" t="s">
        <v>564</v>
      </c>
      <c r="D66" s="2" t="s">
        <v>501</v>
      </c>
      <c r="E66" s="2" t="s">
        <v>510</v>
      </c>
      <c r="F66" s="2">
        <v>1</v>
      </c>
      <c r="G66" s="2" t="s">
        <v>442</v>
      </c>
      <c r="H66" s="2" t="s">
        <v>480</v>
      </c>
      <c r="I66" s="36">
        <v>609</v>
      </c>
      <c r="J66" s="12">
        <f t="shared" ref="J66:J97" si="2">(I66*F66)/10000000</f>
        <v>6.0900000000000003E-5</v>
      </c>
    </row>
    <row r="67" spans="2:10">
      <c r="B67" s="10" t="s">
        <v>563</v>
      </c>
      <c r="C67" s="10" t="s">
        <v>564</v>
      </c>
      <c r="D67" s="2" t="s">
        <v>501</v>
      </c>
      <c r="E67" s="2" t="s">
        <v>511</v>
      </c>
      <c r="F67" s="2">
        <v>1</v>
      </c>
      <c r="G67" s="2" t="s">
        <v>442</v>
      </c>
      <c r="H67" s="2" t="s">
        <v>480</v>
      </c>
      <c r="I67" s="36">
        <v>1972.0000000000002</v>
      </c>
      <c r="J67" s="12">
        <f t="shared" si="2"/>
        <v>1.9720000000000002E-4</v>
      </c>
    </row>
    <row r="68" spans="2:10">
      <c r="B68" s="10" t="s">
        <v>563</v>
      </c>
      <c r="C68" s="10" t="s">
        <v>564</v>
      </c>
      <c r="D68" s="2" t="s">
        <v>501</v>
      </c>
      <c r="E68" s="2" t="s">
        <v>512</v>
      </c>
      <c r="F68" s="2">
        <v>1</v>
      </c>
      <c r="G68" s="2" t="s">
        <v>442</v>
      </c>
      <c r="H68" s="2" t="s">
        <v>480</v>
      </c>
      <c r="I68" s="36">
        <v>2958</v>
      </c>
      <c r="J68" s="12">
        <f t="shared" si="2"/>
        <v>2.9579999999999998E-4</v>
      </c>
    </row>
    <row r="69" spans="2:10">
      <c r="B69" s="10" t="s">
        <v>563</v>
      </c>
      <c r="C69" s="10" t="s">
        <v>564</v>
      </c>
      <c r="D69" s="2" t="s">
        <v>501</v>
      </c>
      <c r="E69" s="2" t="s">
        <v>513</v>
      </c>
      <c r="F69" s="2">
        <v>1</v>
      </c>
      <c r="G69" s="2" t="s">
        <v>442</v>
      </c>
      <c r="H69" s="2" t="s">
        <v>480</v>
      </c>
      <c r="I69" s="36">
        <v>3480</v>
      </c>
      <c r="J69" s="12">
        <f t="shared" si="2"/>
        <v>3.48E-4</v>
      </c>
    </row>
    <row r="70" spans="2:10">
      <c r="B70" s="10" t="s">
        <v>563</v>
      </c>
      <c r="C70" s="10" t="s">
        <v>564</v>
      </c>
      <c r="D70" s="2" t="s">
        <v>501</v>
      </c>
      <c r="E70" s="2" t="s">
        <v>514</v>
      </c>
      <c r="F70" s="2">
        <v>1</v>
      </c>
      <c r="G70" s="2" t="s">
        <v>442</v>
      </c>
      <c r="H70" s="2" t="s">
        <v>480</v>
      </c>
      <c r="I70" s="36">
        <v>2088</v>
      </c>
      <c r="J70" s="12">
        <f t="shared" si="2"/>
        <v>2.0880000000000001E-4</v>
      </c>
    </row>
    <row r="71" spans="2:10">
      <c r="B71" s="10" t="s">
        <v>563</v>
      </c>
      <c r="C71" s="10" t="s">
        <v>564</v>
      </c>
      <c r="D71" s="2" t="s">
        <v>501</v>
      </c>
      <c r="E71" s="2" t="s">
        <v>515</v>
      </c>
      <c r="F71" s="2">
        <v>1</v>
      </c>
      <c r="G71" s="2" t="s">
        <v>442</v>
      </c>
      <c r="H71" s="2" t="s">
        <v>480</v>
      </c>
      <c r="I71" s="36">
        <v>2900</v>
      </c>
      <c r="J71" s="12">
        <f t="shared" si="2"/>
        <v>2.9E-4</v>
      </c>
    </row>
    <row r="72" spans="2:10">
      <c r="B72" s="10" t="s">
        <v>563</v>
      </c>
      <c r="C72" s="10" t="s">
        <v>564</v>
      </c>
      <c r="D72" s="2" t="s">
        <v>501</v>
      </c>
      <c r="E72" s="2" t="s">
        <v>516</v>
      </c>
      <c r="F72" s="2">
        <v>1</v>
      </c>
      <c r="G72" s="2" t="s">
        <v>442</v>
      </c>
      <c r="H72" s="2" t="s">
        <v>480</v>
      </c>
      <c r="I72" s="36">
        <v>1392</v>
      </c>
      <c r="J72" s="12">
        <f t="shared" si="2"/>
        <v>1.392E-4</v>
      </c>
    </row>
    <row r="73" spans="2:10">
      <c r="B73" s="10" t="s">
        <v>563</v>
      </c>
      <c r="C73" s="10" t="s">
        <v>564</v>
      </c>
      <c r="D73" s="2" t="s">
        <v>501</v>
      </c>
      <c r="E73" s="2" t="s">
        <v>482</v>
      </c>
      <c r="F73" s="2">
        <v>1</v>
      </c>
      <c r="G73" s="2" t="s">
        <v>442</v>
      </c>
      <c r="H73" s="2" t="s">
        <v>480</v>
      </c>
      <c r="I73" s="36">
        <v>870</v>
      </c>
      <c r="J73" s="12">
        <f t="shared" si="2"/>
        <v>8.7000000000000001E-5</v>
      </c>
    </row>
    <row r="74" spans="2:10">
      <c r="B74" s="10" t="s">
        <v>563</v>
      </c>
      <c r="C74" s="10" t="s">
        <v>564</v>
      </c>
      <c r="D74" s="2" t="s">
        <v>501</v>
      </c>
      <c r="E74" s="2" t="s">
        <v>517</v>
      </c>
      <c r="F74" s="2">
        <v>1</v>
      </c>
      <c r="G74" s="2" t="s">
        <v>442</v>
      </c>
      <c r="H74" s="2" t="s">
        <v>480</v>
      </c>
      <c r="I74" s="36">
        <v>435</v>
      </c>
      <c r="J74" s="12">
        <f t="shared" si="2"/>
        <v>4.35E-5</v>
      </c>
    </row>
    <row r="75" spans="2:10">
      <c r="B75" s="10" t="s">
        <v>563</v>
      </c>
      <c r="C75" s="10" t="s">
        <v>564</v>
      </c>
      <c r="D75" s="2" t="s">
        <v>501</v>
      </c>
      <c r="E75" s="2" t="s">
        <v>518</v>
      </c>
      <c r="F75" s="2">
        <v>1</v>
      </c>
      <c r="G75" s="2" t="s">
        <v>442</v>
      </c>
      <c r="H75" s="2" t="s">
        <v>480</v>
      </c>
      <c r="I75" s="36">
        <v>580</v>
      </c>
      <c r="J75" s="12">
        <f t="shared" si="2"/>
        <v>5.8E-5</v>
      </c>
    </row>
    <row r="76" spans="2:10">
      <c r="B76" s="10" t="s">
        <v>563</v>
      </c>
      <c r="C76" s="10" t="s">
        <v>564</v>
      </c>
      <c r="D76" s="2" t="s">
        <v>501</v>
      </c>
      <c r="E76" s="2" t="s">
        <v>519</v>
      </c>
      <c r="F76" s="2">
        <v>1</v>
      </c>
      <c r="G76" s="2" t="s">
        <v>442</v>
      </c>
      <c r="H76" s="2" t="s">
        <v>480</v>
      </c>
      <c r="I76" s="36">
        <v>580</v>
      </c>
      <c r="J76" s="12">
        <f t="shared" si="2"/>
        <v>5.8E-5</v>
      </c>
    </row>
    <row r="77" spans="2:10">
      <c r="B77" s="10" t="s">
        <v>563</v>
      </c>
      <c r="C77" s="10" t="s">
        <v>564</v>
      </c>
      <c r="D77" s="2" t="s">
        <v>501</v>
      </c>
      <c r="E77" s="2" t="s">
        <v>520</v>
      </c>
      <c r="F77" s="2">
        <v>1</v>
      </c>
      <c r="G77" s="2" t="s">
        <v>442</v>
      </c>
      <c r="H77" s="2" t="s">
        <v>480</v>
      </c>
      <c r="I77" s="36">
        <v>580</v>
      </c>
      <c r="J77" s="12">
        <f t="shared" si="2"/>
        <v>5.8E-5</v>
      </c>
    </row>
    <row r="78" spans="2:10">
      <c r="B78" s="10" t="s">
        <v>563</v>
      </c>
      <c r="C78" s="10" t="s">
        <v>564</v>
      </c>
      <c r="D78" s="2" t="s">
        <v>501</v>
      </c>
      <c r="E78" s="2" t="s">
        <v>521</v>
      </c>
      <c r="F78" s="2">
        <v>1</v>
      </c>
      <c r="G78" s="2" t="s">
        <v>442</v>
      </c>
      <c r="H78" s="2" t="s">
        <v>480</v>
      </c>
      <c r="I78" s="36">
        <v>942.5</v>
      </c>
      <c r="J78" s="12">
        <f t="shared" si="2"/>
        <v>9.4250000000000001E-5</v>
      </c>
    </row>
    <row r="79" spans="2:10">
      <c r="B79" s="10" t="s">
        <v>563</v>
      </c>
      <c r="C79" s="10" t="s">
        <v>564</v>
      </c>
      <c r="D79" s="2" t="s">
        <v>501</v>
      </c>
      <c r="E79" s="2" t="s">
        <v>522</v>
      </c>
      <c r="F79" s="2">
        <v>1</v>
      </c>
      <c r="G79" s="2" t="s">
        <v>442</v>
      </c>
      <c r="H79" s="2" t="s">
        <v>480</v>
      </c>
      <c r="I79" s="36">
        <v>580</v>
      </c>
      <c r="J79" s="12">
        <f t="shared" si="2"/>
        <v>5.8E-5</v>
      </c>
    </row>
    <row r="80" spans="2:10">
      <c r="B80" s="10" t="s">
        <v>563</v>
      </c>
      <c r="C80" s="10" t="s">
        <v>564</v>
      </c>
      <c r="D80" s="2" t="s">
        <v>501</v>
      </c>
      <c r="E80" s="2" t="s">
        <v>523</v>
      </c>
      <c r="F80" s="2">
        <v>1</v>
      </c>
      <c r="G80" s="2" t="s">
        <v>442</v>
      </c>
      <c r="H80" s="2" t="s">
        <v>480</v>
      </c>
      <c r="I80" s="36">
        <v>1160</v>
      </c>
      <c r="J80" s="12">
        <f t="shared" si="2"/>
        <v>1.16E-4</v>
      </c>
    </row>
    <row r="81" spans="2:10">
      <c r="B81" s="10" t="s">
        <v>563</v>
      </c>
      <c r="C81" s="10" t="s">
        <v>564</v>
      </c>
      <c r="D81" s="2" t="s">
        <v>501</v>
      </c>
      <c r="E81" s="2" t="s">
        <v>524</v>
      </c>
      <c r="F81" s="2">
        <v>1</v>
      </c>
      <c r="G81" s="2" t="s">
        <v>442</v>
      </c>
      <c r="H81" s="2" t="s">
        <v>480</v>
      </c>
      <c r="I81" s="36">
        <v>580</v>
      </c>
      <c r="J81" s="12">
        <f t="shared" si="2"/>
        <v>5.8E-5</v>
      </c>
    </row>
    <row r="82" spans="2:10">
      <c r="B82" s="10" t="s">
        <v>563</v>
      </c>
      <c r="C82" s="10" t="s">
        <v>564</v>
      </c>
      <c r="D82" s="2" t="s">
        <v>501</v>
      </c>
      <c r="E82" s="2" t="s">
        <v>489</v>
      </c>
      <c r="F82" s="2">
        <v>1</v>
      </c>
      <c r="G82" s="2" t="s">
        <v>442</v>
      </c>
      <c r="H82" s="2" t="s">
        <v>480</v>
      </c>
      <c r="I82" s="36">
        <v>580</v>
      </c>
      <c r="J82" s="12">
        <f t="shared" si="2"/>
        <v>5.8E-5</v>
      </c>
    </row>
    <row r="83" spans="2:10">
      <c r="B83" s="10" t="s">
        <v>563</v>
      </c>
      <c r="C83" s="10" t="s">
        <v>564</v>
      </c>
      <c r="D83" s="2" t="s">
        <v>501</v>
      </c>
      <c r="E83" s="2" t="s">
        <v>492</v>
      </c>
      <c r="F83" s="2">
        <v>1</v>
      </c>
      <c r="G83" s="2" t="s">
        <v>442</v>
      </c>
      <c r="H83" s="2" t="s">
        <v>480</v>
      </c>
      <c r="I83" s="36">
        <v>580</v>
      </c>
      <c r="J83" s="12">
        <f t="shared" si="2"/>
        <v>5.8E-5</v>
      </c>
    </row>
    <row r="84" spans="2:10">
      <c r="B84" s="10" t="s">
        <v>563</v>
      </c>
      <c r="C84" s="10" t="s">
        <v>564</v>
      </c>
      <c r="D84" s="2" t="s">
        <v>501</v>
      </c>
      <c r="E84" s="2" t="s">
        <v>486</v>
      </c>
      <c r="F84" s="2">
        <v>1</v>
      </c>
      <c r="G84" s="2" t="s">
        <v>442</v>
      </c>
      <c r="H84" s="2" t="s">
        <v>480</v>
      </c>
      <c r="I84" s="36">
        <v>580</v>
      </c>
      <c r="J84" s="12">
        <f t="shared" si="2"/>
        <v>5.8E-5</v>
      </c>
    </row>
    <row r="85" spans="2:10">
      <c r="B85" s="10" t="s">
        <v>563</v>
      </c>
      <c r="C85" s="10" t="s">
        <v>564</v>
      </c>
      <c r="D85" s="2" t="s">
        <v>501</v>
      </c>
      <c r="E85" s="2" t="s">
        <v>493</v>
      </c>
      <c r="F85" s="2">
        <v>1</v>
      </c>
      <c r="G85" s="2" t="s">
        <v>442</v>
      </c>
      <c r="H85" s="2" t="s">
        <v>480</v>
      </c>
      <c r="I85" s="36">
        <v>696</v>
      </c>
      <c r="J85" s="12">
        <f t="shared" si="2"/>
        <v>6.9599999999999998E-5</v>
      </c>
    </row>
    <row r="86" spans="2:10">
      <c r="B86" s="10" t="s">
        <v>563</v>
      </c>
      <c r="C86" s="10" t="s">
        <v>564</v>
      </c>
      <c r="D86" s="2" t="s">
        <v>501</v>
      </c>
      <c r="E86" s="2" t="s">
        <v>509</v>
      </c>
      <c r="F86" s="2">
        <v>1</v>
      </c>
      <c r="G86" s="2" t="s">
        <v>442</v>
      </c>
      <c r="H86" s="2" t="s">
        <v>480</v>
      </c>
      <c r="I86" s="36">
        <v>580</v>
      </c>
      <c r="J86" s="12">
        <f t="shared" si="2"/>
        <v>5.8E-5</v>
      </c>
    </row>
    <row r="87" spans="2:10">
      <c r="B87" s="10" t="s">
        <v>563</v>
      </c>
      <c r="C87" s="10" t="s">
        <v>564</v>
      </c>
      <c r="D87" s="2" t="s">
        <v>501</v>
      </c>
      <c r="E87" s="2" t="s">
        <v>523</v>
      </c>
      <c r="F87" s="2">
        <v>1</v>
      </c>
      <c r="G87" s="2" t="s">
        <v>442</v>
      </c>
      <c r="H87" s="2" t="s">
        <v>480</v>
      </c>
      <c r="I87" s="36">
        <v>1160</v>
      </c>
      <c r="J87" s="12">
        <f t="shared" si="2"/>
        <v>1.16E-4</v>
      </c>
    </row>
    <row r="88" spans="2:10">
      <c r="B88" s="10" t="s">
        <v>563</v>
      </c>
      <c r="C88" s="10" t="s">
        <v>564</v>
      </c>
      <c r="D88" s="2" t="s">
        <v>501</v>
      </c>
      <c r="E88" s="2" t="s">
        <v>525</v>
      </c>
      <c r="F88" s="2">
        <v>1</v>
      </c>
      <c r="G88" s="2" t="s">
        <v>442</v>
      </c>
      <c r="H88" s="2" t="s">
        <v>480</v>
      </c>
      <c r="I88" s="36">
        <v>1740</v>
      </c>
      <c r="J88" s="12">
        <f t="shared" si="2"/>
        <v>1.74E-4</v>
      </c>
    </row>
    <row r="89" spans="2:10">
      <c r="B89" s="10" t="s">
        <v>563</v>
      </c>
      <c r="C89" s="10" t="s">
        <v>564</v>
      </c>
      <c r="D89" s="2" t="s">
        <v>501</v>
      </c>
      <c r="E89" s="2" t="s">
        <v>526</v>
      </c>
      <c r="F89" s="2">
        <v>1</v>
      </c>
      <c r="G89" s="2" t="s">
        <v>442</v>
      </c>
      <c r="H89" s="2" t="s">
        <v>480</v>
      </c>
      <c r="I89" s="36">
        <v>1450</v>
      </c>
      <c r="J89" s="12">
        <f t="shared" si="2"/>
        <v>1.45E-4</v>
      </c>
    </row>
    <row r="90" spans="2:10">
      <c r="B90" s="10" t="s">
        <v>563</v>
      </c>
      <c r="C90" s="10" t="s">
        <v>564</v>
      </c>
      <c r="D90" s="2" t="s">
        <v>501</v>
      </c>
      <c r="E90" s="2" t="s">
        <v>482</v>
      </c>
      <c r="F90" s="2">
        <v>1</v>
      </c>
      <c r="G90" s="2" t="s">
        <v>442</v>
      </c>
      <c r="H90" s="2" t="s">
        <v>480</v>
      </c>
      <c r="I90" s="36">
        <v>870</v>
      </c>
      <c r="J90" s="12">
        <f t="shared" si="2"/>
        <v>8.7000000000000001E-5</v>
      </c>
    </row>
    <row r="91" spans="2:10">
      <c r="B91" s="10" t="s">
        <v>563</v>
      </c>
      <c r="C91" s="10" t="s">
        <v>564</v>
      </c>
      <c r="D91" s="2" t="s">
        <v>527</v>
      </c>
      <c r="E91" s="2" t="s">
        <v>528</v>
      </c>
      <c r="F91" s="2">
        <v>8</v>
      </c>
      <c r="G91" s="2" t="s">
        <v>442</v>
      </c>
      <c r="H91" s="2" t="s">
        <v>480</v>
      </c>
      <c r="I91" s="36">
        <v>829.6</v>
      </c>
      <c r="J91" s="12">
        <f t="shared" si="2"/>
        <v>6.6368000000000004E-4</v>
      </c>
    </row>
    <row r="92" spans="2:10">
      <c r="B92" s="10" t="s">
        <v>563</v>
      </c>
      <c r="C92" s="10" t="s">
        <v>564</v>
      </c>
      <c r="D92" s="2" t="s">
        <v>527</v>
      </c>
      <c r="E92" s="2" t="s">
        <v>529</v>
      </c>
      <c r="F92" s="2">
        <v>4</v>
      </c>
      <c r="G92" s="2" t="s">
        <v>442</v>
      </c>
      <c r="H92" s="2" t="s">
        <v>480</v>
      </c>
      <c r="I92" s="36">
        <v>340</v>
      </c>
      <c r="J92" s="12">
        <f t="shared" si="2"/>
        <v>1.36E-4</v>
      </c>
    </row>
    <row r="93" spans="2:10">
      <c r="B93" s="10" t="s">
        <v>563</v>
      </c>
      <c r="C93" s="10" t="s">
        <v>564</v>
      </c>
      <c r="D93" s="2" t="s">
        <v>527</v>
      </c>
      <c r="E93" s="2" t="s">
        <v>530</v>
      </c>
      <c r="F93" s="2">
        <v>3</v>
      </c>
      <c r="G93" s="2" t="s">
        <v>442</v>
      </c>
      <c r="H93" s="2" t="s">
        <v>480</v>
      </c>
      <c r="I93" s="36">
        <v>527.00000000000011</v>
      </c>
      <c r="J93" s="12">
        <f t="shared" si="2"/>
        <v>1.5810000000000005E-4</v>
      </c>
    </row>
    <row r="94" spans="2:10">
      <c r="B94" s="10" t="s">
        <v>563</v>
      </c>
      <c r="C94" s="10" t="s">
        <v>564</v>
      </c>
      <c r="D94" s="2" t="s">
        <v>527</v>
      </c>
      <c r="E94" s="2" t="s">
        <v>531</v>
      </c>
      <c r="F94" s="2">
        <v>1</v>
      </c>
      <c r="G94" s="2" t="s">
        <v>442</v>
      </c>
      <c r="H94" s="2" t="s">
        <v>480</v>
      </c>
      <c r="I94" s="36">
        <v>340</v>
      </c>
      <c r="J94" s="12">
        <f t="shared" si="2"/>
        <v>3.4E-5</v>
      </c>
    </row>
    <row r="95" spans="2:10">
      <c r="B95" s="10" t="s">
        <v>563</v>
      </c>
      <c r="C95" s="10" t="s">
        <v>564</v>
      </c>
      <c r="D95" s="2" t="s">
        <v>527</v>
      </c>
      <c r="E95" s="2" t="s">
        <v>532</v>
      </c>
      <c r="F95" s="2">
        <v>1</v>
      </c>
      <c r="G95" s="2" t="s">
        <v>442</v>
      </c>
      <c r="H95" s="2" t="s">
        <v>480</v>
      </c>
      <c r="I95" s="36">
        <v>340</v>
      </c>
      <c r="J95" s="12">
        <f t="shared" si="2"/>
        <v>3.4E-5</v>
      </c>
    </row>
    <row r="96" spans="2:10">
      <c r="B96" s="10" t="s">
        <v>563</v>
      </c>
      <c r="C96" s="10" t="s">
        <v>564</v>
      </c>
      <c r="D96" s="2" t="s">
        <v>527</v>
      </c>
      <c r="E96" s="2" t="s">
        <v>533</v>
      </c>
      <c r="F96" s="2">
        <v>1</v>
      </c>
      <c r="G96" s="2" t="s">
        <v>442</v>
      </c>
      <c r="H96" s="2" t="s">
        <v>480</v>
      </c>
      <c r="I96" s="36">
        <v>340</v>
      </c>
      <c r="J96" s="12">
        <f t="shared" si="2"/>
        <v>3.4E-5</v>
      </c>
    </row>
    <row r="97" spans="2:10">
      <c r="B97" s="10" t="s">
        <v>563</v>
      </c>
      <c r="C97" s="10" t="s">
        <v>564</v>
      </c>
      <c r="D97" s="2" t="s">
        <v>527</v>
      </c>
      <c r="E97" s="2" t="s">
        <v>534</v>
      </c>
      <c r="F97" s="2">
        <v>1</v>
      </c>
      <c r="G97" s="2" t="s">
        <v>442</v>
      </c>
      <c r="H97" s="2" t="s">
        <v>480</v>
      </c>
      <c r="I97" s="36">
        <v>433.5</v>
      </c>
      <c r="J97" s="12">
        <f t="shared" si="2"/>
        <v>4.3350000000000003E-5</v>
      </c>
    </row>
    <row r="98" spans="2:10">
      <c r="B98" s="10" t="s">
        <v>563</v>
      </c>
      <c r="C98" s="10" t="s">
        <v>564</v>
      </c>
      <c r="D98" s="2" t="s">
        <v>527</v>
      </c>
      <c r="E98" s="2" t="s">
        <v>535</v>
      </c>
      <c r="F98" s="2">
        <v>1</v>
      </c>
      <c r="G98" s="2" t="s">
        <v>442</v>
      </c>
      <c r="H98" s="2" t="s">
        <v>480</v>
      </c>
      <c r="I98" s="36">
        <v>637.5</v>
      </c>
      <c r="J98" s="12">
        <f t="shared" ref="J98:J125" si="3">(I98*F98)/10000000</f>
        <v>6.3750000000000005E-5</v>
      </c>
    </row>
    <row r="99" spans="2:10">
      <c r="B99" s="10" t="s">
        <v>563</v>
      </c>
      <c r="C99" s="10" t="s">
        <v>564</v>
      </c>
      <c r="D99" s="2" t="s">
        <v>527</v>
      </c>
      <c r="E99" s="2" t="s">
        <v>536</v>
      </c>
      <c r="F99" s="2">
        <v>4</v>
      </c>
      <c r="G99" s="2" t="s">
        <v>442</v>
      </c>
      <c r="H99" s="2" t="s">
        <v>480</v>
      </c>
      <c r="I99" s="36">
        <v>1244.3999999999999</v>
      </c>
      <c r="J99" s="12">
        <f t="shared" si="3"/>
        <v>4.9775999999999998E-4</v>
      </c>
    </row>
    <row r="100" spans="2:10">
      <c r="B100" s="10" t="s">
        <v>563</v>
      </c>
      <c r="C100" s="10" t="s">
        <v>564</v>
      </c>
      <c r="D100" s="2" t="s">
        <v>527</v>
      </c>
      <c r="E100" s="2" t="s">
        <v>537</v>
      </c>
      <c r="F100" s="2">
        <v>2</v>
      </c>
      <c r="G100" s="2" t="s">
        <v>442</v>
      </c>
      <c r="H100" s="2" t="s">
        <v>480</v>
      </c>
      <c r="I100" s="36">
        <v>1232.5</v>
      </c>
      <c r="J100" s="12">
        <f t="shared" si="3"/>
        <v>2.4649999999999997E-4</v>
      </c>
    </row>
    <row r="101" spans="2:10">
      <c r="B101" s="10" t="s">
        <v>563</v>
      </c>
      <c r="C101" s="10" t="s">
        <v>564</v>
      </c>
      <c r="D101" s="2" t="s">
        <v>538</v>
      </c>
      <c r="E101" s="2" t="s">
        <v>539</v>
      </c>
      <c r="F101" s="2">
        <v>3</v>
      </c>
      <c r="G101" s="2" t="s">
        <v>442</v>
      </c>
      <c r="H101" s="2" t="s">
        <v>480</v>
      </c>
      <c r="I101" s="36">
        <v>918.00000000000011</v>
      </c>
      <c r="J101" s="12">
        <f t="shared" si="3"/>
        <v>2.7540000000000003E-4</v>
      </c>
    </row>
    <row r="102" spans="2:10">
      <c r="B102" s="10" t="s">
        <v>563</v>
      </c>
      <c r="C102" s="10" t="s">
        <v>564</v>
      </c>
      <c r="D102" s="2" t="s">
        <v>538</v>
      </c>
      <c r="E102" s="2" t="s">
        <v>540</v>
      </c>
      <c r="F102" s="2">
        <v>12</v>
      </c>
      <c r="G102" s="2" t="s">
        <v>442</v>
      </c>
      <c r="H102" s="2" t="s">
        <v>480</v>
      </c>
      <c r="I102" s="36">
        <v>867</v>
      </c>
      <c r="J102" s="12">
        <f t="shared" si="3"/>
        <v>1.0403999999999999E-3</v>
      </c>
    </row>
    <row r="103" spans="2:10">
      <c r="B103" s="10" t="s">
        <v>563</v>
      </c>
      <c r="C103" s="10" t="s">
        <v>564</v>
      </c>
      <c r="D103" s="2" t="s">
        <v>538</v>
      </c>
      <c r="E103" s="2" t="s">
        <v>541</v>
      </c>
      <c r="F103" s="2">
        <v>1</v>
      </c>
      <c r="G103" s="2" t="s">
        <v>442</v>
      </c>
      <c r="H103" s="2" t="s">
        <v>480</v>
      </c>
      <c r="I103" s="36">
        <v>1912.5</v>
      </c>
      <c r="J103" s="12">
        <f t="shared" si="3"/>
        <v>1.9124999999999999E-4</v>
      </c>
    </row>
    <row r="104" spans="2:10">
      <c r="B104" s="10" t="s">
        <v>563</v>
      </c>
      <c r="C104" s="10" t="s">
        <v>564</v>
      </c>
      <c r="D104" s="2" t="s">
        <v>538</v>
      </c>
      <c r="E104" s="2" t="s">
        <v>542</v>
      </c>
      <c r="F104" s="2">
        <v>3</v>
      </c>
      <c r="G104" s="2" t="s">
        <v>442</v>
      </c>
      <c r="H104" s="2" t="s">
        <v>480</v>
      </c>
      <c r="I104" s="36">
        <v>714</v>
      </c>
      <c r="J104" s="12">
        <f t="shared" si="3"/>
        <v>2.142E-4</v>
      </c>
    </row>
    <row r="105" spans="2:10">
      <c r="B105" s="10" t="s">
        <v>563</v>
      </c>
      <c r="C105" s="10" t="s">
        <v>564</v>
      </c>
      <c r="D105" s="2" t="s">
        <v>538</v>
      </c>
      <c r="E105" s="2" t="s">
        <v>543</v>
      </c>
      <c r="F105" s="2">
        <v>1</v>
      </c>
      <c r="G105" s="2" t="s">
        <v>442</v>
      </c>
      <c r="H105" s="2" t="s">
        <v>480</v>
      </c>
      <c r="I105" s="36">
        <v>739.5</v>
      </c>
      <c r="J105" s="12">
        <f t="shared" si="3"/>
        <v>7.3949999999999995E-5</v>
      </c>
    </row>
    <row r="106" spans="2:10">
      <c r="B106" s="10" t="s">
        <v>563</v>
      </c>
      <c r="C106" s="10" t="s">
        <v>564</v>
      </c>
      <c r="D106" s="2" t="s">
        <v>538</v>
      </c>
      <c r="E106" s="2" t="s">
        <v>544</v>
      </c>
      <c r="F106" s="2">
        <v>10</v>
      </c>
      <c r="G106" s="2" t="s">
        <v>442</v>
      </c>
      <c r="H106" s="2" t="s">
        <v>480</v>
      </c>
      <c r="I106" s="36">
        <v>510</v>
      </c>
      <c r="J106" s="12">
        <f t="shared" si="3"/>
        <v>5.1000000000000004E-4</v>
      </c>
    </row>
    <row r="107" spans="2:10">
      <c r="B107" s="10" t="s">
        <v>563</v>
      </c>
      <c r="C107" s="10" t="s">
        <v>564</v>
      </c>
      <c r="D107" s="2" t="s">
        <v>538</v>
      </c>
      <c r="E107" s="2" t="s">
        <v>545</v>
      </c>
      <c r="F107" s="2">
        <v>4</v>
      </c>
      <c r="G107" s="2" t="s">
        <v>442</v>
      </c>
      <c r="H107" s="2" t="s">
        <v>480</v>
      </c>
      <c r="I107" s="36">
        <v>459.00000000000006</v>
      </c>
      <c r="J107" s="12">
        <f t="shared" si="3"/>
        <v>1.8360000000000002E-4</v>
      </c>
    </row>
    <row r="108" spans="2:10">
      <c r="B108" s="10" t="s">
        <v>563</v>
      </c>
      <c r="C108" s="10" t="s">
        <v>564</v>
      </c>
      <c r="D108" s="2" t="s">
        <v>538</v>
      </c>
      <c r="E108" s="2" t="s">
        <v>546</v>
      </c>
      <c r="F108" s="2">
        <v>19</v>
      </c>
      <c r="G108" s="2" t="s">
        <v>442</v>
      </c>
      <c r="H108" s="2" t="s">
        <v>480</v>
      </c>
      <c r="I108" s="36">
        <v>918.00000000000011</v>
      </c>
      <c r="J108" s="12">
        <f t="shared" si="3"/>
        <v>1.7442000000000004E-3</v>
      </c>
    </row>
    <row r="109" spans="2:10">
      <c r="B109" s="10" t="s">
        <v>563</v>
      </c>
      <c r="C109" s="10" t="s">
        <v>564</v>
      </c>
      <c r="D109" s="2" t="s">
        <v>538</v>
      </c>
      <c r="E109" s="2" t="s">
        <v>547</v>
      </c>
      <c r="F109" s="2">
        <v>29</v>
      </c>
      <c r="G109" s="2" t="s">
        <v>442</v>
      </c>
      <c r="H109" s="2" t="s">
        <v>480</v>
      </c>
      <c r="I109" s="36">
        <v>612</v>
      </c>
      <c r="J109" s="12">
        <f t="shared" si="3"/>
        <v>1.7748E-3</v>
      </c>
    </row>
    <row r="110" spans="2:10">
      <c r="B110" s="10" t="s">
        <v>563</v>
      </c>
      <c r="C110" s="10" t="s">
        <v>564</v>
      </c>
      <c r="D110" s="2" t="s">
        <v>538</v>
      </c>
      <c r="E110" s="2" t="s">
        <v>548</v>
      </c>
      <c r="F110" s="2">
        <v>4</v>
      </c>
      <c r="G110" s="2" t="s">
        <v>442</v>
      </c>
      <c r="H110" s="2" t="s">
        <v>480</v>
      </c>
      <c r="I110" s="36">
        <v>2142</v>
      </c>
      <c r="J110" s="12">
        <f t="shared" si="3"/>
        <v>8.5680000000000001E-4</v>
      </c>
    </row>
    <row r="111" spans="2:10">
      <c r="B111" s="10" t="s">
        <v>563</v>
      </c>
      <c r="C111" s="10" t="s">
        <v>564</v>
      </c>
      <c r="D111" s="2" t="s">
        <v>538</v>
      </c>
      <c r="E111" s="2" t="s">
        <v>549</v>
      </c>
      <c r="F111" s="2">
        <v>1</v>
      </c>
      <c r="G111" s="2" t="s">
        <v>442</v>
      </c>
      <c r="H111" s="2" t="s">
        <v>480</v>
      </c>
      <c r="I111" s="36">
        <v>1665.9999999999998</v>
      </c>
      <c r="J111" s="12">
        <f t="shared" si="3"/>
        <v>1.6659999999999998E-4</v>
      </c>
    </row>
    <row r="112" spans="2:10">
      <c r="B112" s="10" t="s">
        <v>563</v>
      </c>
      <c r="C112" s="10" t="s">
        <v>564</v>
      </c>
      <c r="D112" s="2" t="s">
        <v>538</v>
      </c>
      <c r="E112" s="2" t="s">
        <v>550</v>
      </c>
      <c r="F112" s="2">
        <v>2</v>
      </c>
      <c r="G112" s="2" t="s">
        <v>442</v>
      </c>
      <c r="H112" s="2" t="s">
        <v>480</v>
      </c>
      <c r="I112" s="36">
        <v>1428</v>
      </c>
      <c r="J112" s="12">
        <f t="shared" si="3"/>
        <v>2.856E-4</v>
      </c>
    </row>
    <row r="113" spans="2:10">
      <c r="B113" s="10" t="s">
        <v>563</v>
      </c>
      <c r="C113" s="10" t="s">
        <v>564</v>
      </c>
      <c r="D113" s="2" t="s">
        <v>551</v>
      </c>
      <c r="E113" s="2" t="s">
        <v>552</v>
      </c>
      <c r="F113" s="2">
        <v>30</v>
      </c>
      <c r="G113" s="2" t="s">
        <v>442</v>
      </c>
      <c r="H113" s="2" t="s">
        <v>480</v>
      </c>
      <c r="I113" s="36">
        <v>340</v>
      </c>
      <c r="J113" s="12">
        <f t="shared" si="3"/>
        <v>1.0200000000000001E-3</v>
      </c>
    </row>
    <row r="114" spans="2:10">
      <c r="B114" s="10" t="s">
        <v>563</v>
      </c>
      <c r="C114" s="10" t="s">
        <v>564</v>
      </c>
      <c r="D114" s="2" t="s">
        <v>551</v>
      </c>
      <c r="E114" s="2" t="s">
        <v>540</v>
      </c>
      <c r="F114" s="2">
        <v>12</v>
      </c>
      <c r="G114" s="2" t="s">
        <v>442</v>
      </c>
      <c r="H114" s="2" t="s">
        <v>480</v>
      </c>
      <c r="I114" s="36">
        <v>867</v>
      </c>
      <c r="J114" s="12">
        <f t="shared" si="3"/>
        <v>1.0403999999999999E-3</v>
      </c>
    </row>
    <row r="115" spans="2:10">
      <c r="B115" s="10" t="s">
        <v>563</v>
      </c>
      <c r="C115" s="10" t="s">
        <v>564</v>
      </c>
      <c r="D115" s="2" t="s">
        <v>551</v>
      </c>
      <c r="E115" s="2" t="s">
        <v>553</v>
      </c>
      <c r="F115" s="2">
        <v>35</v>
      </c>
      <c r="G115" s="2" t="s">
        <v>442</v>
      </c>
      <c r="H115" s="2" t="s">
        <v>480</v>
      </c>
      <c r="I115" s="36">
        <v>340</v>
      </c>
      <c r="J115" s="12">
        <f t="shared" si="3"/>
        <v>1.1900000000000001E-3</v>
      </c>
    </row>
    <row r="116" spans="2:10">
      <c r="B116" s="10" t="s">
        <v>563</v>
      </c>
      <c r="C116" s="10" t="s">
        <v>564</v>
      </c>
      <c r="D116" s="2" t="s">
        <v>551</v>
      </c>
      <c r="E116" s="2" t="s">
        <v>552</v>
      </c>
      <c r="F116" s="2">
        <v>15</v>
      </c>
      <c r="G116" s="2" t="s">
        <v>442</v>
      </c>
      <c r="H116" s="2" t="s">
        <v>480</v>
      </c>
      <c r="I116" s="36">
        <v>340</v>
      </c>
      <c r="J116" s="12">
        <f t="shared" si="3"/>
        <v>5.1000000000000004E-4</v>
      </c>
    </row>
    <row r="117" spans="2:10">
      <c r="B117" s="10" t="s">
        <v>563</v>
      </c>
      <c r="C117" s="10" t="s">
        <v>564</v>
      </c>
      <c r="D117" s="2" t="s">
        <v>551</v>
      </c>
      <c r="E117" s="2" t="s">
        <v>554</v>
      </c>
      <c r="F117" s="2">
        <v>4</v>
      </c>
      <c r="G117" s="2" t="s">
        <v>442</v>
      </c>
      <c r="H117" s="2" t="s">
        <v>480</v>
      </c>
      <c r="I117" s="36">
        <v>1377</v>
      </c>
      <c r="J117" s="12">
        <f t="shared" si="3"/>
        <v>5.5080000000000005E-4</v>
      </c>
    </row>
    <row r="118" spans="2:10">
      <c r="B118" s="10" t="s">
        <v>563</v>
      </c>
      <c r="C118" s="10" t="s">
        <v>564</v>
      </c>
      <c r="D118" s="2" t="s">
        <v>551</v>
      </c>
      <c r="E118" s="2" t="s">
        <v>486</v>
      </c>
      <c r="F118" s="2">
        <v>1</v>
      </c>
      <c r="G118" s="2" t="s">
        <v>442</v>
      </c>
      <c r="H118" s="2" t="s">
        <v>480</v>
      </c>
      <c r="I118" s="36">
        <v>340</v>
      </c>
      <c r="J118" s="12">
        <f t="shared" si="3"/>
        <v>3.4E-5</v>
      </c>
    </row>
    <row r="119" spans="2:10">
      <c r="B119" s="10" t="s">
        <v>563</v>
      </c>
      <c r="C119" s="10" t="s">
        <v>564</v>
      </c>
      <c r="D119" s="2" t="s">
        <v>555</v>
      </c>
      <c r="E119" s="2" t="s">
        <v>556</v>
      </c>
      <c r="F119" s="2">
        <v>836</v>
      </c>
      <c r="G119" s="2" t="s">
        <v>14</v>
      </c>
      <c r="H119" s="2" t="s">
        <v>437</v>
      </c>
      <c r="I119" s="36">
        <v>138</v>
      </c>
      <c r="J119" s="12">
        <f t="shared" si="3"/>
        <v>1.15368E-2</v>
      </c>
    </row>
    <row r="120" spans="2:10">
      <c r="B120" s="10" t="s">
        <v>563</v>
      </c>
      <c r="C120" s="10" t="s">
        <v>564</v>
      </c>
      <c r="D120" s="2" t="s">
        <v>557</v>
      </c>
      <c r="E120" s="2" t="s">
        <v>558</v>
      </c>
      <c r="F120" s="2">
        <v>79</v>
      </c>
      <c r="G120" s="2" t="s">
        <v>14</v>
      </c>
      <c r="H120" s="2" t="s">
        <v>437</v>
      </c>
      <c r="I120" s="36">
        <v>1101</v>
      </c>
      <c r="J120" s="12">
        <f t="shared" si="3"/>
        <v>8.6978999999999997E-3</v>
      </c>
    </row>
    <row r="121" spans="2:10">
      <c r="B121" s="10" t="s">
        <v>563</v>
      </c>
      <c r="C121" s="10" t="s">
        <v>564</v>
      </c>
      <c r="D121" s="2" t="s">
        <v>557</v>
      </c>
      <c r="E121" s="2" t="s">
        <v>558</v>
      </c>
      <c r="F121" s="2">
        <v>90</v>
      </c>
      <c r="G121" s="2" t="s">
        <v>14</v>
      </c>
      <c r="H121" s="2" t="s">
        <v>437</v>
      </c>
      <c r="I121" s="36">
        <v>1101</v>
      </c>
      <c r="J121" s="12">
        <f t="shared" si="3"/>
        <v>9.9089999999999994E-3</v>
      </c>
    </row>
    <row r="122" spans="2:10">
      <c r="B122" s="10" t="s">
        <v>563</v>
      </c>
      <c r="C122" s="10" t="s">
        <v>564</v>
      </c>
      <c r="D122" s="2" t="s">
        <v>557</v>
      </c>
      <c r="E122" s="2" t="s">
        <v>559</v>
      </c>
      <c r="F122" s="2">
        <v>214</v>
      </c>
      <c r="G122" s="2" t="s">
        <v>14</v>
      </c>
      <c r="H122" s="2" t="s">
        <v>437</v>
      </c>
      <c r="I122" s="36">
        <v>870</v>
      </c>
      <c r="J122" s="12">
        <f t="shared" si="3"/>
        <v>1.8617999999999999E-2</v>
      </c>
    </row>
    <row r="123" spans="2:10">
      <c r="B123" s="10" t="s">
        <v>563</v>
      </c>
      <c r="C123" s="10" t="s">
        <v>564</v>
      </c>
      <c r="D123" s="2" t="s">
        <v>557</v>
      </c>
      <c r="E123" s="2" t="s">
        <v>560</v>
      </c>
      <c r="F123" s="2">
        <v>40</v>
      </c>
      <c r="G123" s="2" t="s">
        <v>14</v>
      </c>
      <c r="H123" s="2" t="s">
        <v>437</v>
      </c>
      <c r="I123" s="36">
        <v>575</v>
      </c>
      <c r="J123" s="12">
        <f t="shared" si="3"/>
        <v>2.3E-3</v>
      </c>
    </row>
    <row r="124" spans="2:10">
      <c r="B124" s="10" t="s">
        <v>563</v>
      </c>
      <c r="C124" s="10" t="s">
        <v>564</v>
      </c>
      <c r="D124" s="2" t="s">
        <v>557</v>
      </c>
      <c r="E124" s="2" t="s">
        <v>561</v>
      </c>
      <c r="F124" s="2">
        <v>54</v>
      </c>
      <c r="G124" s="2" t="s">
        <v>14</v>
      </c>
      <c r="H124" s="2" t="s">
        <v>437</v>
      </c>
      <c r="I124" s="36">
        <v>310</v>
      </c>
      <c r="J124" s="12">
        <f t="shared" si="3"/>
        <v>1.6739999999999999E-3</v>
      </c>
    </row>
    <row r="125" spans="2:10">
      <c r="B125" s="10" t="s">
        <v>563</v>
      </c>
      <c r="C125" s="10" t="s">
        <v>564</v>
      </c>
      <c r="D125" s="2" t="s">
        <v>557</v>
      </c>
      <c r="E125" s="2" t="s">
        <v>562</v>
      </c>
      <c r="F125" s="2">
        <v>34</v>
      </c>
      <c r="G125" s="2" t="s">
        <v>14</v>
      </c>
      <c r="H125" s="2" t="s">
        <v>437</v>
      </c>
      <c r="I125" s="36">
        <v>231</v>
      </c>
      <c r="J125" s="12">
        <f t="shared" si="3"/>
        <v>7.8540000000000001E-4</v>
      </c>
    </row>
    <row r="126" spans="2:10">
      <c r="B126" s="10"/>
      <c r="C126" s="10"/>
      <c r="D126" s="10"/>
      <c r="E126" s="10"/>
      <c r="F126" s="10"/>
      <c r="G126" s="10"/>
      <c r="H126" s="94" t="s">
        <v>970</v>
      </c>
      <c r="I126" s="95"/>
      <c r="J126" s="13">
        <f>SUM(J2:J125)</f>
        <v>0.18688845000000001</v>
      </c>
    </row>
  </sheetData>
  <mergeCells count="1">
    <mergeCell ref="H126:I12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900A-2AD0-4BF9-9BE6-D09C679A73E8}">
  <dimension ref="A1:J14"/>
  <sheetViews>
    <sheetView workbookViewId="0">
      <selection activeCell="F20" sqref="F20"/>
    </sheetView>
  </sheetViews>
  <sheetFormatPr defaultRowHeight="14.5"/>
  <cols>
    <col min="2" max="2" width="11.54296875" bestFit="1" customWidth="1"/>
    <col min="3" max="3" width="36.6328125" bestFit="1" customWidth="1"/>
    <col min="4" max="4" width="23.36328125" bestFit="1" customWidth="1"/>
    <col min="8" max="8" width="11.08984375" bestFit="1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B2" s="41" t="s">
        <v>589</v>
      </c>
      <c r="C2" s="30" t="s">
        <v>590</v>
      </c>
      <c r="D2" s="21" t="s">
        <v>565</v>
      </c>
      <c r="E2" s="10" t="s">
        <v>566</v>
      </c>
      <c r="F2" s="10">
        <v>600</v>
      </c>
      <c r="G2" s="10" t="s">
        <v>567</v>
      </c>
      <c r="H2" s="10" t="s">
        <v>193</v>
      </c>
      <c r="I2" s="24">
        <v>1064</v>
      </c>
      <c r="J2" s="45">
        <f t="shared" ref="J2:J13" si="0">(I2*F2)/10000000</f>
        <v>6.3839999999999994E-2</v>
      </c>
    </row>
    <row r="3" spans="1:10">
      <c r="B3" s="41" t="s">
        <v>589</v>
      </c>
      <c r="C3" s="30" t="s">
        <v>590</v>
      </c>
      <c r="D3" s="21" t="s">
        <v>1351</v>
      </c>
      <c r="E3" s="10" t="s">
        <v>232</v>
      </c>
      <c r="F3" s="10">
        <v>800</v>
      </c>
      <c r="G3" s="10" t="s">
        <v>567</v>
      </c>
      <c r="H3" s="10" t="s">
        <v>193</v>
      </c>
      <c r="I3" s="25">
        <v>222.48</v>
      </c>
      <c r="J3" s="45">
        <f t="shared" si="0"/>
        <v>1.7798399999999999E-2</v>
      </c>
    </row>
    <row r="4" spans="1:10">
      <c r="B4" s="41" t="s">
        <v>589</v>
      </c>
      <c r="C4" s="30" t="s">
        <v>590</v>
      </c>
      <c r="D4" s="21" t="s">
        <v>569</v>
      </c>
      <c r="E4" s="10" t="s">
        <v>241</v>
      </c>
      <c r="F4" s="10">
        <v>200</v>
      </c>
      <c r="G4" s="10" t="s">
        <v>567</v>
      </c>
      <c r="H4" s="10" t="s">
        <v>193</v>
      </c>
      <c r="I4" s="25">
        <v>254.34</v>
      </c>
      <c r="J4" s="45">
        <f t="shared" si="0"/>
        <v>5.0867999999999998E-3</v>
      </c>
    </row>
    <row r="5" spans="1:10">
      <c r="B5" s="41" t="s">
        <v>589</v>
      </c>
      <c r="C5" s="30" t="s">
        <v>590</v>
      </c>
      <c r="D5" s="21" t="s">
        <v>570</v>
      </c>
      <c r="E5" s="10" t="s">
        <v>233</v>
      </c>
      <c r="F5" s="10">
        <v>900</v>
      </c>
      <c r="G5" s="10" t="s">
        <v>567</v>
      </c>
      <c r="H5" s="10" t="s">
        <v>571</v>
      </c>
      <c r="I5" s="25">
        <v>80.98</v>
      </c>
      <c r="J5" s="45">
        <f t="shared" si="0"/>
        <v>7.2881999999999999E-3</v>
      </c>
    </row>
    <row r="6" spans="1:10">
      <c r="B6" s="41" t="s">
        <v>589</v>
      </c>
      <c r="C6" s="30" t="s">
        <v>590</v>
      </c>
      <c r="D6" s="21" t="s">
        <v>572</v>
      </c>
      <c r="E6" s="10" t="s">
        <v>573</v>
      </c>
      <c r="F6" s="10">
        <v>2000</v>
      </c>
      <c r="G6" s="10" t="s">
        <v>431</v>
      </c>
      <c r="H6" s="10" t="s">
        <v>574</v>
      </c>
      <c r="I6" s="10">
        <v>345</v>
      </c>
      <c r="J6" s="45">
        <f t="shared" si="0"/>
        <v>6.9000000000000006E-2</v>
      </c>
    </row>
    <row r="7" spans="1:10">
      <c r="B7" s="41" t="s">
        <v>589</v>
      </c>
      <c r="C7" s="30" t="s">
        <v>590</v>
      </c>
      <c r="D7" s="21" t="s">
        <v>575</v>
      </c>
      <c r="E7" s="10" t="s">
        <v>576</v>
      </c>
      <c r="F7" s="10">
        <v>120</v>
      </c>
      <c r="G7" s="10" t="s">
        <v>567</v>
      </c>
      <c r="H7" s="10" t="s">
        <v>577</v>
      </c>
      <c r="I7" s="10">
        <v>455.09</v>
      </c>
      <c r="J7" s="45">
        <f t="shared" si="0"/>
        <v>5.4610799999999992E-3</v>
      </c>
    </row>
    <row r="8" spans="1:10">
      <c r="B8" s="41" t="s">
        <v>589</v>
      </c>
      <c r="C8" s="30" t="s">
        <v>590</v>
      </c>
      <c r="D8" s="21" t="s">
        <v>578</v>
      </c>
      <c r="E8" s="10" t="s">
        <v>579</v>
      </c>
      <c r="F8" s="10">
        <v>95</v>
      </c>
      <c r="G8" s="10" t="s">
        <v>567</v>
      </c>
      <c r="H8" s="10" t="s">
        <v>577</v>
      </c>
      <c r="I8" s="10">
        <v>546.25</v>
      </c>
      <c r="J8" s="45">
        <f t="shared" si="0"/>
        <v>5.1893750000000004E-3</v>
      </c>
    </row>
    <row r="9" spans="1:10">
      <c r="B9" s="41" t="s">
        <v>589</v>
      </c>
      <c r="C9" s="30" t="s">
        <v>590</v>
      </c>
      <c r="D9" s="21" t="s">
        <v>580</v>
      </c>
      <c r="E9" s="10" t="s">
        <v>581</v>
      </c>
      <c r="F9" s="10">
        <v>445</v>
      </c>
      <c r="G9" s="10" t="s">
        <v>567</v>
      </c>
      <c r="H9" s="10" t="s">
        <v>577</v>
      </c>
      <c r="I9" s="10">
        <v>411.01</v>
      </c>
      <c r="J9" s="45">
        <f t="shared" si="0"/>
        <v>1.8289944999999998E-2</v>
      </c>
    </row>
    <row r="10" spans="1:10">
      <c r="B10" s="41" t="s">
        <v>589</v>
      </c>
      <c r="C10" s="30" t="s">
        <v>590</v>
      </c>
      <c r="D10" s="21" t="s">
        <v>582</v>
      </c>
      <c r="E10" s="10" t="s">
        <v>583</v>
      </c>
      <c r="F10" s="10">
        <v>105</v>
      </c>
      <c r="G10" s="10" t="s">
        <v>567</v>
      </c>
      <c r="H10" s="10" t="s">
        <v>577</v>
      </c>
      <c r="I10" s="10">
        <v>985.32</v>
      </c>
      <c r="J10" s="45">
        <f t="shared" si="0"/>
        <v>1.034586E-2</v>
      </c>
    </row>
    <row r="11" spans="1:10">
      <c r="B11" s="41" t="s">
        <v>589</v>
      </c>
      <c r="C11" s="30" t="s">
        <v>590</v>
      </c>
      <c r="D11" s="21" t="s">
        <v>584</v>
      </c>
      <c r="E11" s="10" t="s">
        <v>583</v>
      </c>
      <c r="F11" s="10">
        <v>74</v>
      </c>
      <c r="G11" s="10" t="s">
        <v>567</v>
      </c>
      <c r="H11" s="10" t="s">
        <v>577</v>
      </c>
      <c r="I11" s="10">
        <v>1367.48</v>
      </c>
      <c r="J11" s="45">
        <f t="shared" si="0"/>
        <v>1.0119352E-2</v>
      </c>
    </row>
    <row r="12" spans="1:10">
      <c r="B12" s="41" t="s">
        <v>589</v>
      </c>
      <c r="C12" s="30" t="s">
        <v>590</v>
      </c>
      <c r="D12" s="21" t="s">
        <v>585</v>
      </c>
      <c r="E12" s="10" t="s">
        <v>235</v>
      </c>
      <c r="F12" s="10">
        <v>3</v>
      </c>
      <c r="G12" s="10" t="s">
        <v>586</v>
      </c>
      <c r="H12" s="10" t="s">
        <v>587</v>
      </c>
      <c r="I12" s="25">
        <v>6794.55</v>
      </c>
      <c r="J12" s="45">
        <f t="shared" si="0"/>
        <v>2.0383650000000003E-3</v>
      </c>
    </row>
    <row r="13" spans="1:10">
      <c r="B13" s="41" t="s">
        <v>589</v>
      </c>
      <c r="C13" s="30" t="s">
        <v>590</v>
      </c>
      <c r="D13" s="21" t="s">
        <v>588</v>
      </c>
      <c r="E13" s="10" t="s">
        <v>238</v>
      </c>
      <c r="F13" s="10">
        <v>1</v>
      </c>
      <c r="G13" s="10" t="s">
        <v>586</v>
      </c>
      <c r="H13" s="10" t="s">
        <v>587</v>
      </c>
      <c r="I13" s="25">
        <v>24606.75</v>
      </c>
      <c r="J13" s="45">
        <f t="shared" si="0"/>
        <v>2.4606749999999998E-3</v>
      </c>
    </row>
    <row r="14" spans="1:10">
      <c r="B14" s="41"/>
      <c r="C14" s="41"/>
      <c r="D14" s="41"/>
      <c r="E14" s="41"/>
      <c r="F14" s="41"/>
      <c r="G14" s="41"/>
      <c r="H14" s="103" t="s">
        <v>970</v>
      </c>
      <c r="I14" s="104"/>
      <c r="J14" s="58">
        <f>SUM(J2:J13)</f>
        <v>0.216918052</v>
      </c>
    </row>
  </sheetData>
  <mergeCells count="1">
    <mergeCell ref="H14:I1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039C-4986-4021-AE6E-7632D90AE328}">
  <dimension ref="A1:J23"/>
  <sheetViews>
    <sheetView workbookViewId="0">
      <selection activeCell="B2" sqref="B2:J20"/>
    </sheetView>
  </sheetViews>
  <sheetFormatPr defaultRowHeight="14.5"/>
  <cols>
    <col min="2" max="2" width="11.54296875" bestFit="1" customWidth="1"/>
    <col min="3" max="3" width="32.90625" bestFit="1" customWidth="1"/>
    <col min="4" max="4" width="27" bestFit="1" customWidth="1"/>
    <col min="5" max="5" width="21.54296875" bestFit="1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B2" s="41" t="s">
        <v>620</v>
      </c>
      <c r="C2" s="30" t="s">
        <v>621</v>
      </c>
      <c r="D2" s="10" t="s">
        <v>591</v>
      </c>
      <c r="E2" s="10" t="s">
        <v>592</v>
      </c>
      <c r="F2" s="10">
        <v>842</v>
      </c>
      <c r="G2" s="10" t="s">
        <v>567</v>
      </c>
      <c r="H2" s="10" t="s">
        <v>437</v>
      </c>
      <c r="I2" s="26">
        <v>2580</v>
      </c>
      <c r="J2" s="45">
        <f t="shared" ref="J2:J19" si="0">(I2*F2)/10000000</f>
        <v>0.21723600000000001</v>
      </c>
    </row>
    <row r="3" spans="1:10">
      <c r="B3" s="41" t="s">
        <v>620</v>
      </c>
      <c r="C3" s="30" t="s">
        <v>621</v>
      </c>
      <c r="D3" s="10" t="s">
        <v>593</v>
      </c>
      <c r="E3" s="10" t="s">
        <v>592</v>
      </c>
      <c r="F3" s="10">
        <v>425</v>
      </c>
      <c r="G3" s="10" t="s">
        <v>567</v>
      </c>
      <c r="H3" s="10" t="s">
        <v>437</v>
      </c>
      <c r="I3" s="26">
        <v>1979.66</v>
      </c>
      <c r="J3" s="45">
        <f t="shared" si="0"/>
        <v>8.4135550000000003E-2</v>
      </c>
    </row>
    <row r="4" spans="1:10">
      <c r="B4" s="41" t="s">
        <v>620</v>
      </c>
      <c r="C4" s="30" t="s">
        <v>621</v>
      </c>
      <c r="D4" s="10" t="s">
        <v>594</v>
      </c>
      <c r="E4" s="10" t="s">
        <v>595</v>
      </c>
      <c r="F4" s="10">
        <v>90</v>
      </c>
      <c r="G4" s="10" t="s">
        <v>567</v>
      </c>
      <c r="H4" s="10" t="s">
        <v>437</v>
      </c>
      <c r="I4" s="26">
        <v>151</v>
      </c>
      <c r="J4" s="45">
        <f t="shared" si="0"/>
        <v>1.359E-3</v>
      </c>
    </row>
    <row r="5" spans="1:10">
      <c r="B5" s="41" t="s">
        <v>620</v>
      </c>
      <c r="C5" s="30" t="s">
        <v>621</v>
      </c>
      <c r="D5" s="10" t="s">
        <v>596</v>
      </c>
      <c r="E5" s="10" t="s">
        <v>592</v>
      </c>
      <c r="F5" s="10">
        <v>360</v>
      </c>
      <c r="G5" s="10" t="s">
        <v>567</v>
      </c>
      <c r="H5" s="10" t="s">
        <v>437</v>
      </c>
      <c r="I5" s="26">
        <v>267.45</v>
      </c>
      <c r="J5" s="45">
        <f t="shared" si="0"/>
        <v>9.6282E-3</v>
      </c>
    </row>
    <row r="6" spans="1:10">
      <c r="B6" s="41" t="s">
        <v>620</v>
      </c>
      <c r="C6" s="30" t="s">
        <v>621</v>
      </c>
      <c r="D6" s="10" t="s">
        <v>597</v>
      </c>
      <c r="E6" s="10" t="s">
        <v>592</v>
      </c>
      <c r="F6" s="10">
        <v>1823</v>
      </c>
      <c r="G6" s="10" t="s">
        <v>567</v>
      </c>
      <c r="H6" s="10" t="s">
        <v>437</v>
      </c>
      <c r="I6" s="26">
        <v>162.09</v>
      </c>
      <c r="J6" s="45">
        <f t="shared" si="0"/>
        <v>2.9549007000000002E-2</v>
      </c>
    </row>
    <row r="7" spans="1:10">
      <c r="B7" s="41" t="s">
        <v>620</v>
      </c>
      <c r="C7" s="30" t="s">
        <v>621</v>
      </c>
      <c r="D7" s="10" t="s">
        <v>598</v>
      </c>
      <c r="E7" s="10" t="s">
        <v>599</v>
      </c>
      <c r="F7" s="10">
        <v>364</v>
      </c>
      <c r="G7" s="10" t="s">
        <v>567</v>
      </c>
      <c r="H7" s="10" t="s">
        <v>437</v>
      </c>
      <c r="I7" s="26">
        <v>235</v>
      </c>
      <c r="J7" s="45">
        <f t="shared" si="0"/>
        <v>8.5540000000000008E-3</v>
      </c>
    </row>
    <row r="8" spans="1:10">
      <c r="B8" s="41" t="s">
        <v>620</v>
      </c>
      <c r="C8" s="30" t="s">
        <v>621</v>
      </c>
      <c r="D8" s="10" t="s">
        <v>600</v>
      </c>
      <c r="E8" s="10" t="s">
        <v>601</v>
      </c>
      <c r="F8" s="10">
        <v>183</v>
      </c>
      <c r="G8" s="10" t="s">
        <v>567</v>
      </c>
      <c r="H8" s="10" t="s">
        <v>437</v>
      </c>
      <c r="I8" s="26">
        <v>351</v>
      </c>
      <c r="J8" s="45">
        <f t="shared" si="0"/>
        <v>6.4232999999999998E-3</v>
      </c>
    </row>
    <row r="9" spans="1:10">
      <c r="B9" s="41" t="s">
        <v>620</v>
      </c>
      <c r="C9" s="30" t="s">
        <v>621</v>
      </c>
      <c r="D9" s="10" t="s">
        <v>602</v>
      </c>
      <c r="E9" s="10" t="s">
        <v>601</v>
      </c>
      <c r="F9" s="10">
        <v>132</v>
      </c>
      <c r="G9" s="10" t="s">
        <v>567</v>
      </c>
      <c r="H9" s="10" t="s">
        <v>437</v>
      </c>
      <c r="I9" s="26">
        <v>435</v>
      </c>
      <c r="J9" s="45">
        <f t="shared" si="0"/>
        <v>5.7419999999999997E-3</v>
      </c>
    </row>
    <row r="10" spans="1:10">
      <c r="B10" s="41" t="s">
        <v>620</v>
      </c>
      <c r="C10" s="30" t="s">
        <v>621</v>
      </c>
      <c r="D10" s="10" t="s">
        <v>603</v>
      </c>
      <c r="E10" s="10" t="s">
        <v>601</v>
      </c>
      <c r="F10" s="10">
        <v>59</v>
      </c>
      <c r="G10" s="10" t="s">
        <v>567</v>
      </c>
      <c r="H10" s="10" t="s">
        <v>437</v>
      </c>
      <c r="I10" s="26">
        <v>150</v>
      </c>
      <c r="J10" s="45">
        <f t="shared" si="0"/>
        <v>8.8500000000000004E-4</v>
      </c>
    </row>
    <row r="11" spans="1:10">
      <c r="B11" s="41" t="s">
        <v>620</v>
      </c>
      <c r="C11" s="30" t="s">
        <v>621</v>
      </c>
      <c r="D11" s="10" t="s">
        <v>604</v>
      </c>
      <c r="E11" s="10" t="s">
        <v>601</v>
      </c>
      <c r="F11" s="10">
        <v>150</v>
      </c>
      <c r="G11" s="10" t="s">
        <v>567</v>
      </c>
      <c r="H11" s="10" t="s">
        <v>437</v>
      </c>
      <c r="I11" s="26">
        <v>831</v>
      </c>
      <c r="J11" s="45">
        <f t="shared" si="0"/>
        <v>1.2465E-2</v>
      </c>
    </row>
    <row r="12" spans="1:10">
      <c r="B12" s="41" t="s">
        <v>620</v>
      </c>
      <c r="C12" s="30" t="s">
        <v>621</v>
      </c>
      <c r="D12" s="10" t="s">
        <v>605</v>
      </c>
      <c r="E12" s="10" t="s">
        <v>606</v>
      </c>
      <c r="F12" s="10">
        <v>27</v>
      </c>
      <c r="G12" s="10" t="s">
        <v>567</v>
      </c>
      <c r="H12" s="10" t="s">
        <v>435</v>
      </c>
      <c r="I12" s="26">
        <v>1692</v>
      </c>
      <c r="J12" s="45">
        <f t="shared" si="0"/>
        <v>4.5684000000000002E-3</v>
      </c>
    </row>
    <row r="13" spans="1:10">
      <c r="B13" s="41" t="s">
        <v>620</v>
      </c>
      <c r="C13" s="30" t="s">
        <v>621</v>
      </c>
      <c r="D13" s="10" t="s">
        <v>607</v>
      </c>
      <c r="E13" s="10" t="s">
        <v>592</v>
      </c>
      <c r="F13" s="10">
        <v>164</v>
      </c>
      <c r="G13" s="10" t="s">
        <v>567</v>
      </c>
      <c r="H13" s="10" t="s">
        <v>437</v>
      </c>
      <c r="I13" s="26">
        <v>31.27</v>
      </c>
      <c r="J13" s="45">
        <f t="shared" si="0"/>
        <v>5.12828E-4</v>
      </c>
    </row>
    <row r="14" spans="1:10">
      <c r="B14" s="41" t="s">
        <v>620</v>
      </c>
      <c r="C14" s="30" t="s">
        <v>621</v>
      </c>
      <c r="D14" s="10" t="s">
        <v>608</v>
      </c>
      <c r="E14" s="10" t="s">
        <v>609</v>
      </c>
      <c r="F14" s="10">
        <v>428</v>
      </c>
      <c r="G14" s="10" t="s">
        <v>567</v>
      </c>
      <c r="H14" s="10" t="s">
        <v>437</v>
      </c>
      <c r="I14" s="26">
        <v>1495.13</v>
      </c>
      <c r="J14" s="45">
        <f t="shared" si="0"/>
        <v>6.3991564000000001E-2</v>
      </c>
    </row>
    <row r="15" spans="1:10">
      <c r="B15" s="41" t="s">
        <v>620</v>
      </c>
      <c r="C15" s="30" t="s">
        <v>621</v>
      </c>
      <c r="D15" s="10" t="s">
        <v>610</v>
      </c>
      <c r="E15" s="10" t="s">
        <v>611</v>
      </c>
      <c r="F15" s="10">
        <v>23</v>
      </c>
      <c r="G15" s="10" t="s">
        <v>567</v>
      </c>
      <c r="H15" s="10" t="s">
        <v>437</v>
      </c>
      <c r="I15" s="26">
        <v>818</v>
      </c>
      <c r="J15" s="45">
        <f t="shared" si="0"/>
        <v>1.8814000000000001E-3</v>
      </c>
    </row>
    <row r="16" spans="1:10">
      <c r="B16" s="41" t="s">
        <v>620</v>
      </c>
      <c r="C16" s="30" t="s">
        <v>621</v>
      </c>
      <c r="D16" s="10" t="s">
        <v>612</v>
      </c>
      <c r="E16" s="10" t="s">
        <v>595</v>
      </c>
      <c r="F16" s="10">
        <v>178</v>
      </c>
      <c r="G16" s="10" t="s">
        <v>567</v>
      </c>
      <c r="H16" s="10" t="s">
        <v>437</v>
      </c>
      <c r="I16" s="26">
        <v>1058</v>
      </c>
      <c r="J16" s="45">
        <f t="shared" si="0"/>
        <v>1.8832399999999999E-2</v>
      </c>
    </row>
    <row r="17" spans="2:10">
      <c r="B17" s="41" t="s">
        <v>620</v>
      </c>
      <c r="C17" s="30" t="s">
        <v>621</v>
      </c>
      <c r="D17" s="10" t="s">
        <v>613</v>
      </c>
      <c r="E17" s="10" t="s">
        <v>614</v>
      </c>
      <c r="F17" s="10">
        <v>240</v>
      </c>
      <c r="G17" s="10" t="s">
        <v>567</v>
      </c>
      <c r="H17" s="10" t="s">
        <v>615</v>
      </c>
      <c r="I17" s="26">
        <v>641</v>
      </c>
      <c r="J17" s="45">
        <f t="shared" si="0"/>
        <v>1.5384E-2</v>
      </c>
    </row>
    <row r="18" spans="2:10">
      <c r="B18" s="41" t="s">
        <v>620</v>
      </c>
      <c r="C18" s="30" t="s">
        <v>621</v>
      </c>
      <c r="D18" s="10" t="s">
        <v>616</v>
      </c>
      <c r="E18" s="10" t="s">
        <v>617</v>
      </c>
      <c r="F18" s="10">
        <v>450</v>
      </c>
      <c r="G18" s="10" t="s">
        <v>567</v>
      </c>
      <c r="H18" s="10" t="s">
        <v>618</v>
      </c>
      <c r="I18" s="26">
        <v>1625</v>
      </c>
      <c r="J18" s="45">
        <f t="shared" si="0"/>
        <v>7.3124999999999996E-2</v>
      </c>
    </row>
    <row r="19" spans="2:10">
      <c r="B19" s="41" t="s">
        <v>620</v>
      </c>
      <c r="C19" s="30" t="s">
        <v>621</v>
      </c>
      <c r="D19" s="10" t="s">
        <v>619</v>
      </c>
      <c r="E19" s="10" t="s">
        <v>617</v>
      </c>
      <c r="F19" s="10">
        <v>400</v>
      </c>
      <c r="G19" s="10" t="s">
        <v>567</v>
      </c>
      <c r="H19" s="10" t="s">
        <v>615</v>
      </c>
      <c r="I19" s="26">
        <v>1103</v>
      </c>
      <c r="J19" s="45">
        <f t="shared" si="0"/>
        <v>4.4119999999999999E-2</v>
      </c>
    </row>
    <row r="20" spans="2:10">
      <c r="B20" s="41"/>
      <c r="C20" s="41"/>
      <c r="D20" s="41"/>
      <c r="E20" s="41"/>
      <c r="F20" s="41"/>
      <c r="G20" s="41"/>
      <c r="H20" s="101" t="s">
        <v>970</v>
      </c>
      <c r="I20" s="102"/>
      <c r="J20" s="58">
        <f>SUM(J2:J19)</f>
        <v>0.59839264900000011</v>
      </c>
    </row>
    <row r="23" spans="2:10">
      <c r="I23">
        <v>10000000</v>
      </c>
    </row>
  </sheetData>
  <mergeCells count="1">
    <mergeCell ref="H20:I2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78E3E-0F1B-4249-A9E2-8DFCF9414092}">
  <dimension ref="A1:J140"/>
  <sheetViews>
    <sheetView topLeftCell="A100" workbookViewId="0">
      <selection activeCell="J140" sqref="B110:J140"/>
    </sheetView>
  </sheetViews>
  <sheetFormatPr defaultRowHeight="14.5"/>
  <cols>
    <col min="2" max="2" width="11.26953125" bestFit="1" customWidth="1"/>
    <col min="3" max="3" width="34" bestFit="1" customWidth="1"/>
    <col min="4" max="4" width="41" bestFit="1" customWidth="1"/>
    <col min="5" max="5" width="12.1796875" bestFit="1" customWidth="1"/>
    <col min="8" max="8" width="14.81640625" customWidth="1"/>
    <col min="10" max="10" width="9.36328125" bestFit="1" customWidth="1"/>
  </cols>
  <sheetData>
    <row r="1" spans="1:10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B2" s="2" t="s">
        <v>757</v>
      </c>
      <c r="C2" s="10" t="s">
        <v>758</v>
      </c>
      <c r="D2" s="2" t="s">
        <v>622</v>
      </c>
      <c r="E2" s="2" t="s">
        <v>723</v>
      </c>
      <c r="F2" s="2">
        <v>360</v>
      </c>
      <c r="G2" s="2" t="s">
        <v>355</v>
      </c>
      <c r="H2" s="2" t="s">
        <v>746</v>
      </c>
      <c r="I2" s="2">
        <v>169</v>
      </c>
      <c r="J2" s="12">
        <f t="shared" ref="J2:J33" si="0">(I2*F2)/10000000</f>
        <v>6.084E-3</v>
      </c>
    </row>
    <row r="3" spans="1:10">
      <c r="B3" s="2" t="s">
        <v>757</v>
      </c>
      <c r="C3" s="10" t="s">
        <v>758</v>
      </c>
      <c r="D3" s="2" t="s">
        <v>623</v>
      </c>
      <c r="E3" s="2" t="s">
        <v>723</v>
      </c>
      <c r="F3" s="2">
        <v>72</v>
      </c>
      <c r="G3" s="2" t="s">
        <v>355</v>
      </c>
      <c r="H3" s="2" t="s">
        <v>746</v>
      </c>
      <c r="I3" s="2">
        <v>202.6</v>
      </c>
      <c r="J3" s="12">
        <f t="shared" si="0"/>
        <v>1.4587199999999999E-3</v>
      </c>
    </row>
    <row r="4" spans="1:10">
      <c r="B4" s="2" t="s">
        <v>757</v>
      </c>
      <c r="C4" s="10" t="s">
        <v>758</v>
      </c>
      <c r="D4" s="2" t="s">
        <v>624</v>
      </c>
      <c r="E4" s="2" t="s">
        <v>723</v>
      </c>
      <c r="F4" s="2">
        <v>72</v>
      </c>
      <c r="G4" s="2" t="s">
        <v>355</v>
      </c>
      <c r="H4" s="2" t="s">
        <v>746</v>
      </c>
      <c r="I4" s="2">
        <v>253</v>
      </c>
      <c r="J4" s="12">
        <f t="shared" si="0"/>
        <v>1.8216E-3</v>
      </c>
    </row>
    <row r="5" spans="1:10">
      <c r="B5" s="2" t="s">
        <v>757</v>
      </c>
      <c r="C5" s="10" t="s">
        <v>758</v>
      </c>
      <c r="D5" s="2" t="s">
        <v>625</v>
      </c>
      <c r="E5" s="2" t="s">
        <v>723</v>
      </c>
      <c r="F5" s="2">
        <v>180.5</v>
      </c>
      <c r="G5" s="2" t="s">
        <v>355</v>
      </c>
      <c r="H5" s="2" t="s">
        <v>746</v>
      </c>
      <c r="I5" s="2">
        <v>3152</v>
      </c>
      <c r="J5" s="12">
        <f t="shared" si="0"/>
        <v>5.6893600000000003E-2</v>
      </c>
    </row>
    <row r="6" spans="1:10">
      <c r="B6" s="2" t="s">
        <v>757</v>
      </c>
      <c r="C6" s="10" t="s">
        <v>758</v>
      </c>
      <c r="D6" s="2" t="s">
        <v>626</v>
      </c>
      <c r="E6" s="2" t="s">
        <v>723</v>
      </c>
      <c r="F6" s="2">
        <v>6</v>
      </c>
      <c r="G6" s="2" t="s">
        <v>355</v>
      </c>
      <c r="H6" s="2" t="s">
        <v>746</v>
      </c>
      <c r="I6" s="2">
        <v>3560</v>
      </c>
      <c r="J6" s="12">
        <f t="shared" si="0"/>
        <v>2.1359999999999999E-3</v>
      </c>
    </row>
    <row r="7" spans="1:10">
      <c r="B7" s="2" t="s">
        <v>757</v>
      </c>
      <c r="C7" s="10" t="s">
        <v>758</v>
      </c>
      <c r="D7" s="2" t="s">
        <v>627</v>
      </c>
      <c r="E7" s="2" t="s">
        <v>723</v>
      </c>
      <c r="F7" s="2">
        <v>2</v>
      </c>
      <c r="G7" s="2" t="s">
        <v>355</v>
      </c>
      <c r="H7" s="2" t="s">
        <v>746</v>
      </c>
      <c r="I7" s="2">
        <v>3929</v>
      </c>
      <c r="J7" s="12">
        <f t="shared" si="0"/>
        <v>7.8580000000000002E-4</v>
      </c>
    </row>
    <row r="8" spans="1:10">
      <c r="B8" s="2" t="s">
        <v>757</v>
      </c>
      <c r="C8" s="10" t="s">
        <v>758</v>
      </c>
      <c r="D8" s="2" t="s">
        <v>628</v>
      </c>
      <c r="E8" s="2" t="s">
        <v>723</v>
      </c>
      <c r="F8" s="2">
        <v>17.600000000000001</v>
      </c>
      <c r="G8" s="2" t="s">
        <v>355</v>
      </c>
      <c r="H8" s="2" t="s">
        <v>746</v>
      </c>
      <c r="I8" s="2">
        <v>4400</v>
      </c>
      <c r="J8" s="12">
        <f t="shared" si="0"/>
        <v>7.744E-3</v>
      </c>
    </row>
    <row r="9" spans="1:10">
      <c r="B9" s="2" t="s">
        <v>757</v>
      </c>
      <c r="C9" s="10" t="s">
        <v>758</v>
      </c>
      <c r="D9" s="27" t="s">
        <v>629</v>
      </c>
      <c r="E9" s="10"/>
      <c r="F9" s="10">
        <v>140</v>
      </c>
      <c r="G9" s="10" t="s">
        <v>251</v>
      </c>
      <c r="H9" s="91" t="s">
        <v>747</v>
      </c>
      <c r="I9" s="10">
        <v>583.53</v>
      </c>
      <c r="J9" s="12">
        <f t="shared" si="0"/>
        <v>8.1694200000000002E-3</v>
      </c>
    </row>
    <row r="10" spans="1:10">
      <c r="B10" s="2" t="s">
        <v>757</v>
      </c>
      <c r="C10" s="10" t="s">
        <v>758</v>
      </c>
      <c r="D10" s="10" t="s">
        <v>630</v>
      </c>
      <c r="E10" s="10"/>
      <c r="F10" s="10">
        <v>125</v>
      </c>
      <c r="G10" s="10" t="s">
        <v>251</v>
      </c>
      <c r="H10" s="91"/>
      <c r="I10" s="10">
        <v>628.04999999999995</v>
      </c>
      <c r="J10" s="12">
        <f t="shared" si="0"/>
        <v>7.850625E-3</v>
      </c>
    </row>
    <row r="11" spans="1:10">
      <c r="B11" s="2" t="s">
        <v>757</v>
      </c>
      <c r="C11" s="10" t="s">
        <v>758</v>
      </c>
      <c r="D11" s="10" t="s">
        <v>631</v>
      </c>
      <c r="E11" s="10"/>
      <c r="F11" s="10">
        <v>288</v>
      </c>
      <c r="G11" s="10" t="s">
        <v>744</v>
      </c>
      <c r="H11" s="91" t="s">
        <v>748</v>
      </c>
      <c r="I11" s="10">
        <v>1111</v>
      </c>
      <c r="J11" s="12">
        <f t="shared" si="0"/>
        <v>3.1996799999999999E-2</v>
      </c>
    </row>
    <row r="12" spans="1:10">
      <c r="B12" s="2" t="s">
        <v>757</v>
      </c>
      <c r="C12" s="10" t="s">
        <v>758</v>
      </c>
      <c r="D12" s="10" t="s">
        <v>632</v>
      </c>
      <c r="E12" s="10"/>
      <c r="F12" s="10">
        <v>48</v>
      </c>
      <c r="G12" s="10" t="s">
        <v>744</v>
      </c>
      <c r="H12" s="91"/>
      <c r="I12" s="10">
        <v>940</v>
      </c>
      <c r="J12" s="12">
        <f t="shared" si="0"/>
        <v>4.5120000000000004E-3</v>
      </c>
    </row>
    <row r="13" spans="1:10">
      <c r="B13" s="2" t="s">
        <v>757</v>
      </c>
      <c r="C13" s="10" t="s">
        <v>758</v>
      </c>
      <c r="D13" s="10" t="s">
        <v>633</v>
      </c>
      <c r="E13" s="10" t="s">
        <v>724</v>
      </c>
      <c r="F13" s="10">
        <v>10</v>
      </c>
      <c r="G13" s="10" t="s">
        <v>745</v>
      </c>
      <c r="H13" s="10" t="s">
        <v>749</v>
      </c>
      <c r="I13" s="10">
        <v>480</v>
      </c>
      <c r="J13" s="12">
        <f t="shared" si="0"/>
        <v>4.8000000000000001E-4</v>
      </c>
    </row>
    <row r="14" spans="1:10">
      <c r="B14" s="2" t="s">
        <v>757</v>
      </c>
      <c r="C14" s="10" t="s">
        <v>758</v>
      </c>
      <c r="D14" s="10" t="s">
        <v>634</v>
      </c>
      <c r="E14" s="10"/>
      <c r="F14" s="10">
        <v>105</v>
      </c>
      <c r="G14" s="10" t="s">
        <v>744</v>
      </c>
      <c r="H14" s="92" t="s">
        <v>750</v>
      </c>
      <c r="I14" s="10">
        <v>151</v>
      </c>
      <c r="J14" s="12">
        <f t="shared" si="0"/>
        <v>1.5855000000000001E-3</v>
      </c>
    </row>
    <row r="15" spans="1:10">
      <c r="B15" s="2" t="s">
        <v>757</v>
      </c>
      <c r="C15" s="10" t="s">
        <v>758</v>
      </c>
      <c r="D15" s="8" t="s">
        <v>635</v>
      </c>
      <c r="E15" s="10"/>
      <c r="F15" s="28">
        <v>12</v>
      </c>
      <c r="G15" s="10" t="s">
        <v>250</v>
      </c>
      <c r="H15" s="92"/>
      <c r="I15" s="11">
        <v>17706</v>
      </c>
      <c r="J15" s="12">
        <f t="shared" si="0"/>
        <v>2.1247200000000001E-2</v>
      </c>
    </row>
    <row r="16" spans="1:10">
      <c r="B16" s="2" t="s">
        <v>757</v>
      </c>
      <c r="C16" s="10" t="s">
        <v>758</v>
      </c>
      <c r="D16" s="8" t="s">
        <v>636</v>
      </c>
      <c r="E16" s="10"/>
      <c r="F16" s="28">
        <v>4</v>
      </c>
      <c r="G16" s="10" t="s">
        <v>250</v>
      </c>
      <c r="H16" s="92"/>
      <c r="I16" s="11">
        <v>23010</v>
      </c>
      <c r="J16" s="12">
        <f t="shared" si="0"/>
        <v>9.2040000000000004E-3</v>
      </c>
    </row>
    <row r="17" spans="2:10">
      <c r="B17" s="2" t="s">
        <v>757</v>
      </c>
      <c r="C17" s="10" t="s">
        <v>758</v>
      </c>
      <c r="D17" s="8" t="s">
        <v>637</v>
      </c>
      <c r="E17" s="10"/>
      <c r="F17" s="28">
        <v>20</v>
      </c>
      <c r="G17" s="10" t="s">
        <v>250</v>
      </c>
      <c r="H17" s="92"/>
      <c r="I17" s="11">
        <v>23010</v>
      </c>
      <c r="J17" s="12">
        <f t="shared" si="0"/>
        <v>4.6019999999999998E-2</v>
      </c>
    </row>
    <row r="18" spans="2:10">
      <c r="B18" s="2" t="s">
        <v>757</v>
      </c>
      <c r="C18" s="10" t="s">
        <v>758</v>
      </c>
      <c r="D18" s="8" t="s">
        <v>638</v>
      </c>
      <c r="E18" s="10"/>
      <c r="F18" s="28">
        <v>7</v>
      </c>
      <c r="G18" s="10" t="s">
        <v>250</v>
      </c>
      <c r="H18" s="92"/>
      <c r="I18" s="11">
        <v>15366</v>
      </c>
      <c r="J18" s="12">
        <f t="shared" si="0"/>
        <v>1.07562E-2</v>
      </c>
    </row>
    <row r="19" spans="2:10">
      <c r="B19" s="2" t="s">
        <v>757</v>
      </c>
      <c r="C19" s="10" t="s">
        <v>758</v>
      </c>
      <c r="D19" s="10" t="s">
        <v>639</v>
      </c>
      <c r="E19" s="92" t="s">
        <v>725</v>
      </c>
      <c r="F19" s="10">
        <v>8</v>
      </c>
      <c r="G19" s="10" t="s">
        <v>250</v>
      </c>
      <c r="H19" s="92" t="s">
        <v>432</v>
      </c>
      <c r="I19" s="10">
        <v>2800</v>
      </c>
      <c r="J19" s="12">
        <f t="shared" si="0"/>
        <v>2.2399999999999998E-3</v>
      </c>
    </row>
    <row r="20" spans="2:10">
      <c r="B20" s="2" t="s">
        <v>757</v>
      </c>
      <c r="C20" s="10" t="s">
        <v>758</v>
      </c>
      <c r="D20" s="10" t="s">
        <v>640</v>
      </c>
      <c r="E20" s="92"/>
      <c r="F20" s="10">
        <v>4</v>
      </c>
      <c r="G20" s="10" t="s">
        <v>250</v>
      </c>
      <c r="H20" s="92"/>
      <c r="I20" s="10">
        <v>580</v>
      </c>
      <c r="J20" s="12">
        <f t="shared" si="0"/>
        <v>2.32E-4</v>
      </c>
    </row>
    <row r="21" spans="2:10">
      <c r="B21" s="2" t="s">
        <v>757</v>
      </c>
      <c r="C21" s="10" t="s">
        <v>758</v>
      </c>
      <c r="D21" s="10" t="s">
        <v>641</v>
      </c>
      <c r="E21" s="92"/>
      <c r="F21" s="10">
        <v>4</v>
      </c>
      <c r="G21" s="10" t="s">
        <v>250</v>
      </c>
      <c r="H21" s="92"/>
      <c r="I21" s="10">
        <v>580</v>
      </c>
      <c r="J21" s="12">
        <f t="shared" si="0"/>
        <v>2.32E-4</v>
      </c>
    </row>
    <row r="22" spans="2:10">
      <c r="B22" s="2" t="s">
        <v>757</v>
      </c>
      <c r="C22" s="10" t="s">
        <v>758</v>
      </c>
      <c r="D22" s="10" t="s">
        <v>640</v>
      </c>
      <c r="E22" s="92"/>
      <c r="F22" s="10">
        <v>12</v>
      </c>
      <c r="G22" s="10" t="s">
        <v>250</v>
      </c>
      <c r="H22" s="92"/>
      <c r="I22" s="10">
        <v>580</v>
      </c>
      <c r="J22" s="12">
        <f t="shared" si="0"/>
        <v>6.96E-4</v>
      </c>
    </row>
    <row r="23" spans="2:10">
      <c r="B23" s="2" t="s">
        <v>757</v>
      </c>
      <c r="C23" s="10" t="s">
        <v>758</v>
      </c>
      <c r="D23" s="10" t="s">
        <v>642</v>
      </c>
      <c r="E23" s="92" t="s">
        <v>726</v>
      </c>
      <c r="F23" s="10">
        <v>5</v>
      </c>
      <c r="G23" s="10" t="s">
        <v>250</v>
      </c>
      <c r="H23" s="92"/>
      <c r="I23" s="10">
        <v>823.5</v>
      </c>
      <c r="J23" s="12">
        <f t="shared" si="0"/>
        <v>4.1175000000000001E-4</v>
      </c>
    </row>
    <row r="24" spans="2:10">
      <c r="B24" s="2" t="s">
        <v>757</v>
      </c>
      <c r="C24" s="10" t="s">
        <v>758</v>
      </c>
      <c r="D24" s="10" t="s">
        <v>643</v>
      </c>
      <c r="E24" s="92"/>
      <c r="F24" s="10">
        <v>1</v>
      </c>
      <c r="G24" s="10" t="s">
        <v>250</v>
      </c>
      <c r="H24" s="92"/>
      <c r="I24" s="10">
        <v>823.5</v>
      </c>
      <c r="J24" s="12">
        <f t="shared" si="0"/>
        <v>8.2349999999999996E-5</v>
      </c>
    </row>
    <row r="25" spans="2:10">
      <c r="B25" s="2" t="s">
        <v>757</v>
      </c>
      <c r="C25" s="10" t="s">
        <v>758</v>
      </c>
      <c r="D25" s="10" t="s">
        <v>644</v>
      </c>
      <c r="E25" s="92"/>
      <c r="F25" s="10">
        <v>1</v>
      </c>
      <c r="G25" s="10" t="s">
        <v>250</v>
      </c>
      <c r="H25" s="92"/>
      <c r="I25" s="10">
        <v>823.5</v>
      </c>
      <c r="J25" s="12">
        <f t="shared" si="0"/>
        <v>8.2349999999999996E-5</v>
      </c>
    </row>
    <row r="26" spans="2:10">
      <c r="B26" s="2" t="s">
        <v>757</v>
      </c>
      <c r="C26" s="10" t="s">
        <v>758</v>
      </c>
      <c r="D26" s="10" t="s">
        <v>645</v>
      </c>
      <c r="E26" s="92"/>
      <c r="F26" s="10">
        <v>1</v>
      </c>
      <c r="G26" s="10" t="s">
        <v>250</v>
      </c>
      <c r="H26" s="92"/>
      <c r="I26" s="10">
        <v>823.5</v>
      </c>
      <c r="J26" s="12">
        <f t="shared" si="0"/>
        <v>8.2349999999999996E-5</v>
      </c>
    </row>
    <row r="27" spans="2:10">
      <c r="B27" s="2" t="s">
        <v>757</v>
      </c>
      <c r="C27" s="10" t="s">
        <v>758</v>
      </c>
      <c r="D27" s="10" t="s">
        <v>646</v>
      </c>
      <c r="E27" s="92"/>
      <c r="F27" s="10">
        <v>1</v>
      </c>
      <c r="G27" s="10" t="s">
        <v>250</v>
      </c>
      <c r="H27" s="92"/>
      <c r="I27" s="10">
        <v>823.5</v>
      </c>
      <c r="J27" s="12">
        <f t="shared" si="0"/>
        <v>8.2349999999999996E-5</v>
      </c>
    </row>
    <row r="28" spans="2:10">
      <c r="B28" s="2" t="s">
        <v>757</v>
      </c>
      <c r="C28" s="10" t="s">
        <v>758</v>
      </c>
      <c r="D28" s="10" t="s">
        <v>647</v>
      </c>
      <c r="E28" s="92"/>
      <c r="F28" s="10">
        <v>1</v>
      </c>
      <c r="G28" s="10" t="s">
        <v>250</v>
      </c>
      <c r="H28" s="92"/>
      <c r="I28" s="10">
        <v>823.5</v>
      </c>
      <c r="J28" s="12">
        <f t="shared" si="0"/>
        <v>8.2349999999999996E-5</v>
      </c>
    </row>
    <row r="29" spans="2:10">
      <c r="B29" s="2" t="s">
        <v>757</v>
      </c>
      <c r="C29" s="10" t="s">
        <v>758</v>
      </c>
      <c r="D29" s="10" t="s">
        <v>648</v>
      </c>
      <c r="E29" s="92"/>
      <c r="F29" s="10">
        <v>1</v>
      </c>
      <c r="G29" s="10" t="s">
        <v>250</v>
      </c>
      <c r="H29" s="92"/>
      <c r="I29" s="10">
        <v>3705.75</v>
      </c>
      <c r="J29" s="12">
        <f t="shared" si="0"/>
        <v>3.70575E-4</v>
      </c>
    </row>
    <row r="30" spans="2:10">
      <c r="B30" s="2" t="s">
        <v>757</v>
      </c>
      <c r="C30" s="10" t="s">
        <v>758</v>
      </c>
      <c r="D30" s="10" t="s">
        <v>649</v>
      </c>
      <c r="E30" s="92"/>
      <c r="F30" s="10">
        <v>1</v>
      </c>
      <c r="G30" s="10" t="s">
        <v>250</v>
      </c>
      <c r="H30" s="92"/>
      <c r="I30" s="10">
        <v>2882.25</v>
      </c>
      <c r="J30" s="12">
        <f t="shared" si="0"/>
        <v>2.8822500000000003E-4</v>
      </c>
    </row>
    <row r="31" spans="2:10">
      <c r="B31" s="2" t="s">
        <v>757</v>
      </c>
      <c r="C31" s="10" t="s">
        <v>758</v>
      </c>
      <c r="D31" s="10" t="s">
        <v>650</v>
      </c>
      <c r="E31" s="92"/>
      <c r="F31" s="10">
        <v>1</v>
      </c>
      <c r="G31" s="10" t="s">
        <v>250</v>
      </c>
      <c r="H31" s="92"/>
      <c r="I31" s="10">
        <v>1317.6</v>
      </c>
      <c r="J31" s="12">
        <f t="shared" si="0"/>
        <v>1.3176E-4</v>
      </c>
    </row>
    <row r="32" spans="2:10">
      <c r="B32" s="2" t="s">
        <v>757</v>
      </c>
      <c r="C32" s="10" t="s">
        <v>758</v>
      </c>
      <c r="D32" s="10" t="s">
        <v>651</v>
      </c>
      <c r="E32" s="92"/>
      <c r="F32" s="10">
        <v>1</v>
      </c>
      <c r="G32" s="10" t="s">
        <v>250</v>
      </c>
      <c r="H32" s="92"/>
      <c r="I32" s="10">
        <v>1029.375</v>
      </c>
      <c r="J32" s="12">
        <f t="shared" si="0"/>
        <v>1.029375E-4</v>
      </c>
    </row>
    <row r="33" spans="2:10">
      <c r="B33" s="2" t="s">
        <v>757</v>
      </c>
      <c r="C33" s="10" t="s">
        <v>758</v>
      </c>
      <c r="D33" s="10" t="s">
        <v>652</v>
      </c>
      <c r="E33" s="92"/>
      <c r="F33" s="10">
        <v>2</v>
      </c>
      <c r="G33" s="10" t="s">
        <v>250</v>
      </c>
      <c r="H33" s="92"/>
      <c r="I33" s="10">
        <v>823.5</v>
      </c>
      <c r="J33" s="12">
        <f t="shared" si="0"/>
        <v>1.6469999999999999E-4</v>
      </c>
    </row>
    <row r="34" spans="2:10">
      <c r="B34" s="2" t="s">
        <v>757</v>
      </c>
      <c r="C34" s="10" t="s">
        <v>758</v>
      </c>
      <c r="D34" s="10" t="s">
        <v>653</v>
      </c>
      <c r="E34" s="92" t="s">
        <v>727</v>
      </c>
      <c r="F34" s="10">
        <v>7</v>
      </c>
      <c r="G34" s="10" t="s">
        <v>250</v>
      </c>
      <c r="H34" s="92"/>
      <c r="I34" s="10">
        <v>823.5</v>
      </c>
      <c r="J34" s="12">
        <f t="shared" ref="J34:J65" si="1">(I34*F34)/10000000</f>
        <v>5.7645000000000005E-4</v>
      </c>
    </row>
    <row r="35" spans="2:10">
      <c r="B35" s="2" t="s">
        <v>757</v>
      </c>
      <c r="C35" s="10" t="s">
        <v>758</v>
      </c>
      <c r="D35" s="10" t="s">
        <v>654</v>
      </c>
      <c r="E35" s="92"/>
      <c r="F35" s="10">
        <v>2</v>
      </c>
      <c r="G35" s="10" t="s">
        <v>250</v>
      </c>
      <c r="H35" s="92"/>
      <c r="I35" s="10">
        <v>1008.788</v>
      </c>
      <c r="J35" s="12">
        <f t="shared" si="1"/>
        <v>2.0175760000000001E-4</v>
      </c>
    </row>
    <row r="36" spans="2:10">
      <c r="B36" s="2" t="s">
        <v>757</v>
      </c>
      <c r="C36" s="10" t="s">
        <v>758</v>
      </c>
      <c r="D36" s="10" t="s">
        <v>655</v>
      </c>
      <c r="E36" s="92"/>
      <c r="F36" s="10">
        <v>2</v>
      </c>
      <c r="G36" s="10" t="s">
        <v>250</v>
      </c>
      <c r="H36" s="92"/>
      <c r="I36" s="10">
        <v>823.5</v>
      </c>
      <c r="J36" s="12">
        <f t="shared" si="1"/>
        <v>1.6469999999999999E-4</v>
      </c>
    </row>
    <row r="37" spans="2:10">
      <c r="B37" s="2" t="s">
        <v>757</v>
      </c>
      <c r="C37" s="10" t="s">
        <v>758</v>
      </c>
      <c r="D37" s="10" t="s">
        <v>656</v>
      </c>
      <c r="E37" s="92"/>
      <c r="F37" s="10">
        <v>9</v>
      </c>
      <c r="G37" s="10" t="s">
        <v>250</v>
      </c>
      <c r="H37" s="92"/>
      <c r="I37" s="10">
        <v>4117.5</v>
      </c>
      <c r="J37" s="12">
        <f t="shared" si="1"/>
        <v>3.7057499999999998E-3</v>
      </c>
    </row>
    <row r="38" spans="2:10">
      <c r="B38" s="2" t="s">
        <v>757</v>
      </c>
      <c r="C38" s="10" t="s">
        <v>758</v>
      </c>
      <c r="D38" s="10" t="s">
        <v>657</v>
      </c>
      <c r="E38" s="92"/>
      <c r="F38" s="10">
        <v>1</v>
      </c>
      <c r="G38" s="10" t="s">
        <v>250</v>
      </c>
      <c r="H38" s="92"/>
      <c r="I38" s="10">
        <v>4282.2</v>
      </c>
      <c r="J38" s="12">
        <f t="shared" si="1"/>
        <v>4.2821999999999999E-4</v>
      </c>
    </row>
    <row r="39" spans="2:10">
      <c r="B39" s="2" t="s">
        <v>757</v>
      </c>
      <c r="C39" s="10" t="s">
        <v>758</v>
      </c>
      <c r="D39" s="10" t="s">
        <v>658</v>
      </c>
      <c r="E39" s="92"/>
      <c r="F39" s="10">
        <v>1</v>
      </c>
      <c r="G39" s="10" t="s">
        <v>250</v>
      </c>
      <c r="H39" s="92"/>
      <c r="I39" s="10">
        <v>2305.8000000000002</v>
      </c>
      <c r="J39" s="12">
        <f t="shared" si="1"/>
        <v>2.3058E-4</v>
      </c>
    </row>
    <row r="40" spans="2:10">
      <c r="B40" s="2" t="s">
        <v>757</v>
      </c>
      <c r="C40" s="10" t="s">
        <v>758</v>
      </c>
      <c r="D40" s="10" t="s">
        <v>659</v>
      </c>
      <c r="E40" s="92"/>
      <c r="F40" s="10">
        <v>4</v>
      </c>
      <c r="G40" s="10" t="s">
        <v>250</v>
      </c>
      <c r="H40" s="92"/>
      <c r="I40" s="10">
        <v>4611.6000000000004</v>
      </c>
      <c r="J40" s="12">
        <f t="shared" si="1"/>
        <v>1.84464E-3</v>
      </c>
    </row>
    <row r="41" spans="2:10">
      <c r="B41" s="2" t="s">
        <v>757</v>
      </c>
      <c r="C41" s="10" t="s">
        <v>758</v>
      </c>
      <c r="D41" s="10" t="s">
        <v>660</v>
      </c>
      <c r="E41" s="92" t="s">
        <v>728</v>
      </c>
      <c r="F41" s="10">
        <v>5</v>
      </c>
      <c r="G41" s="10" t="s">
        <v>250</v>
      </c>
      <c r="H41" s="92"/>
      <c r="I41" s="10">
        <v>1350</v>
      </c>
      <c r="J41" s="12">
        <f t="shared" si="1"/>
        <v>6.7500000000000004E-4</v>
      </c>
    </row>
    <row r="42" spans="2:10">
      <c r="B42" s="2" t="s">
        <v>757</v>
      </c>
      <c r="C42" s="10" t="s">
        <v>758</v>
      </c>
      <c r="D42" s="10" t="s">
        <v>661</v>
      </c>
      <c r="E42" s="92"/>
      <c r="F42" s="10">
        <v>1</v>
      </c>
      <c r="G42" s="10" t="s">
        <v>250</v>
      </c>
      <c r="H42" s="92"/>
      <c r="I42" s="10">
        <v>1687.5</v>
      </c>
      <c r="J42" s="12">
        <f t="shared" si="1"/>
        <v>1.6875000000000001E-4</v>
      </c>
    </row>
    <row r="43" spans="2:10">
      <c r="B43" s="2" t="s">
        <v>757</v>
      </c>
      <c r="C43" s="10" t="s">
        <v>758</v>
      </c>
      <c r="D43" s="8" t="s">
        <v>662</v>
      </c>
      <c r="E43" s="10"/>
      <c r="F43" s="10">
        <v>1</v>
      </c>
      <c r="G43" s="10" t="s">
        <v>250</v>
      </c>
      <c r="H43" s="92" t="s">
        <v>751</v>
      </c>
      <c r="I43" s="11">
        <v>46831</v>
      </c>
      <c r="J43" s="12">
        <f t="shared" si="1"/>
        <v>4.6830999999999999E-3</v>
      </c>
    </row>
    <row r="44" spans="2:10">
      <c r="B44" s="2" t="s">
        <v>757</v>
      </c>
      <c r="C44" s="10" t="s">
        <v>758</v>
      </c>
      <c r="D44" s="8" t="s">
        <v>663</v>
      </c>
      <c r="E44" s="10"/>
      <c r="F44" s="10">
        <v>4</v>
      </c>
      <c r="G44" s="10" t="s">
        <v>250</v>
      </c>
      <c r="H44" s="92"/>
      <c r="I44" s="11">
        <v>42873</v>
      </c>
      <c r="J44" s="12">
        <f t="shared" si="1"/>
        <v>1.71492E-2</v>
      </c>
    </row>
    <row r="45" spans="2:10">
      <c r="B45" s="2" t="s">
        <v>757</v>
      </c>
      <c r="C45" s="10" t="s">
        <v>758</v>
      </c>
      <c r="D45" s="8" t="s">
        <v>664</v>
      </c>
      <c r="E45" s="10"/>
      <c r="F45" s="10">
        <v>8</v>
      </c>
      <c r="G45" s="10" t="s">
        <v>250</v>
      </c>
      <c r="H45" s="92"/>
      <c r="I45" s="10">
        <v>746</v>
      </c>
      <c r="J45" s="12">
        <f t="shared" si="1"/>
        <v>5.9679999999999998E-4</v>
      </c>
    </row>
    <row r="46" spans="2:10">
      <c r="B46" s="2" t="s">
        <v>757</v>
      </c>
      <c r="C46" s="10" t="s">
        <v>758</v>
      </c>
      <c r="D46" s="8" t="s">
        <v>665</v>
      </c>
      <c r="E46" s="10"/>
      <c r="F46" s="10">
        <v>12</v>
      </c>
      <c r="G46" s="10" t="s">
        <v>250</v>
      </c>
      <c r="H46" s="92"/>
      <c r="I46" s="10">
        <v>332</v>
      </c>
      <c r="J46" s="12">
        <f t="shared" si="1"/>
        <v>3.9839999999999998E-4</v>
      </c>
    </row>
    <row r="47" spans="2:10">
      <c r="B47" s="2" t="s">
        <v>757</v>
      </c>
      <c r="C47" s="10" t="s">
        <v>758</v>
      </c>
      <c r="D47" s="10" t="s">
        <v>666</v>
      </c>
      <c r="E47" s="10"/>
      <c r="F47" s="10">
        <v>85</v>
      </c>
      <c r="G47" s="10" t="s">
        <v>250</v>
      </c>
      <c r="H47" s="91" t="s">
        <v>752</v>
      </c>
      <c r="I47" s="11">
        <v>780</v>
      </c>
      <c r="J47" s="12">
        <f t="shared" si="1"/>
        <v>6.6299999999999996E-3</v>
      </c>
    </row>
    <row r="48" spans="2:10">
      <c r="B48" s="2" t="s">
        <v>757</v>
      </c>
      <c r="C48" s="10" t="s">
        <v>758</v>
      </c>
      <c r="D48" s="10" t="s">
        <v>667</v>
      </c>
      <c r="E48" s="10"/>
      <c r="F48" s="10">
        <v>145</v>
      </c>
      <c r="G48" s="10" t="s">
        <v>250</v>
      </c>
      <c r="H48" s="91"/>
      <c r="I48" s="11">
        <v>561</v>
      </c>
      <c r="J48" s="12">
        <f t="shared" si="1"/>
        <v>8.1344999999999994E-3</v>
      </c>
    </row>
    <row r="49" spans="2:10">
      <c r="B49" s="2" t="s">
        <v>757</v>
      </c>
      <c r="C49" s="10" t="s">
        <v>758</v>
      </c>
      <c r="D49" s="10" t="s">
        <v>668</v>
      </c>
      <c r="E49" s="10"/>
      <c r="F49" s="10">
        <v>34</v>
      </c>
      <c r="G49" s="10" t="s">
        <v>250</v>
      </c>
      <c r="H49" s="91"/>
      <c r="I49" s="11">
        <v>233</v>
      </c>
      <c r="J49" s="12">
        <f t="shared" si="1"/>
        <v>7.9219999999999996E-4</v>
      </c>
    </row>
    <row r="50" spans="2:10">
      <c r="B50" s="2" t="s">
        <v>757</v>
      </c>
      <c r="C50" s="10" t="s">
        <v>758</v>
      </c>
      <c r="D50" s="10" t="s">
        <v>669</v>
      </c>
      <c r="E50" s="10"/>
      <c r="F50" s="10">
        <v>110</v>
      </c>
      <c r="G50" s="10" t="s">
        <v>250</v>
      </c>
      <c r="H50" s="91"/>
      <c r="I50" s="11">
        <v>233</v>
      </c>
      <c r="J50" s="12">
        <f t="shared" si="1"/>
        <v>2.5630000000000002E-3</v>
      </c>
    </row>
    <row r="51" spans="2:10">
      <c r="B51" s="2" t="s">
        <v>757</v>
      </c>
      <c r="C51" s="10" t="s">
        <v>758</v>
      </c>
      <c r="D51" s="10" t="s">
        <v>670</v>
      </c>
      <c r="E51" s="10"/>
      <c r="F51" s="10">
        <v>200</v>
      </c>
      <c r="G51" s="10" t="s">
        <v>250</v>
      </c>
      <c r="H51" s="91"/>
      <c r="I51" s="11">
        <v>233</v>
      </c>
      <c r="J51" s="12">
        <f t="shared" si="1"/>
        <v>4.6600000000000001E-3</v>
      </c>
    </row>
    <row r="52" spans="2:10">
      <c r="B52" s="2" t="s">
        <v>757</v>
      </c>
      <c r="C52" s="10" t="s">
        <v>758</v>
      </c>
      <c r="D52" s="10" t="s">
        <v>671</v>
      </c>
      <c r="E52" s="10"/>
      <c r="F52" s="10">
        <v>100</v>
      </c>
      <c r="G52" s="10" t="s">
        <v>250</v>
      </c>
      <c r="H52" s="91"/>
      <c r="I52" s="10">
        <v>260</v>
      </c>
      <c r="J52" s="12">
        <f t="shared" si="1"/>
        <v>2.5999999999999999E-3</v>
      </c>
    </row>
    <row r="53" spans="2:10">
      <c r="B53" s="2" t="s">
        <v>757</v>
      </c>
      <c r="C53" s="10" t="s">
        <v>758</v>
      </c>
      <c r="D53" s="10" t="s">
        <v>672</v>
      </c>
      <c r="E53" s="10"/>
      <c r="F53" s="10">
        <v>17</v>
      </c>
      <c r="G53" s="10" t="s">
        <v>250</v>
      </c>
      <c r="H53" s="91"/>
      <c r="I53" s="10">
        <v>342</v>
      </c>
      <c r="J53" s="12">
        <f t="shared" si="1"/>
        <v>5.8140000000000004E-4</v>
      </c>
    </row>
    <row r="54" spans="2:10">
      <c r="B54" s="2" t="s">
        <v>757</v>
      </c>
      <c r="C54" s="10" t="s">
        <v>758</v>
      </c>
      <c r="D54" s="10" t="s">
        <v>673</v>
      </c>
      <c r="E54" s="10"/>
      <c r="F54" s="10">
        <v>10</v>
      </c>
      <c r="G54" s="10" t="s">
        <v>250</v>
      </c>
      <c r="H54" s="91"/>
      <c r="I54" s="10">
        <v>427</v>
      </c>
      <c r="J54" s="12">
        <f t="shared" si="1"/>
        <v>4.2700000000000002E-4</v>
      </c>
    </row>
    <row r="55" spans="2:10">
      <c r="B55" s="2" t="s">
        <v>757</v>
      </c>
      <c r="C55" s="10" t="s">
        <v>758</v>
      </c>
      <c r="D55" s="10" t="s">
        <v>674</v>
      </c>
      <c r="E55" s="10"/>
      <c r="F55" s="10">
        <v>29</v>
      </c>
      <c r="G55" s="10" t="s">
        <v>250</v>
      </c>
      <c r="H55" s="91"/>
      <c r="I55" s="10">
        <v>944</v>
      </c>
      <c r="J55" s="12">
        <f t="shared" si="1"/>
        <v>2.7376000000000002E-3</v>
      </c>
    </row>
    <row r="56" spans="2:10">
      <c r="B56" s="2" t="s">
        <v>757</v>
      </c>
      <c r="C56" s="10" t="s">
        <v>758</v>
      </c>
      <c r="D56" s="10" t="s">
        <v>675</v>
      </c>
      <c r="E56" s="10"/>
      <c r="F56" s="10">
        <v>12</v>
      </c>
      <c r="G56" s="10" t="s">
        <v>250</v>
      </c>
      <c r="H56" s="91"/>
      <c r="I56" s="10">
        <v>911</v>
      </c>
      <c r="J56" s="12">
        <f t="shared" si="1"/>
        <v>1.0931999999999999E-3</v>
      </c>
    </row>
    <row r="57" spans="2:10">
      <c r="B57" s="2" t="s">
        <v>757</v>
      </c>
      <c r="C57" s="10" t="s">
        <v>758</v>
      </c>
      <c r="D57" s="10" t="s">
        <v>676</v>
      </c>
      <c r="E57" s="10"/>
      <c r="F57" s="10">
        <v>7</v>
      </c>
      <c r="G57" s="10" t="s">
        <v>250</v>
      </c>
      <c r="H57" s="91"/>
      <c r="I57" s="10">
        <v>428</v>
      </c>
      <c r="J57" s="12">
        <f t="shared" si="1"/>
        <v>2.9960000000000002E-4</v>
      </c>
    </row>
    <row r="58" spans="2:10">
      <c r="B58" s="2" t="s">
        <v>757</v>
      </c>
      <c r="C58" s="10" t="s">
        <v>758</v>
      </c>
      <c r="D58" s="10" t="s">
        <v>677</v>
      </c>
      <c r="E58" s="10" t="s">
        <v>729</v>
      </c>
      <c r="F58" s="10">
        <v>2</v>
      </c>
      <c r="G58" s="10" t="s">
        <v>250</v>
      </c>
      <c r="H58" s="91"/>
      <c r="I58" s="11">
        <v>1597</v>
      </c>
      <c r="J58" s="12">
        <f t="shared" si="1"/>
        <v>3.1940000000000001E-4</v>
      </c>
    </row>
    <row r="59" spans="2:10">
      <c r="B59" s="2" t="s">
        <v>757</v>
      </c>
      <c r="C59" s="10" t="s">
        <v>758</v>
      </c>
      <c r="D59" s="10" t="s">
        <v>678</v>
      </c>
      <c r="E59" s="10" t="s">
        <v>729</v>
      </c>
      <c r="F59" s="10">
        <v>7</v>
      </c>
      <c r="G59" s="10" t="s">
        <v>250</v>
      </c>
      <c r="H59" s="91"/>
      <c r="I59" s="11">
        <v>1810</v>
      </c>
      <c r="J59" s="12">
        <f t="shared" si="1"/>
        <v>1.2669999999999999E-3</v>
      </c>
    </row>
    <row r="60" spans="2:10">
      <c r="B60" s="2" t="s">
        <v>757</v>
      </c>
      <c r="C60" s="10" t="s">
        <v>758</v>
      </c>
      <c r="D60" s="10" t="s">
        <v>679</v>
      </c>
      <c r="E60" s="10" t="s">
        <v>729</v>
      </c>
      <c r="F60" s="10">
        <v>18</v>
      </c>
      <c r="G60" s="10" t="s">
        <v>250</v>
      </c>
      <c r="H60" s="91"/>
      <c r="I60" s="11">
        <v>1025.5</v>
      </c>
      <c r="J60" s="12">
        <f t="shared" si="1"/>
        <v>1.8458999999999999E-3</v>
      </c>
    </row>
    <row r="61" spans="2:10">
      <c r="B61" s="2" t="s">
        <v>757</v>
      </c>
      <c r="C61" s="10" t="s">
        <v>758</v>
      </c>
      <c r="D61" s="10" t="s">
        <v>680</v>
      </c>
      <c r="E61" s="10" t="s">
        <v>729</v>
      </c>
      <c r="F61" s="10">
        <v>16</v>
      </c>
      <c r="G61" s="10" t="s">
        <v>250</v>
      </c>
      <c r="H61" s="91"/>
      <c r="I61" s="11">
        <v>1597.2</v>
      </c>
      <c r="J61" s="12">
        <f t="shared" si="1"/>
        <v>2.5555199999999999E-3</v>
      </c>
    </row>
    <row r="62" spans="2:10">
      <c r="B62" s="2" t="s">
        <v>757</v>
      </c>
      <c r="C62" s="10" t="s">
        <v>758</v>
      </c>
      <c r="D62" s="10" t="s">
        <v>681</v>
      </c>
      <c r="E62" s="10" t="s">
        <v>729</v>
      </c>
      <c r="F62" s="10">
        <v>5</v>
      </c>
      <c r="G62" s="10" t="s">
        <v>250</v>
      </c>
      <c r="H62" s="91"/>
      <c r="I62" s="11">
        <v>1234.5</v>
      </c>
      <c r="J62" s="12">
        <f t="shared" si="1"/>
        <v>6.1724999999999996E-4</v>
      </c>
    </row>
    <row r="63" spans="2:10">
      <c r="B63" s="2" t="s">
        <v>757</v>
      </c>
      <c r="C63" s="10" t="s">
        <v>758</v>
      </c>
      <c r="D63" s="10" t="s">
        <v>682</v>
      </c>
      <c r="E63" s="10" t="s">
        <v>729</v>
      </c>
      <c r="F63" s="10">
        <v>2</v>
      </c>
      <c r="G63" s="10" t="s">
        <v>250</v>
      </c>
      <c r="H63" s="91"/>
      <c r="I63" s="11">
        <v>1234.5</v>
      </c>
      <c r="J63" s="12">
        <f t="shared" si="1"/>
        <v>2.4689999999999998E-4</v>
      </c>
    </row>
    <row r="64" spans="2:10">
      <c r="B64" s="2" t="s">
        <v>757</v>
      </c>
      <c r="C64" s="10" t="s">
        <v>758</v>
      </c>
      <c r="D64" s="10" t="s">
        <v>683</v>
      </c>
      <c r="E64" s="10" t="s">
        <v>729</v>
      </c>
      <c r="F64" s="10">
        <v>12</v>
      </c>
      <c r="G64" s="10" t="s">
        <v>250</v>
      </c>
      <c r="H64" s="91"/>
      <c r="I64" s="11">
        <v>1597.2</v>
      </c>
      <c r="J64" s="12">
        <f t="shared" si="1"/>
        <v>1.9166400000000001E-3</v>
      </c>
    </row>
    <row r="65" spans="2:10">
      <c r="B65" s="2" t="s">
        <v>757</v>
      </c>
      <c r="C65" s="10" t="s">
        <v>758</v>
      </c>
      <c r="D65" s="10" t="s">
        <v>684</v>
      </c>
      <c r="E65" s="10"/>
      <c r="F65" s="10">
        <f>63+4+36</f>
        <v>103</v>
      </c>
      <c r="G65" s="10" t="s">
        <v>250</v>
      </c>
      <c r="H65" s="91"/>
      <c r="I65" s="11">
        <v>2868.6</v>
      </c>
      <c r="J65" s="12">
        <f t="shared" si="1"/>
        <v>2.9546579999999999E-2</v>
      </c>
    </row>
    <row r="66" spans="2:10">
      <c r="B66" s="2" t="s">
        <v>757</v>
      </c>
      <c r="C66" s="10" t="s">
        <v>758</v>
      </c>
      <c r="D66" s="10" t="s">
        <v>685</v>
      </c>
      <c r="E66" s="10"/>
      <c r="F66" s="10">
        <v>25</v>
      </c>
      <c r="G66" s="10" t="s">
        <v>250</v>
      </c>
      <c r="H66" s="91"/>
      <c r="I66" s="11">
        <v>1425.6</v>
      </c>
      <c r="J66" s="12">
        <f t="shared" ref="J66:J97" si="2">(I66*F66)/10000000</f>
        <v>3.5639999999999999E-3</v>
      </c>
    </row>
    <row r="67" spans="2:10">
      <c r="B67" s="2" t="s">
        <v>757</v>
      </c>
      <c r="C67" s="10" t="s">
        <v>758</v>
      </c>
      <c r="D67" s="10" t="s">
        <v>686</v>
      </c>
      <c r="E67" s="10"/>
      <c r="F67" s="10">
        <v>9</v>
      </c>
      <c r="G67" s="10" t="s">
        <v>250</v>
      </c>
      <c r="H67" s="91"/>
      <c r="I67" s="11">
        <v>1600</v>
      </c>
      <c r="J67" s="12">
        <f t="shared" si="2"/>
        <v>1.4400000000000001E-3</v>
      </c>
    </row>
    <row r="68" spans="2:10">
      <c r="B68" s="2" t="s">
        <v>757</v>
      </c>
      <c r="C68" s="10" t="s">
        <v>758</v>
      </c>
      <c r="D68" s="10" t="s">
        <v>687</v>
      </c>
      <c r="E68" s="10"/>
      <c r="F68" s="10">
        <f>85+15+8+5+12+12</f>
        <v>137</v>
      </c>
      <c r="G68" s="10" t="s">
        <v>250</v>
      </c>
      <c r="H68" s="91"/>
      <c r="I68" s="11">
        <v>1160</v>
      </c>
      <c r="J68" s="12">
        <f t="shared" si="2"/>
        <v>1.5892E-2</v>
      </c>
    </row>
    <row r="69" spans="2:10">
      <c r="B69" s="2" t="s">
        <v>757</v>
      </c>
      <c r="C69" s="10" t="s">
        <v>758</v>
      </c>
      <c r="D69" s="10" t="s">
        <v>688</v>
      </c>
      <c r="E69" s="10"/>
      <c r="F69" s="10">
        <v>26</v>
      </c>
      <c r="G69" s="10" t="s">
        <v>250</v>
      </c>
      <c r="H69" s="91"/>
      <c r="I69" s="11">
        <v>823</v>
      </c>
      <c r="J69" s="12">
        <f t="shared" si="2"/>
        <v>2.1397999999999999E-3</v>
      </c>
    </row>
    <row r="70" spans="2:10">
      <c r="B70" s="2" t="s">
        <v>757</v>
      </c>
      <c r="C70" s="10" t="s">
        <v>758</v>
      </c>
      <c r="D70" s="10" t="s">
        <v>689</v>
      </c>
      <c r="E70" s="10"/>
      <c r="F70" s="10">
        <v>10</v>
      </c>
      <c r="G70" s="10" t="s">
        <v>250</v>
      </c>
      <c r="H70" s="91"/>
      <c r="I70" s="11">
        <v>2868.6</v>
      </c>
      <c r="J70" s="12">
        <f t="shared" si="2"/>
        <v>2.8685999999999998E-3</v>
      </c>
    </row>
    <row r="71" spans="2:10">
      <c r="B71" s="2" t="s">
        <v>757</v>
      </c>
      <c r="C71" s="10" t="s">
        <v>758</v>
      </c>
      <c r="D71" s="10" t="s">
        <v>690</v>
      </c>
      <c r="E71" s="10"/>
      <c r="F71" s="10">
        <v>12</v>
      </c>
      <c r="G71" s="10" t="s">
        <v>250</v>
      </c>
      <c r="H71" s="91"/>
      <c r="I71" s="11">
        <v>1540</v>
      </c>
      <c r="J71" s="12">
        <f t="shared" si="2"/>
        <v>1.848E-3</v>
      </c>
    </row>
    <row r="72" spans="2:10">
      <c r="B72" s="2" t="s">
        <v>757</v>
      </c>
      <c r="C72" s="10" t="s">
        <v>758</v>
      </c>
      <c r="D72" s="10" t="s">
        <v>691</v>
      </c>
      <c r="E72" s="10"/>
      <c r="F72" s="10">
        <v>16</v>
      </c>
      <c r="G72" s="10" t="s">
        <v>250</v>
      </c>
      <c r="H72" s="91"/>
      <c r="I72" s="11">
        <v>1160</v>
      </c>
      <c r="J72" s="12">
        <f t="shared" si="2"/>
        <v>1.856E-3</v>
      </c>
    </row>
    <row r="73" spans="2:10">
      <c r="B73" s="2" t="s">
        <v>757</v>
      </c>
      <c r="C73" s="10" t="s">
        <v>758</v>
      </c>
      <c r="D73" s="10" t="s">
        <v>692</v>
      </c>
      <c r="E73" s="10"/>
      <c r="F73" s="10">
        <v>6</v>
      </c>
      <c r="G73" s="10" t="s">
        <v>250</v>
      </c>
      <c r="H73" s="91"/>
      <c r="I73" s="11">
        <v>1425.6</v>
      </c>
      <c r="J73" s="12">
        <f t="shared" si="2"/>
        <v>8.5535999999999989E-4</v>
      </c>
    </row>
    <row r="74" spans="2:10">
      <c r="B74" s="2" t="s">
        <v>757</v>
      </c>
      <c r="C74" s="10" t="s">
        <v>758</v>
      </c>
      <c r="D74" s="10" t="s">
        <v>693</v>
      </c>
      <c r="E74" s="10"/>
      <c r="F74" s="10">
        <v>30</v>
      </c>
      <c r="G74" s="10" t="s">
        <v>250</v>
      </c>
      <c r="H74" s="91"/>
      <c r="I74" s="11">
        <v>1860</v>
      </c>
      <c r="J74" s="12">
        <f t="shared" si="2"/>
        <v>5.5799999999999999E-3</v>
      </c>
    </row>
    <row r="75" spans="2:10">
      <c r="B75" s="2" t="s">
        <v>757</v>
      </c>
      <c r="C75" s="10" t="s">
        <v>758</v>
      </c>
      <c r="D75" s="10" t="s">
        <v>694</v>
      </c>
      <c r="E75" s="10"/>
      <c r="F75" s="10">
        <v>10</v>
      </c>
      <c r="G75" s="10" t="s">
        <v>250</v>
      </c>
      <c r="H75" s="91"/>
      <c r="I75" s="11">
        <v>1860</v>
      </c>
      <c r="J75" s="12">
        <f t="shared" si="2"/>
        <v>1.8600000000000001E-3</v>
      </c>
    </row>
    <row r="76" spans="2:10">
      <c r="B76" s="2" t="s">
        <v>757</v>
      </c>
      <c r="C76" s="10" t="s">
        <v>758</v>
      </c>
      <c r="D76" s="10" t="s">
        <v>695</v>
      </c>
      <c r="E76" s="10"/>
      <c r="F76" s="10">
        <v>5</v>
      </c>
      <c r="G76" s="10" t="s">
        <v>250</v>
      </c>
      <c r="H76" s="91"/>
      <c r="I76" s="11">
        <v>1500</v>
      </c>
      <c r="J76" s="12">
        <f t="shared" si="2"/>
        <v>7.5000000000000002E-4</v>
      </c>
    </row>
    <row r="77" spans="2:10">
      <c r="B77" s="2" t="s">
        <v>757</v>
      </c>
      <c r="C77" s="10" t="s">
        <v>758</v>
      </c>
      <c r="D77" s="10" t="s">
        <v>696</v>
      </c>
      <c r="E77" s="10"/>
      <c r="F77" s="10">
        <v>100</v>
      </c>
      <c r="G77" s="10" t="s">
        <v>250</v>
      </c>
      <c r="H77" s="91"/>
      <c r="I77" s="11">
        <v>480</v>
      </c>
      <c r="J77" s="12">
        <f t="shared" si="2"/>
        <v>4.7999999999999996E-3</v>
      </c>
    </row>
    <row r="78" spans="2:10">
      <c r="B78" s="2" t="s">
        <v>757</v>
      </c>
      <c r="C78" s="10" t="s">
        <v>758</v>
      </c>
      <c r="D78" s="10" t="s">
        <v>697</v>
      </c>
      <c r="E78" s="10"/>
      <c r="F78" s="10">
        <v>15</v>
      </c>
      <c r="G78" s="10" t="s">
        <v>250</v>
      </c>
      <c r="H78" s="91"/>
      <c r="I78" s="11">
        <v>972</v>
      </c>
      <c r="J78" s="12">
        <f t="shared" si="2"/>
        <v>1.4580000000000001E-3</v>
      </c>
    </row>
    <row r="79" spans="2:10">
      <c r="B79" s="2" t="s">
        <v>757</v>
      </c>
      <c r="C79" s="10" t="s">
        <v>758</v>
      </c>
      <c r="D79" s="10" t="s">
        <v>698</v>
      </c>
      <c r="E79" s="10"/>
      <c r="F79" s="10">
        <v>80</v>
      </c>
      <c r="G79" s="10" t="s">
        <v>250</v>
      </c>
      <c r="H79" s="91"/>
      <c r="I79" s="11">
        <v>426</v>
      </c>
      <c r="J79" s="12">
        <f t="shared" si="2"/>
        <v>3.408E-3</v>
      </c>
    </row>
    <row r="80" spans="2:10">
      <c r="B80" s="2" t="s">
        <v>757</v>
      </c>
      <c r="C80" s="10" t="s">
        <v>758</v>
      </c>
      <c r="D80" s="10" t="s">
        <v>699</v>
      </c>
      <c r="E80" s="10" t="s">
        <v>730</v>
      </c>
      <c r="F80" s="10">
        <v>1500</v>
      </c>
      <c r="G80" s="10" t="s">
        <v>182</v>
      </c>
      <c r="H80" s="10" t="s">
        <v>753</v>
      </c>
      <c r="I80" s="11">
        <v>129</v>
      </c>
      <c r="J80" s="12">
        <f t="shared" si="2"/>
        <v>1.9349999999999999E-2</v>
      </c>
    </row>
    <row r="81" spans="2:10">
      <c r="B81" s="2" t="s">
        <v>757</v>
      </c>
      <c r="C81" s="10" t="s">
        <v>758</v>
      </c>
      <c r="D81" s="10" t="s">
        <v>700</v>
      </c>
      <c r="E81" s="10" t="s">
        <v>730</v>
      </c>
      <c r="F81" s="10">
        <v>3000</v>
      </c>
      <c r="G81" s="10" t="s">
        <v>182</v>
      </c>
      <c r="H81" s="10" t="s">
        <v>753</v>
      </c>
      <c r="I81" s="11">
        <v>182</v>
      </c>
      <c r="J81" s="12">
        <f t="shared" si="2"/>
        <v>5.4600000000000003E-2</v>
      </c>
    </row>
    <row r="82" spans="2:10">
      <c r="B82" s="2" t="s">
        <v>757</v>
      </c>
      <c r="C82" s="10" t="s">
        <v>758</v>
      </c>
      <c r="D82" s="10" t="s">
        <v>701</v>
      </c>
      <c r="E82" s="10" t="s">
        <v>730</v>
      </c>
      <c r="F82" s="10">
        <v>400</v>
      </c>
      <c r="G82" s="10" t="s">
        <v>182</v>
      </c>
      <c r="H82" s="10" t="s">
        <v>753</v>
      </c>
      <c r="I82" s="11">
        <v>115</v>
      </c>
      <c r="J82" s="12">
        <f t="shared" si="2"/>
        <v>4.5999999999999999E-3</v>
      </c>
    </row>
    <row r="83" spans="2:10">
      <c r="B83" s="2" t="s">
        <v>757</v>
      </c>
      <c r="C83" s="10" t="s">
        <v>758</v>
      </c>
      <c r="D83" s="10" t="s">
        <v>702</v>
      </c>
      <c r="E83" s="10" t="s">
        <v>730</v>
      </c>
      <c r="F83" s="10">
        <v>149</v>
      </c>
      <c r="G83" s="10" t="s">
        <v>182</v>
      </c>
      <c r="H83" s="10" t="s">
        <v>753</v>
      </c>
      <c r="I83" s="11">
        <v>166</v>
      </c>
      <c r="J83" s="12">
        <f t="shared" si="2"/>
        <v>2.4734000000000002E-3</v>
      </c>
    </row>
    <row r="84" spans="2:10">
      <c r="B84" s="2" t="s">
        <v>757</v>
      </c>
      <c r="C84" s="10" t="s">
        <v>758</v>
      </c>
      <c r="D84" s="10" t="s">
        <v>703</v>
      </c>
      <c r="E84" s="10" t="s">
        <v>730</v>
      </c>
      <c r="F84" s="10">
        <v>79</v>
      </c>
      <c r="G84" s="10" t="s">
        <v>182</v>
      </c>
      <c r="H84" s="10" t="s">
        <v>753</v>
      </c>
      <c r="I84" s="11">
        <v>288</v>
      </c>
      <c r="J84" s="12">
        <f t="shared" si="2"/>
        <v>2.2751999999999998E-3</v>
      </c>
    </row>
    <row r="85" spans="2:10">
      <c r="B85" s="2" t="s">
        <v>757</v>
      </c>
      <c r="C85" s="10" t="s">
        <v>758</v>
      </c>
      <c r="D85" s="10" t="s">
        <v>704</v>
      </c>
      <c r="E85" s="10" t="s">
        <v>730</v>
      </c>
      <c r="F85" s="10">
        <v>107</v>
      </c>
      <c r="G85" s="10" t="s">
        <v>182</v>
      </c>
      <c r="H85" s="10" t="s">
        <v>753</v>
      </c>
      <c r="I85" s="11">
        <v>359</v>
      </c>
      <c r="J85" s="12">
        <f t="shared" si="2"/>
        <v>3.8413000000000002E-3</v>
      </c>
    </row>
    <row r="86" spans="2:10">
      <c r="B86" s="2" t="s">
        <v>757</v>
      </c>
      <c r="C86" s="10" t="s">
        <v>758</v>
      </c>
      <c r="D86" s="10" t="s">
        <v>705</v>
      </c>
      <c r="E86" s="10" t="s">
        <v>730</v>
      </c>
      <c r="F86" s="10">
        <v>348</v>
      </c>
      <c r="G86" s="10" t="s">
        <v>182</v>
      </c>
      <c r="H86" s="10" t="s">
        <v>753</v>
      </c>
      <c r="I86" s="11">
        <v>534</v>
      </c>
      <c r="J86" s="12">
        <f t="shared" si="2"/>
        <v>1.8583200000000001E-2</v>
      </c>
    </row>
    <row r="87" spans="2:10">
      <c r="B87" s="2" t="s">
        <v>757</v>
      </c>
      <c r="C87" s="10" t="s">
        <v>758</v>
      </c>
      <c r="D87" s="10" t="s">
        <v>706</v>
      </c>
      <c r="E87" s="10" t="s">
        <v>730</v>
      </c>
      <c r="F87" s="10">
        <v>129</v>
      </c>
      <c r="G87" s="10" t="s">
        <v>182</v>
      </c>
      <c r="H87" s="10" t="s">
        <v>753</v>
      </c>
      <c r="I87" s="11">
        <v>849</v>
      </c>
      <c r="J87" s="12">
        <f t="shared" si="2"/>
        <v>1.0952099999999999E-2</v>
      </c>
    </row>
    <row r="88" spans="2:10">
      <c r="B88" s="2" t="s">
        <v>757</v>
      </c>
      <c r="C88" s="10" t="s">
        <v>758</v>
      </c>
      <c r="D88" s="10" t="s">
        <v>699</v>
      </c>
      <c r="E88" s="10" t="s">
        <v>731</v>
      </c>
      <c r="F88" s="10">
        <v>49</v>
      </c>
      <c r="G88" s="10" t="s">
        <v>182</v>
      </c>
      <c r="H88" s="10" t="s">
        <v>754</v>
      </c>
      <c r="I88" s="11">
        <v>187</v>
      </c>
      <c r="J88" s="12">
        <f t="shared" si="2"/>
        <v>9.1629999999999999E-4</v>
      </c>
    </row>
    <row r="89" spans="2:10">
      <c r="B89" s="2" t="s">
        <v>757</v>
      </c>
      <c r="C89" s="10" t="s">
        <v>758</v>
      </c>
      <c r="D89" s="10" t="s">
        <v>700</v>
      </c>
      <c r="E89" s="10" t="s">
        <v>731</v>
      </c>
      <c r="F89" s="10">
        <v>100</v>
      </c>
      <c r="G89" s="10" t="s">
        <v>182</v>
      </c>
      <c r="H89" s="10" t="s">
        <v>754</v>
      </c>
      <c r="I89" s="11">
        <v>255</v>
      </c>
      <c r="J89" s="12">
        <f t="shared" si="2"/>
        <v>2.5500000000000002E-3</v>
      </c>
    </row>
    <row r="90" spans="2:10">
      <c r="B90" s="2" t="s">
        <v>757</v>
      </c>
      <c r="C90" s="10" t="s">
        <v>758</v>
      </c>
      <c r="D90" s="10" t="s">
        <v>702</v>
      </c>
      <c r="E90" s="10" t="s">
        <v>731</v>
      </c>
      <c r="F90" s="10">
        <v>50</v>
      </c>
      <c r="G90" s="10" t="s">
        <v>182</v>
      </c>
      <c r="H90" s="10" t="s">
        <v>754</v>
      </c>
      <c r="I90" s="11">
        <v>239</v>
      </c>
      <c r="J90" s="12">
        <f t="shared" si="2"/>
        <v>1.1950000000000001E-3</v>
      </c>
    </row>
    <row r="91" spans="2:10">
      <c r="B91" s="2" t="s">
        <v>757</v>
      </c>
      <c r="C91" s="10" t="s">
        <v>758</v>
      </c>
      <c r="D91" s="10" t="s">
        <v>707</v>
      </c>
      <c r="E91" s="10" t="s">
        <v>731</v>
      </c>
      <c r="F91" s="10">
        <v>201</v>
      </c>
      <c r="G91" s="10" t="s">
        <v>182</v>
      </c>
      <c r="H91" s="10" t="s">
        <v>754</v>
      </c>
      <c r="I91" s="11">
        <v>332</v>
      </c>
      <c r="J91" s="12">
        <f t="shared" si="2"/>
        <v>6.6731999999999998E-3</v>
      </c>
    </row>
    <row r="92" spans="2:10">
      <c r="B92" s="2" t="s">
        <v>757</v>
      </c>
      <c r="C92" s="10" t="s">
        <v>758</v>
      </c>
      <c r="D92" s="10" t="s">
        <v>288</v>
      </c>
      <c r="E92" s="10" t="s">
        <v>732</v>
      </c>
      <c r="F92" s="10">
        <v>31</v>
      </c>
      <c r="G92" s="10" t="s">
        <v>250</v>
      </c>
      <c r="H92" s="10"/>
      <c r="I92" s="10"/>
      <c r="J92" s="12">
        <f t="shared" si="2"/>
        <v>0</v>
      </c>
    </row>
    <row r="93" spans="2:10">
      <c r="B93" s="2" t="s">
        <v>757</v>
      </c>
      <c r="C93" s="10" t="s">
        <v>758</v>
      </c>
      <c r="D93" s="10" t="s">
        <v>288</v>
      </c>
      <c r="E93" s="10" t="s">
        <v>733</v>
      </c>
      <c r="F93" s="10">
        <v>24</v>
      </c>
      <c r="G93" s="10" t="s">
        <v>250</v>
      </c>
      <c r="H93" s="10"/>
      <c r="I93" s="10"/>
      <c r="J93" s="12">
        <f t="shared" si="2"/>
        <v>0</v>
      </c>
    </row>
    <row r="94" spans="2:10">
      <c r="B94" s="2" t="s">
        <v>757</v>
      </c>
      <c r="C94" s="10" t="s">
        <v>758</v>
      </c>
      <c r="D94" s="10" t="s">
        <v>288</v>
      </c>
      <c r="E94" s="10" t="s">
        <v>734</v>
      </c>
      <c r="F94" s="10">
        <v>21</v>
      </c>
      <c r="G94" s="10" t="s">
        <v>250</v>
      </c>
      <c r="H94" s="10"/>
      <c r="I94" s="10"/>
      <c r="J94" s="12">
        <f t="shared" si="2"/>
        <v>0</v>
      </c>
    </row>
    <row r="95" spans="2:10">
      <c r="B95" s="2" t="s">
        <v>757</v>
      </c>
      <c r="C95" s="10" t="s">
        <v>758</v>
      </c>
      <c r="D95" s="10" t="s">
        <v>288</v>
      </c>
      <c r="E95" s="10" t="s">
        <v>735</v>
      </c>
      <c r="F95" s="10">
        <v>12</v>
      </c>
      <c r="G95" s="10" t="s">
        <v>250</v>
      </c>
      <c r="H95" s="10"/>
      <c r="I95" s="10"/>
      <c r="J95" s="12">
        <f t="shared" si="2"/>
        <v>0</v>
      </c>
    </row>
    <row r="96" spans="2:10">
      <c r="B96" s="2" t="s">
        <v>757</v>
      </c>
      <c r="C96" s="10" t="s">
        <v>758</v>
      </c>
      <c r="D96" s="10" t="s">
        <v>303</v>
      </c>
      <c r="E96" s="10" t="s">
        <v>736</v>
      </c>
      <c r="F96" s="10">
        <v>12</v>
      </c>
      <c r="G96" s="10" t="s">
        <v>250</v>
      </c>
      <c r="H96" s="10"/>
      <c r="I96" s="10"/>
      <c r="J96" s="12">
        <f t="shared" si="2"/>
        <v>0</v>
      </c>
    </row>
    <row r="97" spans="2:10">
      <c r="B97" s="2" t="s">
        <v>757</v>
      </c>
      <c r="C97" s="10" t="s">
        <v>758</v>
      </c>
      <c r="D97" s="10" t="s">
        <v>303</v>
      </c>
      <c r="E97" s="10" t="s">
        <v>737</v>
      </c>
      <c r="F97" s="10">
        <v>84</v>
      </c>
      <c r="G97" s="10" t="s">
        <v>250</v>
      </c>
      <c r="H97" s="10"/>
      <c r="I97" s="10"/>
      <c r="J97" s="12">
        <f t="shared" si="2"/>
        <v>0</v>
      </c>
    </row>
    <row r="98" spans="2:10">
      <c r="B98" s="2" t="s">
        <v>757</v>
      </c>
      <c r="C98" s="10" t="s">
        <v>758</v>
      </c>
      <c r="D98" s="10" t="s">
        <v>288</v>
      </c>
      <c r="E98" s="10" t="s">
        <v>738</v>
      </c>
      <c r="F98" s="10">
        <v>1</v>
      </c>
      <c r="G98" s="10" t="s">
        <v>250</v>
      </c>
      <c r="H98" s="10"/>
      <c r="I98" s="10"/>
      <c r="J98" s="12">
        <f t="shared" ref="J98:J129" si="3">(I98*F98)/10000000</f>
        <v>0</v>
      </c>
    </row>
    <row r="99" spans="2:10">
      <c r="B99" s="2" t="s">
        <v>757</v>
      </c>
      <c r="C99" s="10" t="s">
        <v>758</v>
      </c>
      <c r="D99" s="10" t="s">
        <v>708</v>
      </c>
      <c r="E99" s="10" t="s">
        <v>739</v>
      </c>
      <c r="F99" s="10">
        <v>66</v>
      </c>
      <c r="G99" s="10" t="s">
        <v>250</v>
      </c>
      <c r="H99" s="10"/>
      <c r="I99" s="10"/>
      <c r="J99" s="12">
        <f t="shared" si="3"/>
        <v>0</v>
      </c>
    </row>
    <row r="100" spans="2:10">
      <c r="B100" s="2" t="s">
        <v>757</v>
      </c>
      <c r="C100" s="10" t="s">
        <v>758</v>
      </c>
      <c r="D100" s="10" t="s">
        <v>288</v>
      </c>
      <c r="E100" s="10" t="s">
        <v>740</v>
      </c>
      <c r="F100" s="10">
        <v>329</v>
      </c>
      <c r="G100" s="10" t="s">
        <v>250</v>
      </c>
      <c r="H100" s="10"/>
      <c r="I100" s="10"/>
      <c r="J100" s="12">
        <f t="shared" si="3"/>
        <v>0</v>
      </c>
    </row>
    <row r="101" spans="2:10">
      <c r="B101" s="2" t="s">
        <v>757</v>
      </c>
      <c r="C101" s="10" t="s">
        <v>758</v>
      </c>
      <c r="D101" s="10" t="s">
        <v>288</v>
      </c>
      <c r="E101" s="10" t="s">
        <v>741</v>
      </c>
      <c r="F101" s="10">
        <v>853</v>
      </c>
      <c r="G101" s="10" t="s">
        <v>250</v>
      </c>
      <c r="H101" s="10"/>
      <c r="I101" s="10"/>
      <c r="J101" s="12">
        <f t="shared" si="3"/>
        <v>0</v>
      </c>
    </row>
    <row r="102" spans="2:10">
      <c r="B102" s="2" t="s">
        <v>757</v>
      </c>
      <c r="C102" s="10" t="s">
        <v>758</v>
      </c>
      <c r="D102" s="10" t="s">
        <v>288</v>
      </c>
      <c r="E102" s="10" t="s">
        <v>742</v>
      </c>
      <c r="F102" s="10">
        <v>2</v>
      </c>
      <c r="G102" s="10" t="s">
        <v>250</v>
      </c>
      <c r="H102" s="10"/>
      <c r="I102" s="10"/>
      <c r="J102" s="12">
        <f t="shared" si="3"/>
        <v>0</v>
      </c>
    </row>
    <row r="103" spans="2:10">
      <c r="B103" s="2" t="s">
        <v>757</v>
      </c>
      <c r="C103" s="10" t="s">
        <v>758</v>
      </c>
      <c r="D103" s="10" t="s">
        <v>709</v>
      </c>
      <c r="E103" s="10"/>
      <c r="F103" s="10">
        <v>38</v>
      </c>
      <c r="G103" s="10" t="s">
        <v>250</v>
      </c>
      <c r="H103" s="10"/>
      <c r="I103" s="10"/>
      <c r="J103" s="12">
        <f t="shared" si="3"/>
        <v>0</v>
      </c>
    </row>
    <row r="104" spans="2:10">
      <c r="B104" s="2" t="s">
        <v>757</v>
      </c>
      <c r="C104" s="10" t="s">
        <v>758</v>
      </c>
      <c r="D104" s="10" t="s">
        <v>710</v>
      </c>
      <c r="E104" s="10"/>
      <c r="F104" s="10">
        <v>3</v>
      </c>
      <c r="G104" s="10" t="s">
        <v>250</v>
      </c>
      <c r="H104" s="10"/>
      <c r="I104" s="10"/>
      <c r="J104" s="12">
        <f t="shared" si="3"/>
        <v>0</v>
      </c>
    </row>
    <row r="105" spans="2:10">
      <c r="B105" s="2" t="s">
        <v>757</v>
      </c>
      <c r="C105" s="10" t="s">
        <v>758</v>
      </c>
      <c r="D105" s="10" t="s">
        <v>711</v>
      </c>
      <c r="E105" s="10"/>
      <c r="F105" s="10">
        <v>7</v>
      </c>
      <c r="G105" s="10" t="s">
        <v>250</v>
      </c>
      <c r="H105" s="10"/>
      <c r="I105" s="10"/>
      <c r="J105" s="12">
        <f t="shared" si="3"/>
        <v>0</v>
      </c>
    </row>
    <row r="106" spans="2:10">
      <c r="B106" s="2" t="s">
        <v>757</v>
      </c>
      <c r="C106" s="10" t="s">
        <v>758</v>
      </c>
      <c r="D106" s="8" t="s">
        <v>712</v>
      </c>
      <c r="E106" s="10"/>
      <c r="F106" s="10">
        <v>46</v>
      </c>
      <c r="G106" s="10" t="s">
        <v>250</v>
      </c>
      <c r="H106" s="8" t="s">
        <v>755</v>
      </c>
      <c r="I106" s="11">
        <v>4135</v>
      </c>
      <c r="J106" s="12">
        <f t="shared" si="3"/>
        <v>1.9021E-2</v>
      </c>
    </row>
    <row r="107" spans="2:10">
      <c r="B107" s="2" t="s">
        <v>757</v>
      </c>
      <c r="C107" s="10" t="s">
        <v>758</v>
      </c>
      <c r="D107" s="8" t="s">
        <v>713</v>
      </c>
      <c r="E107" s="10"/>
      <c r="F107" s="10">
        <v>400</v>
      </c>
      <c r="G107" s="10" t="s">
        <v>355</v>
      </c>
      <c r="H107" s="10"/>
      <c r="I107" s="11">
        <v>80</v>
      </c>
      <c r="J107" s="12">
        <f t="shared" si="3"/>
        <v>3.2000000000000002E-3</v>
      </c>
    </row>
    <row r="108" spans="2:10">
      <c r="B108" s="2" t="s">
        <v>757</v>
      </c>
      <c r="C108" s="10" t="s">
        <v>758</v>
      </c>
      <c r="D108" s="10" t="s">
        <v>714</v>
      </c>
      <c r="E108" s="10"/>
      <c r="F108" s="10">
        <v>50</v>
      </c>
      <c r="G108" s="10" t="s">
        <v>355</v>
      </c>
      <c r="H108" s="10"/>
      <c r="I108" s="11">
        <v>102</v>
      </c>
      <c r="J108" s="12">
        <f t="shared" si="3"/>
        <v>5.1000000000000004E-4</v>
      </c>
    </row>
    <row r="109" spans="2:10">
      <c r="B109" s="2" t="s">
        <v>757</v>
      </c>
      <c r="C109" s="10" t="s">
        <v>758</v>
      </c>
      <c r="D109" s="28" t="s">
        <v>715</v>
      </c>
      <c r="E109" s="10" t="s">
        <v>743</v>
      </c>
      <c r="F109" s="10">
        <v>300</v>
      </c>
      <c r="G109" s="10" t="s">
        <v>33</v>
      </c>
      <c r="H109" s="28" t="s">
        <v>756</v>
      </c>
      <c r="I109" s="11">
        <v>720</v>
      </c>
      <c r="J109" s="12">
        <f t="shared" si="3"/>
        <v>2.1600000000000001E-2</v>
      </c>
    </row>
    <row r="110" spans="2:10">
      <c r="B110" s="2" t="s">
        <v>757</v>
      </c>
      <c r="C110" s="10" t="s">
        <v>758</v>
      </c>
      <c r="D110" s="61" t="s">
        <v>716</v>
      </c>
      <c r="E110" s="105"/>
      <c r="F110" s="10">
        <v>24</v>
      </c>
      <c r="G110" s="10"/>
      <c r="H110" s="10"/>
      <c r="I110" s="11">
        <v>223</v>
      </c>
      <c r="J110" s="12">
        <f t="shared" si="3"/>
        <v>5.352E-4</v>
      </c>
    </row>
    <row r="111" spans="2:10">
      <c r="B111" s="2" t="s">
        <v>757</v>
      </c>
      <c r="C111" s="10" t="s">
        <v>758</v>
      </c>
      <c r="D111" s="61" t="s">
        <v>716</v>
      </c>
      <c r="E111" s="105"/>
      <c r="F111" s="10">
        <v>6</v>
      </c>
      <c r="G111" s="10"/>
      <c r="H111" s="10"/>
      <c r="I111" s="11">
        <v>304</v>
      </c>
      <c r="J111" s="12">
        <f t="shared" si="3"/>
        <v>1.8239999999999999E-4</v>
      </c>
    </row>
    <row r="112" spans="2:10">
      <c r="B112" s="2" t="s">
        <v>757</v>
      </c>
      <c r="C112" s="10" t="s">
        <v>758</v>
      </c>
      <c r="D112" s="61" t="s">
        <v>716</v>
      </c>
      <c r="E112" s="105"/>
      <c r="F112" s="10">
        <v>20</v>
      </c>
      <c r="G112" s="10"/>
      <c r="H112" s="10"/>
      <c r="I112" s="11">
        <v>445</v>
      </c>
      <c r="J112" s="12">
        <f t="shared" si="3"/>
        <v>8.8999999999999995E-4</v>
      </c>
    </row>
    <row r="113" spans="2:10">
      <c r="B113" s="2" t="s">
        <v>757</v>
      </c>
      <c r="C113" s="10" t="s">
        <v>758</v>
      </c>
      <c r="D113" s="61" t="s">
        <v>717</v>
      </c>
      <c r="E113" s="105"/>
      <c r="F113" s="10">
        <v>26</v>
      </c>
      <c r="G113" s="10"/>
      <c r="H113" s="10"/>
      <c r="I113" s="11">
        <v>55.17</v>
      </c>
      <c r="J113" s="12">
        <f t="shared" si="3"/>
        <v>1.43442E-4</v>
      </c>
    </row>
    <row r="114" spans="2:10">
      <c r="B114" s="2" t="s">
        <v>757</v>
      </c>
      <c r="C114" s="10" t="s">
        <v>758</v>
      </c>
      <c r="D114" s="61" t="s">
        <v>717</v>
      </c>
      <c r="E114" s="105"/>
      <c r="F114" s="10">
        <v>7</v>
      </c>
      <c r="G114" s="10"/>
      <c r="H114" s="10"/>
      <c r="I114" s="11">
        <v>1860</v>
      </c>
      <c r="J114" s="12">
        <f t="shared" si="3"/>
        <v>1.302E-3</v>
      </c>
    </row>
    <row r="115" spans="2:10">
      <c r="B115" s="2" t="s">
        <v>757</v>
      </c>
      <c r="C115" s="10" t="s">
        <v>758</v>
      </c>
      <c r="D115" s="61" t="s">
        <v>718</v>
      </c>
      <c r="E115" s="105"/>
      <c r="F115" s="10">
        <v>250</v>
      </c>
      <c r="G115" s="10"/>
      <c r="H115" s="10"/>
      <c r="I115" s="11">
        <v>136.51</v>
      </c>
      <c r="J115" s="12">
        <f t="shared" si="3"/>
        <v>3.41275E-3</v>
      </c>
    </row>
    <row r="116" spans="2:10">
      <c r="B116" s="2" t="s">
        <v>757</v>
      </c>
      <c r="C116" s="10" t="s">
        <v>758</v>
      </c>
      <c r="D116" s="61" t="s">
        <v>719</v>
      </c>
      <c r="E116" s="105"/>
      <c r="F116" s="10">
        <v>400</v>
      </c>
      <c r="G116" s="10"/>
      <c r="H116" s="10"/>
      <c r="I116" s="11">
        <v>97</v>
      </c>
      <c r="J116" s="12">
        <f t="shared" si="3"/>
        <v>3.8800000000000002E-3</v>
      </c>
    </row>
    <row r="117" spans="2:10">
      <c r="B117" s="2" t="s">
        <v>757</v>
      </c>
      <c r="C117" s="10" t="s">
        <v>758</v>
      </c>
      <c r="D117" s="61" t="s">
        <v>719</v>
      </c>
      <c r="E117" s="105"/>
      <c r="F117" s="10">
        <v>200</v>
      </c>
      <c r="G117" s="10"/>
      <c r="H117" s="10"/>
      <c r="I117" s="11">
        <v>97</v>
      </c>
      <c r="J117" s="12">
        <f t="shared" si="3"/>
        <v>1.9400000000000001E-3</v>
      </c>
    </row>
    <row r="118" spans="2:10">
      <c r="B118" s="2" t="s">
        <v>757</v>
      </c>
      <c r="C118" s="10" t="s">
        <v>758</v>
      </c>
      <c r="D118" s="61" t="s">
        <v>720</v>
      </c>
      <c r="E118" s="105"/>
      <c r="F118" s="10">
        <v>4</v>
      </c>
      <c r="G118" s="10"/>
      <c r="H118" s="10"/>
      <c r="I118" s="11">
        <v>1860</v>
      </c>
      <c r="J118" s="12">
        <f t="shared" si="3"/>
        <v>7.4399999999999998E-4</v>
      </c>
    </row>
    <row r="119" spans="2:10">
      <c r="B119" s="2" t="s">
        <v>757</v>
      </c>
      <c r="C119" s="10" t="s">
        <v>758</v>
      </c>
      <c r="D119" s="59" t="s">
        <v>720</v>
      </c>
      <c r="E119" s="105"/>
      <c r="F119" s="10">
        <v>2</v>
      </c>
      <c r="G119" s="10"/>
      <c r="H119" s="10"/>
      <c r="I119" s="11">
        <v>1234.8</v>
      </c>
      <c r="J119" s="12">
        <f t="shared" si="3"/>
        <v>2.4696000000000001E-4</v>
      </c>
    </row>
    <row r="120" spans="2:10">
      <c r="B120" s="2" t="s">
        <v>757</v>
      </c>
      <c r="C120" s="10" t="s">
        <v>758</v>
      </c>
      <c r="D120" s="61" t="s">
        <v>720</v>
      </c>
      <c r="E120" s="105"/>
      <c r="F120" s="10">
        <v>5</v>
      </c>
      <c r="G120" s="10"/>
      <c r="H120" s="10"/>
      <c r="I120" s="11">
        <v>1830</v>
      </c>
      <c r="J120" s="12">
        <f t="shared" si="3"/>
        <v>9.1500000000000001E-4</v>
      </c>
    </row>
    <row r="121" spans="2:10">
      <c r="B121" s="2" t="s">
        <v>757</v>
      </c>
      <c r="C121" s="10" t="s">
        <v>758</v>
      </c>
      <c r="D121" s="10" t="s">
        <v>717</v>
      </c>
      <c r="E121" s="91"/>
      <c r="F121" s="10">
        <v>5</v>
      </c>
      <c r="G121" s="10"/>
      <c r="H121" s="10"/>
      <c r="I121" s="11">
        <v>476</v>
      </c>
      <c r="J121" s="12">
        <f t="shared" si="3"/>
        <v>2.3800000000000001E-4</v>
      </c>
    </row>
    <row r="122" spans="2:10">
      <c r="B122" s="2" t="s">
        <v>757</v>
      </c>
      <c r="C122" s="10" t="s">
        <v>758</v>
      </c>
      <c r="D122" s="10" t="s">
        <v>717</v>
      </c>
      <c r="E122" s="91"/>
      <c r="F122" s="10">
        <v>3</v>
      </c>
      <c r="G122" s="10"/>
      <c r="H122" s="10"/>
      <c r="I122" s="11">
        <v>1118.18</v>
      </c>
      <c r="J122" s="12">
        <f t="shared" si="3"/>
        <v>3.35454E-4</v>
      </c>
    </row>
    <row r="123" spans="2:10">
      <c r="B123" s="2" t="s">
        <v>757</v>
      </c>
      <c r="C123" s="10" t="s">
        <v>758</v>
      </c>
      <c r="D123" s="10" t="s">
        <v>717</v>
      </c>
      <c r="E123" s="91"/>
      <c r="F123" s="10">
        <v>5</v>
      </c>
      <c r="G123" s="10"/>
      <c r="H123" s="10"/>
      <c r="I123" s="11">
        <v>253.13</v>
      </c>
      <c r="J123" s="12">
        <f t="shared" si="3"/>
        <v>1.2656500000000001E-4</v>
      </c>
    </row>
    <row r="124" spans="2:10">
      <c r="B124" s="2" t="s">
        <v>757</v>
      </c>
      <c r="C124" s="10" t="s">
        <v>758</v>
      </c>
      <c r="D124" s="10" t="s">
        <v>717</v>
      </c>
      <c r="E124" s="91"/>
      <c r="F124" s="10">
        <v>9</v>
      </c>
      <c r="G124" s="10"/>
      <c r="H124" s="10"/>
      <c r="I124" s="11">
        <v>1863</v>
      </c>
      <c r="J124" s="12">
        <f t="shared" si="3"/>
        <v>1.6766999999999999E-3</v>
      </c>
    </row>
    <row r="125" spans="2:10">
      <c r="B125" s="2" t="s">
        <v>757</v>
      </c>
      <c r="C125" s="10" t="s">
        <v>758</v>
      </c>
      <c r="D125" s="10" t="s">
        <v>717</v>
      </c>
      <c r="E125" s="91"/>
      <c r="F125" s="10">
        <v>5</v>
      </c>
      <c r="G125" s="10"/>
      <c r="H125" s="10"/>
      <c r="I125" s="11">
        <v>1400</v>
      </c>
      <c r="J125" s="12">
        <f t="shared" si="3"/>
        <v>6.9999999999999999E-4</v>
      </c>
    </row>
    <row r="126" spans="2:10">
      <c r="B126" s="2" t="s">
        <v>757</v>
      </c>
      <c r="C126" s="10" t="s">
        <v>758</v>
      </c>
      <c r="D126" s="10" t="s">
        <v>721</v>
      </c>
      <c r="E126" s="91"/>
      <c r="F126" s="10">
        <v>5</v>
      </c>
      <c r="G126" s="10"/>
      <c r="H126" s="10"/>
      <c r="I126" s="11">
        <v>1283</v>
      </c>
      <c r="J126" s="12">
        <f t="shared" si="3"/>
        <v>6.4150000000000003E-4</v>
      </c>
    </row>
    <row r="127" spans="2:10">
      <c r="B127" s="2" t="s">
        <v>757</v>
      </c>
      <c r="C127" s="10" t="s">
        <v>758</v>
      </c>
      <c r="D127" s="10" t="s">
        <v>722</v>
      </c>
      <c r="E127" s="91"/>
      <c r="F127" s="10">
        <v>10</v>
      </c>
      <c r="G127" s="10"/>
      <c r="H127" s="10"/>
      <c r="I127" s="11">
        <v>780.5</v>
      </c>
      <c r="J127" s="12">
        <f t="shared" si="3"/>
        <v>7.8050000000000005E-4</v>
      </c>
    </row>
    <row r="128" spans="2:10">
      <c r="B128" s="2" t="s">
        <v>757</v>
      </c>
      <c r="C128" s="10" t="s">
        <v>758</v>
      </c>
      <c r="D128" s="10" t="s">
        <v>722</v>
      </c>
      <c r="E128" s="91"/>
      <c r="F128" s="10">
        <v>20</v>
      </c>
      <c r="G128" s="10"/>
      <c r="H128" s="10"/>
      <c r="I128" s="11">
        <v>1029</v>
      </c>
      <c r="J128" s="12">
        <f t="shared" si="3"/>
        <v>2.0579999999999999E-3</v>
      </c>
    </row>
    <row r="129" spans="2:10">
      <c r="B129" s="2" t="s">
        <v>757</v>
      </c>
      <c r="C129" s="10" t="s">
        <v>758</v>
      </c>
      <c r="D129" s="10" t="s">
        <v>722</v>
      </c>
      <c r="E129" s="91"/>
      <c r="F129" s="10">
        <v>6</v>
      </c>
      <c r="G129" s="10"/>
      <c r="H129" s="10"/>
      <c r="I129" s="11">
        <v>1201.9000000000001</v>
      </c>
      <c r="J129" s="12">
        <f t="shared" si="3"/>
        <v>7.2114000000000011E-4</v>
      </c>
    </row>
    <row r="130" spans="2:10">
      <c r="B130" s="2" t="s">
        <v>757</v>
      </c>
      <c r="C130" s="10" t="s">
        <v>758</v>
      </c>
      <c r="D130" s="10" t="s">
        <v>722</v>
      </c>
      <c r="E130" s="91"/>
      <c r="F130" s="10">
        <v>16</v>
      </c>
      <c r="G130" s="10"/>
      <c r="H130" s="10"/>
      <c r="I130" s="11">
        <v>1000</v>
      </c>
      <c r="J130" s="12">
        <f t="shared" ref="J130:J139" si="4">(I130*F130)/10000000</f>
        <v>1.6000000000000001E-3</v>
      </c>
    </row>
    <row r="131" spans="2:10">
      <c r="B131" s="2" t="s">
        <v>757</v>
      </c>
      <c r="C131" s="10" t="s">
        <v>758</v>
      </c>
      <c r="D131" s="10" t="s">
        <v>722</v>
      </c>
      <c r="E131" s="91"/>
      <c r="F131" s="10">
        <v>7</v>
      </c>
      <c r="G131" s="10"/>
      <c r="H131" s="10"/>
      <c r="I131" s="11">
        <v>4347</v>
      </c>
      <c r="J131" s="12">
        <f t="shared" si="4"/>
        <v>3.0428999999999999E-3</v>
      </c>
    </row>
    <row r="132" spans="2:10">
      <c r="B132" s="2" t="s">
        <v>757</v>
      </c>
      <c r="C132" s="10" t="s">
        <v>758</v>
      </c>
      <c r="D132" s="10" t="s">
        <v>719</v>
      </c>
      <c r="E132" s="91"/>
      <c r="F132" s="10">
        <v>13</v>
      </c>
      <c r="G132" s="10"/>
      <c r="H132" s="10"/>
      <c r="I132" s="11">
        <v>624</v>
      </c>
      <c r="J132" s="12">
        <f t="shared" si="4"/>
        <v>8.1119999999999999E-4</v>
      </c>
    </row>
    <row r="133" spans="2:10">
      <c r="B133" s="2" t="s">
        <v>757</v>
      </c>
      <c r="C133" s="10" t="s">
        <v>758</v>
      </c>
      <c r="D133" s="10" t="s">
        <v>719</v>
      </c>
      <c r="E133" s="91"/>
      <c r="F133" s="10">
        <v>2</v>
      </c>
      <c r="G133" s="10"/>
      <c r="H133" s="10"/>
      <c r="I133" s="11">
        <v>1202</v>
      </c>
      <c r="J133" s="12">
        <f t="shared" si="4"/>
        <v>2.4039999999999999E-4</v>
      </c>
    </row>
    <row r="134" spans="2:10">
      <c r="B134" s="2" t="s">
        <v>757</v>
      </c>
      <c r="C134" s="10" t="s">
        <v>758</v>
      </c>
      <c r="D134" s="10" t="s">
        <v>719</v>
      </c>
      <c r="E134" s="91"/>
      <c r="F134" s="10">
        <v>5</v>
      </c>
      <c r="G134" s="10"/>
      <c r="H134" s="10"/>
      <c r="I134" s="11">
        <v>1202</v>
      </c>
      <c r="J134" s="12">
        <f t="shared" si="4"/>
        <v>6.0099999999999997E-4</v>
      </c>
    </row>
    <row r="135" spans="2:10">
      <c r="B135" s="2" t="s">
        <v>757</v>
      </c>
      <c r="C135" s="10" t="s">
        <v>758</v>
      </c>
      <c r="D135" s="10" t="s">
        <v>719</v>
      </c>
      <c r="E135" s="91"/>
      <c r="F135" s="10">
        <v>1</v>
      </c>
      <c r="G135" s="10"/>
      <c r="H135" s="10"/>
      <c r="I135" s="11">
        <v>823</v>
      </c>
      <c r="J135" s="12">
        <f t="shared" si="4"/>
        <v>8.2299999999999995E-5</v>
      </c>
    </row>
    <row r="136" spans="2:10">
      <c r="B136" s="2" t="s">
        <v>757</v>
      </c>
      <c r="C136" s="10" t="s">
        <v>758</v>
      </c>
      <c r="D136" s="10" t="s">
        <v>719</v>
      </c>
      <c r="E136" s="91"/>
      <c r="F136" s="10">
        <v>1</v>
      </c>
      <c r="G136" s="10"/>
      <c r="H136" s="10"/>
      <c r="I136" s="11">
        <v>823</v>
      </c>
      <c r="J136" s="12">
        <f t="shared" si="4"/>
        <v>8.2299999999999995E-5</v>
      </c>
    </row>
    <row r="137" spans="2:10">
      <c r="B137" s="2" t="s">
        <v>757</v>
      </c>
      <c r="C137" s="10" t="s">
        <v>758</v>
      </c>
      <c r="D137" s="10" t="s">
        <v>719</v>
      </c>
      <c r="E137" s="91"/>
      <c r="F137" s="10">
        <v>2</v>
      </c>
      <c r="G137" s="10"/>
      <c r="H137" s="10"/>
      <c r="I137" s="11">
        <v>780.5</v>
      </c>
      <c r="J137" s="12">
        <f t="shared" si="4"/>
        <v>1.561E-4</v>
      </c>
    </row>
    <row r="138" spans="2:10">
      <c r="B138" s="2" t="s">
        <v>757</v>
      </c>
      <c r="C138" s="10" t="s">
        <v>758</v>
      </c>
      <c r="D138" s="10" t="s">
        <v>719</v>
      </c>
      <c r="E138" s="91"/>
      <c r="F138" s="10">
        <v>4</v>
      </c>
      <c r="G138" s="10"/>
      <c r="H138" s="10"/>
      <c r="I138" s="11">
        <v>780.5</v>
      </c>
      <c r="J138" s="12">
        <f t="shared" si="4"/>
        <v>3.122E-4</v>
      </c>
    </row>
    <row r="139" spans="2:10">
      <c r="B139" s="2" t="s">
        <v>757</v>
      </c>
      <c r="C139" s="10" t="s">
        <v>758</v>
      </c>
      <c r="D139" s="10" t="s">
        <v>719</v>
      </c>
      <c r="E139" s="91"/>
      <c r="F139" s="10">
        <v>1</v>
      </c>
      <c r="G139" s="10"/>
      <c r="H139" s="10"/>
      <c r="I139" s="11">
        <v>1029</v>
      </c>
      <c r="J139" s="12">
        <f t="shared" si="4"/>
        <v>1.0289999999999999E-4</v>
      </c>
    </row>
    <row r="140" spans="2:10">
      <c r="B140" s="10"/>
      <c r="C140" s="10"/>
      <c r="D140" s="10"/>
      <c r="E140" s="10"/>
      <c r="F140" s="10"/>
      <c r="G140" s="10"/>
      <c r="H140" s="94" t="s">
        <v>970</v>
      </c>
      <c r="I140" s="95"/>
      <c r="J140" s="13">
        <f>SUM(J2:J139)</f>
        <v>0.57284557110000001</v>
      </c>
    </row>
  </sheetData>
  <mergeCells count="13">
    <mergeCell ref="H9:H10"/>
    <mergeCell ref="H11:H12"/>
    <mergeCell ref="H14:H18"/>
    <mergeCell ref="E19:E22"/>
    <mergeCell ref="H19:H42"/>
    <mergeCell ref="E23:E33"/>
    <mergeCell ref="E34:E40"/>
    <mergeCell ref="E41:E42"/>
    <mergeCell ref="H43:H46"/>
    <mergeCell ref="H47:H79"/>
    <mergeCell ref="E110:E120"/>
    <mergeCell ref="E121:E139"/>
    <mergeCell ref="H140:I14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E7EE-2D17-4DE5-A015-886BC344FC8E}">
  <dimension ref="A1:I10"/>
  <sheetViews>
    <sheetView workbookViewId="0">
      <selection activeCell="B2" sqref="B2:I10"/>
    </sheetView>
  </sheetViews>
  <sheetFormatPr defaultRowHeight="14.5"/>
  <cols>
    <col min="2" max="2" width="11.54296875" bestFit="1" customWidth="1"/>
    <col min="3" max="3" width="21.26953125" bestFit="1" customWidth="1"/>
    <col min="4" max="4" width="21.08984375" bestFit="1" customWidth="1"/>
    <col min="5" max="5" width="11.7265625" bestFit="1" customWidth="1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8</v>
      </c>
      <c r="I1" s="9" t="s">
        <v>9</v>
      </c>
    </row>
    <row r="2" spans="1:9">
      <c r="B2" s="1" t="s">
        <v>771</v>
      </c>
      <c r="C2" s="1" t="s">
        <v>772</v>
      </c>
      <c r="D2" s="14" t="s">
        <v>759</v>
      </c>
      <c r="E2" s="14" t="s">
        <v>760</v>
      </c>
      <c r="F2" s="14">
        <v>580</v>
      </c>
      <c r="G2" s="14" t="s">
        <v>567</v>
      </c>
      <c r="H2" s="15">
        <v>150</v>
      </c>
      <c r="I2">
        <f t="shared" ref="I2:I9" si="0">(H2*F2)/10000000</f>
        <v>8.6999999999999994E-3</v>
      </c>
    </row>
    <row r="3" spans="1:9" ht="72.5">
      <c r="B3" s="1" t="s">
        <v>771</v>
      </c>
      <c r="C3" s="1" t="s">
        <v>772</v>
      </c>
      <c r="D3" s="14" t="s">
        <v>761</v>
      </c>
      <c r="E3" s="16" t="s">
        <v>762</v>
      </c>
      <c r="F3" s="14">
        <v>310</v>
      </c>
      <c r="G3" s="14" t="s">
        <v>567</v>
      </c>
      <c r="H3" s="15">
        <v>864</v>
      </c>
      <c r="I3">
        <f t="shared" si="0"/>
        <v>2.6783999999999999E-2</v>
      </c>
    </row>
    <row r="4" spans="1:9">
      <c r="B4" s="1" t="s">
        <v>771</v>
      </c>
      <c r="C4" s="1" t="s">
        <v>772</v>
      </c>
      <c r="D4" s="14" t="s">
        <v>763</v>
      </c>
      <c r="E4" s="14" t="s">
        <v>764</v>
      </c>
      <c r="F4" s="14">
        <v>39</v>
      </c>
      <c r="G4" s="14" t="s">
        <v>765</v>
      </c>
      <c r="H4" s="17">
        <v>1386</v>
      </c>
      <c r="I4">
        <f t="shared" si="0"/>
        <v>5.4054000000000003E-3</v>
      </c>
    </row>
    <row r="5" spans="1:9">
      <c r="B5" s="1" t="s">
        <v>771</v>
      </c>
      <c r="C5" s="1" t="s">
        <v>772</v>
      </c>
      <c r="D5" s="14" t="s">
        <v>763</v>
      </c>
      <c r="E5" s="14" t="s">
        <v>766</v>
      </c>
      <c r="F5" s="14">
        <v>47</v>
      </c>
      <c r="G5" s="14" t="s">
        <v>765</v>
      </c>
      <c r="H5" s="17">
        <v>1386</v>
      </c>
      <c r="I5">
        <f t="shared" si="0"/>
        <v>6.5142000000000004E-3</v>
      </c>
    </row>
    <row r="6" spans="1:9">
      <c r="B6" s="1" t="s">
        <v>771</v>
      </c>
      <c r="C6" s="1" t="s">
        <v>772</v>
      </c>
      <c r="D6" s="14" t="s">
        <v>763</v>
      </c>
      <c r="E6" s="14" t="s">
        <v>767</v>
      </c>
      <c r="F6" s="14">
        <v>39</v>
      </c>
      <c r="G6" s="14" t="s">
        <v>765</v>
      </c>
      <c r="H6" s="17">
        <v>1386</v>
      </c>
      <c r="I6">
        <f t="shared" si="0"/>
        <v>5.4054000000000003E-3</v>
      </c>
    </row>
    <row r="7" spans="1:9">
      <c r="B7" s="1" t="s">
        <v>771</v>
      </c>
      <c r="C7" s="1" t="s">
        <v>772</v>
      </c>
      <c r="D7" s="14" t="s">
        <v>763</v>
      </c>
      <c r="E7" s="14" t="s">
        <v>768</v>
      </c>
      <c r="F7" s="14">
        <v>42</v>
      </c>
      <c r="G7" s="14" t="s">
        <v>765</v>
      </c>
      <c r="H7" s="17">
        <v>1386</v>
      </c>
      <c r="I7">
        <f t="shared" si="0"/>
        <v>5.8212000000000003E-3</v>
      </c>
    </row>
    <row r="8" spans="1:9">
      <c r="B8" s="1" t="s">
        <v>771</v>
      </c>
      <c r="C8" s="1" t="s">
        <v>772</v>
      </c>
      <c r="D8" s="14" t="s">
        <v>763</v>
      </c>
      <c r="E8" s="14" t="s">
        <v>769</v>
      </c>
      <c r="F8" s="14">
        <v>52</v>
      </c>
      <c r="G8" s="14" t="s">
        <v>765</v>
      </c>
      <c r="H8" s="17">
        <v>1386</v>
      </c>
      <c r="I8">
        <f t="shared" si="0"/>
        <v>7.2072000000000004E-3</v>
      </c>
    </row>
    <row r="9" spans="1:9">
      <c r="B9" s="1" t="s">
        <v>771</v>
      </c>
      <c r="C9" s="1" t="s">
        <v>772</v>
      </c>
      <c r="D9" s="14" t="s">
        <v>763</v>
      </c>
      <c r="E9" s="14" t="s">
        <v>770</v>
      </c>
      <c r="F9" s="14">
        <v>50</v>
      </c>
      <c r="G9" s="14" t="s">
        <v>765</v>
      </c>
      <c r="H9" s="17">
        <v>1386</v>
      </c>
      <c r="I9">
        <f t="shared" si="0"/>
        <v>6.9300000000000004E-3</v>
      </c>
    </row>
    <row r="10" spans="1:9">
      <c r="H10" t="s">
        <v>16</v>
      </c>
      <c r="I10">
        <f>SUM(I2:I9)</f>
        <v>7.2767399999999996E-2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F51E-FB63-4673-81ED-8E874B56075D}">
  <dimension ref="A1:O29"/>
  <sheetViews>
    <sheetView topLeftCell="A9" zoomScale="80" zoomScaleNormal="80" workbookViewId="0">
      <selection activeCell="J29" sqref="B1:J29"/>
    </sheetView>
  </sheetViews>
  <sheetFormatPr defaultRowHeight="14.5"/>
  <cols>
    <col min="2" max="2" width="11.54296875" bestFit="1" customWidth="1"/>
    <col min="3" max="3" width="24.90625" bestFit="1" customWidth="1"/>
    <col min="4" max="4" width="38.36328125" bestFit="1" customWidth="1"/>
    <col min="6" max="6" width="8.81640625" customWidth="1"/>
    <col min="7" max="7" width="4.26953125" bestFit="1" customWidth="1"/>
    <col min="8" max="8" width="42.08984375" bestFit="1" customWidth="1"/>
    <col min="9" max="9" width="9.6328125" customWidth="1"/>
    <col min="10" max="10" width="14.90625" customWidth="1"/>
    <col min="14" max="14" width="5.6328125" customWidth="1"/>
    <col min="15" max="15" width="12.7265625" bestFit="1" customWidth="1"/>
  </cols>
  <sheetData>
    <row r="1" spans="1:15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827</v>
      </c>
      <c r="I1" s="9" t="s">
        <v>8</v>
      </c>
      <c r="J1" s="9" t="s">
        <v>9</v>
      </c>
      <c r="K1" t="s">
        <v>826</v>
      </c>
    </row>
    <row r="2" spans="1:15" ht="16" thickBot="1">
      <c r="B2" s="41" t="s">
        <v>828</v>
      </c>
      <c r="C2" s="30" t="s">
        <v>829</v>
      </c>
      <c r="D2" s="2" t="s">
        <v>773</v>
      </c>
      <c r="E2" s="2" t="s">
        <v>774</v>
      </c>
      <c r="F2" s="2">
        <v>2</v>
      </c>
      <c r="G2" s="2" t="s">
        <v>250</v>
      </c>
      <c r="H2" s="2" t="s">
        <v>775</v>
      </c>
      <c r="I2" s="11">
        <v>80500</v>
      </c>
      <c r="J2" s="87">
        <f>(((I2*K2)/1000))/10000000</f>
        <v>6.8230994999999997E-3</v>
      </c>
      <c r="K2" s="18">
        <v>847.59</v>
      </c>
      <c r="M2" s="88">
        <f>J2/$J$29</f>
        <v>1.9371761417816345E-2</v>
      </c>
      <c r="O2" s="131"/>
    </row>
    <row r="3" spans="1:15" ht="15" thickBot="1">
      <c r="B3" s="41" t="s">
        <v>828</v>
      </c>
      <c r="C3" s="30" t="s">
        <v>829</v>
      </c>
      <c r="D3" s="2" t="s">
        <v>776</v>
      </c>
      <c r="E3" s="2" t="s">
        <v>777</v>
      </c>
      <c r="F3" s="2">
        <v>5</v>
      </c>
      <c r="G3" s="2" t="s">
        <v>250</v>
      </c>
      <c r="H3" s="2" t="s">
        <v>778</v>
      </c>
      <c r="I3" s="11">
        <v>7850</v>
      </c>
      <c r="J3" s="87">
        <f>(I3*F3)/10000000</f>
        <v>3.9249999999999997E-3</v>
      </c>
      <c r="K3" s="19"/>
      <c r="M3" s="88">
        <f t="shared" ref="M3:M28" si="0">J3/$J$29</f>
        <v>1.1143639861170009E-2</v>
      </c>
      <c r="O3" s="131"/>
    </row>
    <row r="4" spans="1:15" ht="16" thickBot="1">
      <c r="B4" s="41" t="s">
        <v>828</v>
      </c>
      <c r="C4" s="30" t="s">
        <v>829</v>
      </c>
      <c r="D4" s="2" t="s">
        <v>779</v>
      </c>
      <c r="E4" s="2" t="s">
        <v>774</v>
      </c>
      <c r="F4" s="2">
        <v>2</v>
      </c>
      <c r="G4" s="2" t="s">
        <v>250</v>
      </c>
      <c r="H4" s="2" t="s">
        <v>775</v>
      </c>
      <c r="I4" s="11">
        <v>79000</v>
      </c>
      <c r="J4" s="87">
        <f>(((I4*K4)/1000))/10000000</f>
        <v>3.9037059999999998E-3</v>
      </c>
      <c r="K4" s="18">
        <v>494.14</v>
      </c>
      <c r="M4" s="88">
        <f t="shared" si="0"/>
        <v>1.1083183130672237E-2</v>
      </c>
      <c r="O4" s="131"/>
    </row>
    <row r="5" spans="1:15" ht="16" thickBot="1">
      <c r="B5" s="41" t="s">
        <v>828</v>
      </c>
      <c r="C5" s="30" t="s">
        <v>829</v>
      </c>
      <c r="D5" s="2" t="s">
        <v>780</v>
      </c>
      <c r="E5" s="2" t="s">
        <v>774</v>
      </c>
      <c r="F5" s="2">
        <v>2</v>
      </c>
      <c r="G5" s="2" t="s">
        <v>250</v>
      </c>
      <c r="H5" s="2" t="s">
        <v>775</v>
      </c>
      <c r="I5" s="11">
        <v>79000</v>
      </c>
      <c r="J5" s="87">
        <f>(((I5*K5)/1000))/10000000</f>
        <v>1.2882530000000001E-3</v>
      </c>
      <c r="K5" s="18">
        <v>163.07</v>
      </c>
      <c r="M5" s="88">
        <f t="shared" si="0"/>
        <v>3.6575356642221269E-3</v>
      </c>
      <c r="O5" s="131"/>
    </row>
    <row r="6" spans="1:15" ht="16" thickBot="1">
      <c r="B6" s="41" t="s">
        <v>828</v>
      </c>
      <c r="C6" s="30" t="s">
        <v>829</v>
      </c>
      <c r="D6" s="2" t="s">
        <v>781</v>
      </c>
      <c r="E6" s="2" t="s">
        <v>774</v>
      </c>
      <c r="F6" s="2">
        <v>6</v>
      </c>
      <c r="G6" s="2" t="s">
        <v>250</v>
      </c>
      <c r="H6" s="2" t="s">
        <v>775</v>
      </c>
      <c r="I6" s="11">
        <v>79000</v>
      </c>
      <c r="J6" s="87">
        <f>(((I6*K6)/1000))/10000000</f>
        <v>4.1110019999999999E-3</v>
      </c>
      <c r="K6" s="18">
        <v>520.38</v>
      </c>
      <c r="M6" s="88">
        <f t="shared" si="0"/>
        <v>1.1671726307401179E-2</v>
      </c>
      <c r="O6" s="131"/>
    </row>
    <row r="7" spans="1:15" ht="16" thickBot="1">
      <c r="B7" s="41" t="s">
        <v>828</v>
      </c>
      <c r="C7" s="30" t="s">
        <v>829</v>
      </c>
      <c r="D7" s="2" t="s">
        <v>782</v>
      </c>
      <c r="E7" s="2" t="s">
        <v>774</v>
      </c>
      <c r="F7" s="2">
        <v>35</v>
      </c>
      <c r="G7" s="2" t="s">
        <v>250</v>
      </c>
      <c r="H7" s="2" t="s">
        <v>775</v>
      </c>
      <c r="I7" s="11">
        <v>79000</v>
      </c>
      <c r="J7" s="87">
        <f>(((I7*K7)/1000))/10000000</f>
        <v>2.5501595000000002E-2</v>
      </c>
      <c r="K7" s="18">
        <v>3228.05</v>
      </c>
      <c r="M7" s="88">
        <f t="shared" si="0"/>
        <v>7.2402698233226453E-2</v>
      </c>
      <c r="O7" s="131"/>
    </row>
    <row r="8" spans="1:15" ht="16" thickBot="1">
      <c r="B8" s="41" t="s">
        <v>828</v>
      </c>
      <c r="C8" s="30" t="s">
        <v>829</v>
      </c>
      <c r="D8" s="2" t="s">
        <v>783</v>
      </c>
      <c r="E8" s="2" t="s">
        <v>774</v>
      </c>
      <c r="F8" s="2">
        <v>3</v>
      </c>
      <c r="G8" s="2" t="s">
        <v>250</v>
      </c>
      <c r="H8" s="2" t="s">
        <v>775</v>
      </c>
      <c r="I8" s="11">
        <v>79000</v>
      </c>
      <c r="J8" s="87">
        <f>(((I8*K8)/1000))/10000000</f>
        <v>3.4000809999999997E-3</v>
      </c>
      <c r="K8" s="18">
        <v>430.39</v>
      </c>
      <c r="M8" s="88">
        <f t="shared" si="0"/>
        <v>9.653319277148225E-3</v>
      </c>
      <c r="O8" s="131"/>
    </row>
    <row r="9" spans="1:15" ht="16" thickBot="1">
      <c r="B9" s="41" t="s">
        <v>828</v>
      </c>
      <c r="C9" s="30" t="s">
        <v>829</v>
      </c>
      <c r="D9" s="2" t="s">
        <v>784</v>
      </c>
      <c r="E9" s="2" t="s">
        <v>774</v>
      </c>
      <c r="F9" s="2">
        <v>4</v>
      </c>
      <c r="G9" s="2" t="s">
        <v>250</v>
      </c>
      <c r="H9" s="2" t="s">
        <v>775</v>
      </c>
      <c r="I9" s="11">
        <v>79000</v>
      </c>
      <c r="J9" s="87">
        <f>(((I9*K9)/1000))/10000000</f>
        <v>2.7229720000000002E-3</v>
      </c>
      <c r="K9" s="18">
        <v>344.68</v>
      </c>
      <c r="M9" s="88">
        <f t="shared" si="0"/>
        <v>7.7309093809044133E-3</v>
      </c>
      <c r="O9" s="131"/>
    </row>
    <row r="10" spans="1:15" ht="16" thickBot="1">
      <c r="B10" s="41" t="s">
        <v>828</v>
      </c>
      <c r="C10" s="30" t="s">
        <v>829</v>
      </c>
      <c r="D10" s="2" t="s">
        <v>785</v>
      </c>
      <c r="E10" s="2" t="s">
        <v>774</v>
      </c>
      <c r="F10" s="2">
        <v>11</v>
      </c>
      <c r="G10" s="2" t="s">
        <v>250</v>
      </c>
      <c r="H10" s="2" t="s">
        <v>775</v>
      </c>
      <c r="I10" s="11">
        <v>79000</v>
      </c>
      <c r="J10" s="87">
        <f>(((I10*K10)/1000))/10000000</f>
        <v>5.9622089999999996E-3</v>
      </c>
      <c r="K10" s="18">
        <v>754.71</v>
      </c>
      <c r="M10" s="88">
        <f t="shared" si="0"/>
        <v>1.6927569394401674E-2</v>
      </c>
      <c r="O10" s="131"/>
    </row>
    <row r="11" spans="1:15" ht="16" thickBot="1">
      <c r="B11" s="41" t="s">
        <v>828</v>
      </c>
      <c r="C11" s="30" t="s">
        <v>829</v>
      </c>
      <c r="D11" s="2" t="s">
        <v>786</v>
      </c>
      <c r="E11" s="2" t="s">
        <v>774</v>
      </c>
      <c r="F11" s="2">
        <v>3</v>
      </c>
      <c r="G11" s="2" t="s">
        <v>250</v>
      </c>
      <c r="H11" s="2" t="s">
        <v>775</v>
      </c>
      <c r="I11" s="11">
        <v>79000</v>
      </c>
      <c r="J11" s="87">
        <f>(((I11*K11)/1000))/10000000</f>
        <v>2.1108009999999998E-3</v>
      </c>
      <c r="K11" s="18">
        <v>267.19</v>
      </c>
      <c r="M11" s="88">
        <f t="shared" si="0"/>
        <v>5.9928678121267554E-3</v>
      </c>
      <c r="O11" s="131"/>
    </row>
    <row r="12" spans="1:15">
      <c r="B12" s="41" t="s">
        <v>828</v>
      </c>
      <c r="C12" s="30" t="s">
        <v>829</v>
      </c>
      <c r="D12" s="2" t="s">
        <v>787</v>
      </c>
      <c r="E12" s="2" t="s">
        <v>788</v>
      </c>
      <c r="F12" s="2">
        <v>280</v>
      </c>
      <c r="G12" s="2" t="s">
        <v>250</v>
      </c>
      <c r="H12" s="2" t="s">
        <v>789</v>
      </c>
      <c r="I12" s="11">
        <v>640</v>
      </c>
      <c r="J12" s="87">
        <f>(((I12*F12)))/10000000</f>
        <v>1.7919999999999998E-2</v>
      </c>
      <c r="M12" s="88">
        <f t="shared" si="0"/>
        <v>5.0877458933036065E-2</v>
      </c>
      <c r="O12" s="131"/>
    </row>
    <row r="13" spans="1:15">
      <c r="B13" s="41" t="s">
        <v>828</v>
      </c>
      <c r="C13" s="30" t="s">
        <v>829</v>
      </c>
      <c r="D13" s="2" t="s">
        <v>790</v>
      </c>
      <c r="E13" s="2" t="s">
        <v>791</v>
      </c>
      <c r="F13" s="2">
        <v>60</v>
      </c>
      <c r="G13" s="2" t="s">
        <v>355</v>
      </c>
      <c r="H13" s="2" t="s">
        <v>792</v>
      </c>
      <c r="I13" s="11">
        <f>330000/1000</f>
        <v>330</v>
      </c>
      <c r="J13" s="87">
        <f>(((I13*F13)))/10000000</f>
        <v>1.98E-3</v>
      </c>
      <c r="M13" s="88">
        <f t="shared" si="0"/>
        <v>5.6215049490742977E-3</v>
      </c>
      <c r="O13" s="131"/>
    </row>
    <row r="14" spans="1:15">
      <c r="B14" s="41" t="s">
        <v>828</v>
      </c>
      <c r="C14" s="30" t="s">
        <v>829</v>
      </c>
      <c r="D14" s="2" t="s">
        <v>793</v>
      </c>
      <c r="E14" s="2" t="s">
        <v>794</v>
      </c>
      <c r="F14" s="2">
        <v>450</v>
      </c>
      <c r="G14" s="2" t="s">
        <v>355</v>
      </c>
      <c r="H14" s="2" t="s">
        <v>792</v>
      </c>
      <c r="I14" s="11">
        <f>600000/1000</f>
        <v>600</v>
      </c>
      <c r="J14" s="87">
        <f>(((I14*F14)))/10000000</f>
        <v>2.7E-2</v>
      </c>
      <c r="M14" s="88">
        <f t="shared" si="0"/>
        <v>7.6656885669194971E-2</v>
      </c>
      <c r="O14" s="131"/>
    </row>
    <row r="15" spans="1:15">
      <c r="B15" s="41" t="s">
        <v>828</v>
      </c>
      <c r="C15" s="30" t="s">
        <v>829</v>
      </c>
      <c r="D15" s="2" t="s">
        <v>795</v>
      </c>
      <c r="E15" s="2" t="s">
        <v>796</v>
      </c>
      <c r="F15" s="2">
        <v>200</v>
      </c>
      <c r="G15" s="2" t="s">
        <v>355</v>
      </c>
      <c r="H15" s="2" t="s">
        <v>792</v>
      </c>
      <c r="I15" s="11">
        <v>76</v>
      </c>
      <c r="J15" s="87">
        <f>(((I15*F15)))/10000000</f>
        <v>1.5200000000000001E-3</v>
      </c>
      <c r="M15" s="88">
        <f t="shared" si="0"/>
        <v>4.3154987487843098E-3</v>
      </c>
      <c r="O15" s="131"/>
    </row>
    <row r="16" spans="1:15">
      <c r="B16" s="41" t="s">
        <v>828</v>
      </c>
      <c r="C16" s="30" t="s">
        <v>829</v>
      </c>
      <c r="D16" s="2" t="s">
        <v>797</v>
      </c>
      <c r="E16" s="2" t="s">
        <v>798</v>
      </c>
      <c r="F16" s="2">
        <v>540</v>
      </c>
      <c r="G16" s="2" t="s">
        <v>355</v>
      </c>
      <c r="H16" s="2" t="s">
        <v>792</v>
      </c>
      <c r="I16" s="11">
        <v>76</v>
      </c>
      <c r="J16" s="87">
        <f>(((I16*F16)))/10000000</f>
        <v>4.104E-3</v>
      </c>
      <c r="M16" s="88">
        <f t="shared" si="0"/>
        <v>1.1651846621717634E-2</v>
      </c>
      <c r="O16" s="131"/>
    </row>
    <row r="17" spans="2:15">
      <c r="B17" s="41" t="s">
        <v>828</v>
      </c>
      <c r="C17" s="30" t="s">
        <v>829</v>
      </c>
      <c r="D17" s="2" t="s">
        <v>799</v>
      </c>
      <c r="E17" s="2" t="s">
        <v>800</v>
      </c>
      <c r="F17" s="2">
        <v>350</v>
      </c>
      <c r="G17" s="2" t="s">
        <v>355</v>
      </c>
      <c r="H17" s="2" t="s">
        <v>801</v>
      </c>
      <c r="I17" s="11">
        <v>1207.49</v>
      </c>
      <c r="J17" s="87">
        <f>(((I17*F17)))/10000000</f>
        <v>4.2262149999999998E-2</v>
      </c>
      <c r="M17" s="88">
        <f t="shared" si="0"/>
        <v>0.11998832595127289</v>
      </c>
      <c r="O17" s="131"/>
    </row>
    <row r="18" spans="2:15">
      <c r="B18" s="41" t="s">
        <v>828</v>
      </c>
      <c r="C18" s="30" t="s">
        <v>829</v>
      </c>
      <c r="D18" s="2" t="s">
        <v>802</v>
      </c>
      <c r="E18" s="2" t="s">
        <v>803</v>
      </c>
      <c r="F18" s="2">
        <v>800</v>
      </c>
      <c r="G18" s="2" t="s">
        <v>355</v>
      </c>
      <c r="H18" s="2" t="s">
        <v>801</v>
      </c>
      <c r="I18" s="11">
        <v>1372.49</v>
      </c>
      <c r="J18" s="87">
        <f>(((I18*F18)))/10000000</f>
        <v>0.1097992</v>
      </c>
      <c r="M18" s="88">
        <f t="shared" si="0"/>
        <v>0.3117357304062619</v>
      </c>
      <c r="O18" s="131"/>
    </row>
    <row r="19" spans="2:15">
      <c r="B19" s="41" t="s">
        <v>828</v>
      </c>
      <c r="C19" s="30" t="s">
        <v>829</v>
      </c>
      <c r="D19" s="2" t="s">
        <v>804</v>
      </c>
      <c r="E19" s="2" t="s">
        <v>805</v>
      </c>
      <c r="F19" s="2">
        <v>8000</v>
      </c>
      <c r="G19" s="2" t="s">
        <v>250</v>
      </c>
      <c r="H19" s="2" t="s">
        <v>806</v>
      </c>
      <c r="I19" s="11">
        <v>16.02</v>
      </c>
      <c r="J19" s="87">
        <f>(((I19*F19)))/10000000</f>
        <v>1.2815999999999999E-2</v>
      </c>
      <c r="M19" s="88">
        <f t="shared" si="0"/>
        <v>3.638646839764454E-2</v>
      </c>
      <c r="O19" s="131"/>
    </row>
    <row r="20" spans="2:15">
      <c r="B20" s="41" t="s">
        <v>828</v>
      </c>
      <c r="C20" s="30" t="s">
        <v>829</v>
      </c>
      <c r="D20" s="2" t="s">
        <v>807</v>
      </c>
      <c r="E20" s="2" t="s">
        <v>808</v>
      </c>
      <c r="F20" s="2">
        <v>484</v>
      </c>
      <c r="G20" s="2" t="s">
        <v>355</v>
      </c>
      <c r="H20" s="2" t="s">
        <v>809</v>
      </c>
      <c r="I20" s="11">
        <v>73.7</v>
      </c>
      <c r="J20" s="87">
        <f>(((I20*F20)))/10000000</f>
        <v>3.5670800000000003E-3</v>
      </c>
      <c r="M20" s="88">
        <f t="shared" si="0"/>
        <v>1.0127453471587852E-2</v>
      </c>
      <c r="O20" s="131"/>
    </row>
    <row r="21" spans="2:15">
      <c r="B21" s="41" t="s">
        <v>828</v>
      </c>
      <c r="C21" s="30" t="s">
        <v>829</v>
      </c>
      <c r="D21" s="2" t="s">
        <v>810</v>
      </c>
      <c r="E21" s="2" t="s">
        <v>811</v>
      </c>
      <c r="F21" s="2">
        <v>600</v>
      </c>
      <c r="G21" s="2" t="s">
        <v>355</v>
      </c>
      <c r="H21" s="2" t="s">
        <v>809</v>
      </c>
      <c r="I21" s="11">
        <v>152.66</v>
      </c>
      <c r="J21" s="87">
        <f>(((I21*F21)))/10000000</f>
        <v>9.1596000000000004E-3</v>
      </c>
      <c r="M21" s="88">
        <f t="shared" si="0"/>
        <v>2.6005422591687342E-2</v>
      </c>
      <c r="O21" s="131"/>
    </row>
    <row r="22" spans="2:15">
      <c r="B22" s="41" t="s">
        <v>828</v>
      </c>
      <c r="C22" s="30" t="s">
        <v>829</v>
      </c>
      <c r="D22" s="2" t="s">
        <v>812</v>
      </c>
      <c r="E22" s="2" t="s">
        <v>813</v>
      </c>
      <c r="F22" s="2">
        <v>2000</v>
      </c>
      <c r="G22" s="2" t="s">
        <v>355</v>
      </c>
      <c r="H22" s="2" t="s">
        <v>809</v>
      </c>
      <c r="I22" s="11">
        <v>76.33</v>
      </c>
      <c r="J22" s="87">
        <f>(((I22*F22)))/10000000</f>
        <v>1.5266E-2</v>
      </c>
      <c r="M22" s="88">
        <f t="shared" si="0"/>
        <v>4.3342370986145566E-2</v>
      </c>
      <c r="O22" s="131"/>
    </row>
    <row r="23" spans="2:15">
      <c r="B23" s="41" t="s">
        <v>828</v>
      </c>
      <c r="C23" s="30" t="s">
        <v>829</v>
      </c>
      <c r="D23" s="2" t="s">
        <v>814</v>
      </c>
      <c r="E23" s="2" t="s">
        <v>815</v>
      </c>
      <c r="F23" s="2">
        <v>2500</v>
      </c>
      <c r="G23" s="2" t="s">
        <v>355</v>
      </c>
      <c r="H23" s="2" t="s">
        <v>809</v>
      </c>
      <c r="I23" s="11">
        <v>87.22</v>
      </c>
      <c r="J23" s="87">
        <f>(((I23*F23)))/10000000</f>
        <v>2.1805000000000001E-2</v>
      </c>
      <c r="M23" s="88">
        <f t="shared" si="0"/>
        <v>6.1907533037659127E-2</v>
      </c>
      <c r="O23" s="131"/>
    </row>
    <row r="24" spans="2:15">
      <c r="B24" s="41" t="s">
        <v>828</v>
      </c>
      <c r="C24" s="30" t="s">
        <v>829</v>
      </c>
      <c r="D24" s="2" t="s">
        <v>816</v>
      </c>
      <c r="E24" s="2" t="s">
        <v>817</v>
      </c>
      <c r="F24" s="2">
        <v>175</v>
      </c>
      <c r="G24" s="2" t="s">
        <v>355</v>
      </c>
      <c r="H24" s="2" t="s">
        <v>809</v>
      </c>
      <c r="I24" s="11">
        <v>157.91999999999999</v>
      </c>
      <c r="J24" s="87">
        <f>(((I24*F24)))/10000000</f>
        <v>2.7635999999999997E-3</v>
      </c>
      <c r="M24" s="88">
        <f t="shared" si="0"/>
        <v>7.8462581198291553E-3</v>
      </c>
      <c r="O24" s="131"/>
    </row>
    <row r="25" spans="2:15">
      <c r="B25" s="41" t="s">
        <v>828</v>
      </c>
      <c r="C25" s="30" t="s">
        <v>829</v>
      </c>
      <c r="D25" s="2" t="s">
        <v>818</v>
      </c>
      <c r="E25" s="2" t="s">
        <v>819</v>
      </c>
      <c r="F25" s="2">
        <v>450</v>
      </c>
      <c r="G25" s="2" t="s">
        <v>355</v>
      </c>
      <c r="H25" s="2" t="s">
        <v>820</v>
      </c>
      <c r="I25" s="11">
        <v>78</v>
      </c>
      <c r="J25" s="87">
        <f>(((I25*F25)))/10000000</f>
        <v>3.5100000000000001E-3</v>
      </c>
      <c r="M25" s="88">
        <f t="shared" si="0"/>
        <v>9.9653951369953458E-3</v>
      </c>
      <c r="O25" s="131"/>
    </row>
    <row r="26" spans="2:15">
      <c r="B26" s="41" t="s">
        <v>828</v>
      </c>
      <c r="C26" s="30" t="s">
        <v>829</v>
      </c>
      <c r="D26" s="2" t="s">
        <v>821</v>
      </c>
      <c r="E26" s="2" t="s">
        <v>822</v>
      </c>
      <c r="F26" s="2">
        <v>370</v>
      </c>
      <c r="G26" s="2" t="s">
        <v>355</v>
      </c>
      <c r="H26" s="2" t="s">
        <v>809</v>
      </c>
      <c r="I26" s="11">
        <v>237.5</v>
      </c>
      <c r="J26" s="87">
        <f>(((I26*F26)))/10000000</f>
        <v>8.7875000000000002E-3</v>
      </c>
      <c r="L26">
        <v>10000000</v>
      </c>
      <c r="M26" s="88">
        <f t="shared" si="0"/>
        <v>2.4948977141409288E-2</v>
      </c>
      <c r="O26" s="131"/>
    </row>
    <row r="27" spans="2:15">
      <c r="B27" s="41" t="s">
        <v>828</v>
      </c>
      <c r="C27" s="30" t="s">
        <v>829</v>
      </c>
      <c r="D27" s="2" t="s">
        <v>823</v>
      </c>
      <c r="E27" s="2" t="s">
        <v>823</v>
      </c>
      <c r="F27" s="2">
        <v>1</v>
      </c>
      <c r="G27" s="2" t="s">
        <v>250</v>
      </c>
      <c r="H27" s="2" t="s">
        <v>824</v>
      </c>
      <c r="I27" s="11">
        <v>24100</v>
      </c>
      <c r="J27" s="87">
        <f>(((I27*F27)))/10000000</f>
        <v>2.4099999999999998E-3</v>
      </c>
      <c r="M27" s="88">
        <f t="shared" si="0"/>
        <v>6.8423368319540691E-3</v>
      </c>
      <c r="O27" s="131"/>
    </row>
    <row r="28" spans="2:15">
      <c r="B28" s="41" t="s">
        <v>828</v>
      </c>
      <c r="C28" s="30" t="s">
        <v>829</v>
      </c>
      <c r="D28" s="2" t="s">
        <v>825</v>
      </c>
      <c r="E28" s="2" t="s">
        <v>823</v>
      </c>
      <c r="F28" s="2">
        <v>5</v>
      </c>
      <c r="G28" s="2" t="s">
        <v>250</v>
      </c>
      <c r="H28" s="2" t="s">
        <v>824</v>
      </c>
      <c r="I28" s="11">
        <v>15600</v>
      </c>
      <c r="J28" s="87">
        <f>(((I28*F28)))/10000000</f>
        <v>7.7999999999999996E-3</v>
      </c>
      <c r="M28" s="88">
        <f t="shared" si="0"/>
        <v>2.2145322526656321E-2</v>
      </c>
      <c r="O28" s="131"/>
    </row>
    <row r="29" spans="2:15">
      <c r="B29" s="41"/>
      <c r="C29" s="41"/>
      <c r="D29" s="41"/>
      <c r="E29" s="41"/>
      <c r="F29" s="41"/>
      <c r="G29" s="41"/>
      <c r="H29" s="106" t="s">
        <v>970</v>
      </c>
      <c r="I29" s="106"/>
      <c r="J29" s="13">
        <f>SUM(J2:J28)</f>
        <v>0.35221884849999996</v>
      </c>
      <c r="O29" s="131"/>
    </row>
  </sheetData>
  <mergeCells count="1">
    <mergeCell ref="H29:I2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723D-5F12-40E6-8992-F92E6C19EAC3}">
  <dimension ref="A1:O21"/>
  <sheetViews>
    <sheetView tabSelected="1" workbookViewId="0">
      <selection activeCell="L21" sqref="B1:L21"/>
    </sheetView>
  </sheetViews>
  <sheetFormatPr defaultRowHeight="14.5"/>
  <cols>
    <col min="2" max="2" width="11.54296875" bestFit="1" customWidth="1"/>
    <col min="3" max="3" width="38.1796875" bestFit="1" customWidth="1"/>
    <col min="4" max="4" width="34.90625" bestFit="1" customWidth="1"/>
    <col min="5" max="5" width="29.7265625" bestFit="1" customWidth="1"/>
    <col min="6" max="6" width="4.81640625" bestFit="1" customWidth="1"/>
    <col min="7" max="7" width="4.81640625" hidden="1" customWidth="1"/>
    <col min="8" max="8" width="11.54296875" bestFit="1" customWidth="1"/>
    <col min="10" max="10" width="24.7265625" bestFit="1" customWidth="1"/>
    <col min="11" max="12" width="8.81640625" bestFit="1" customWidth="1"/>
    <col min="15" max="15" width="11.26953125" bestFit="1" customWidth="1"/>
  </cols>
  <sheetData>
    <row r="1" spans="1:15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/>
      <c r="H1" s="9" t="s">
        <v>851</v>
      </c>
      <c r="I1" s="9" t="s">
        <v>6</v>
      </c>
      <c r="J1" s="9" t="s">
        <v>827</v>
      </c>
      <c r="K1" s="9" t="s">
        <v>8</v>
      </c>
      <c r="L1" s="9" t="s">
        <v>9</v>
      </c>
    </row>
    <row r="2" spans="1:15">
      <c r="B2" s="10" t="s">
        <v>853</v>
      </c>
      <c r="C2" s="10" t="s">
        <v>852</v>
      </c>
      <c r="D2" s="2" t="s">
        <v>773</v>
      </c>
      <c r="E2" s="2" t="s">
        <v>774</v>
      </c>
      <c r="F2" s="2">
        <v>7</v>
      </c>
      <c r="G2" s="132">
        <v>423.79500000000002</v>
      </c>
      <c r="H2" s="132">
        <f>G2*F2</f>
        <v>2966.5650000000001</v>
      </c>
      <c r="I2" s="2" t="s">
        <v>250</v>
      </c>
      <c r="J2" s="2" t="s">
        <v>775</v>
      </c>
      <c r="K2" s="11">
        <v>78800</v>
      </c>
      <c r="L2" s="11">
        <f>(K2*H2/1000)/10000000</f>
        <v>2.3376532199999998E-2</v>
      </c>
      <c r="O2" s="131"/>
    </row>
    <row r="3" spans="1:15">
      <c r="B3" s="10" t="s">
        <v>853</v>
      </c>
      <c r="C3" s="10" t="s">
        <v>852</v>
      </c>
      <c r="D3" s="2" t="s">
        <v>830</v>
      </c>
      <c r="E3" s="2" t="s">
        <v>774</v>
      </c>
      <c r="F3" s="2">
        <v>4</v>
      </c>
      <c r="G3" s="132">
        <v>371.16500000000002</v>
      </c>
      <c r="H3" s="132">
        <f t="shared" ref="H3:H11" si="0">G3*F3</f>
        <v>1484.66</v>
      </c>
      <c r="I3" s="2" t="s">
        <v>250</v>
      </c>
      <c r="J3" s="2" t="s">
        <v>775</v>
      </c>
      <c r="K3" s="11">
        <v>78800</v>
      </c>
      <c r="L3" s="11">
        <f t="shared" ref="L3:L11" si="1">(K3*H3/1000)/10000000</f>
        <v>1.1699120800000001E-2</v>
      </c>
      <c r="O3" s="131"/>
    </row>
    <row r="4" spans="1:15">
      <c r="B4" s="10" t="s">
        <v>853</v>
      </c>
      <c r="C4" s="10" t="s">
        <v>852</v>
      </c>
      <c r="D4" s="2" t="s">
        <v>831</v>
      </c>
      <c r="E4" s="2" t="s">
        <v>774</v>
      </c>
      <c r="F4" s="2">
        <v>1</v>
      </c>
      <c r="G4" s="132">
        <v>1382.972</v>
      </c>
      <c r="H4" s="132">
        <f t="shared" si="0"/>
        <v>1382.972</v>
      </c>
      <c r="I4" s="2" t="s">
        <v>250</v>
      </c>
      <c r="J4" s="2" t="s">
        <v>775</v>
      </c>
      <c r="K4" s="11">
        <v>79000</v>
      </c>
      <c r="L4" s="11">
        <f t="shared" si="1"/>
        <v>1.0925478800000001E-2</v>
      </c>
      <c r="O4" s="131"/>
    </row>
    <row r="5" spans="1:15">
      <c r="B5" s="10" t="s">
        <v>853</v>
      </c>
      <c r="C5" s="10" t="s">
        <v>852</v>
      </c>
      <c r="D5" s="2" t="s">
        <v>832</v>
      </c>
      <c r="E5" s="2" t="s">
        <v>774</v>
      </c>
      <c r="F5" s="2">
        <v>2</v>
      </c>
      <c r="G5" s="132">
        <v>947.36</v>
      </c>
      <c r="H5" s="132">
        <f t="shared" si="0"/>
        <v>1894.72</v>
      </c>
      <c r="I5" s="2" t="s">
        <v>250</v>
      </c>
      <c r="J5" s="2" t="s">
        <v>775</v>
      </c>
      <c r="K5" s="31">
        <v>81500</v>
      </c>
      <c r="L5" s="11">
        <f t="shared" si="1"/>
        <v>1.5441967999999999E-2</v>
      </c>
      <c r="O5" s="131"/>
    </row>
    <row r="6" spans="1:15">
      <c r="B6" s="10" t="s">
        <v>853</v>
      </c>
      <c r="C6" s="10" t="s">
        <v>852</v>
      </c>
      <c r="D6" s="2" t="s">
        <v>833</v>
      </c>
      <c r="E6" s="2" t="s">
        <v>774</v>
      </c>
      <c r="F6" s="2">
        <v>2</v>
      </c>
      <c r="G6" s="132">
        <v>86.73</v>
      </c>
      <c r="H6" s="132">
        <f t="shared" si="0"/>
        <v>173.46</v>
      </c>
      <c r="I6" s="2" t="s">
        <v>250</v>
      </c>
      <c r="J6" s="2" t="s">
        <v>775</v>
      </c>
      <c r="K6" s="11">
        <v>79000</v>
      </c>
      <c r="L6" s="11">
        <f t="shared" si="1"/>
        <v>1.370334E-3</v>
      </c>
      <c r="O6" s="131"/>
    </row>
    <row r="7" spans="1:15">
      <c r="B7" s="10" t="s">
        <v>853</v>
      </c>
      <c r="C7" s="10" t="s">
        <v>852</v>
      </c>
      <c r="D7" s="2" t="s">
        <v>834</v>
      </c>
      <c r="E7" s="2" t="s">
        <v>774</v>
      </c>
      <c r="F7" s="2">
        <v>1</v>
      </c>
      <c r="G7" s="132">
        <v>92.23</v>
      </c>
      <c r="H7" s="132">
        <f t="shared" si="0"/>
        <v>92.23</v>
      </c>
      <c r="I7" s="2" t="s">
        <v>250</v>
      </c>
      <c r="J7" s="2" t="s">
        <v>775</v>
      </c>
      <c r="K7" s="11">
        <v>79000</v>
      </c>
      <c r="L7" s="11">
        <f t="shared" si="1"/>
        <v>7.2861699999999998E-4</v>
      </c>
      <c r="O7" s="131"/>
    </row>
    <row r="8" spans="1:15">
      <c r="B8" s="10" t="s">
        <v>853</v>
      </c>
      <c r="C8" s="10" t="s">
        <v>852</v>
      </c>
      <c r="D8" s="2" t="s">
        <v>835</v>
      </c>
      <c r="E8" s="2" t="s">
        <v>774</v>
      </c>
      <c r="F8" s="2">
        <v>8</v>
      </c>
      <c r="G8" s="132">
        <v>152.25899999999999</v>
      </c>
      <c r="H8" s="132">
        <f t="shared" si="0"/>
        <v>1218.0719999999999</v>
      </c>
      <c r="I8" s="2" t="s">
        <v>250</v>
      </c>
      <c r="J8" s="2" t="s">
        <v>775</v>
      </c>
      <c r="K8" s="11">
        <v>79000</v>
      </c>
      <c r="L8" s="11">
        <f t="shared" si="1"/>
        <v>9.6227687999999988E-3</v>
      </c>
      <c r="O8" s="131"/>
    </row>
    <row r="9" spans="1:15">
      <c r="B9" s="10" t="s">
        <v>853</v>
      </c>
      <c r="C9" s="10" t="s">
        <v>852</v>
      </c>
      <c r="D9" s="2" t="s">
        <v>784</v>
      </c>
      <c r="E9" s="2" t="s">
        <v>774</v>
      </c>
      <c r="F9" s="2">
        <v>2</v>
      </c>
      <c r="G9" s="132">
        <v>86.17</v>
      </c>
      <c r="H9" s="132">
        <f t="shared" si="0"/>
        <v>172.34</v>
      </c>
      <c r="I9" s="2" t="s">
        <v>250</v>
      </c>
      <c r="J9" s="2" t="s">
        <v>775</v>
      </c>
      <c r="K9" s="11">
        <v>79000</v>
      </c>
      <c r="L9" s="11">
        <f t="shared" si="1"/>
        <v>1.3614860000000001E-3</v>
      </c>
      <c r="O9" s="131"/>
    </row>
    <row r="10" spans="1:15">
      <c r="B10" s="10" t="s">
        <v>853</v>
      </c>
      <c r="C10" s="10" t="s">
        <v>852</v>
      </c>
      <c r="D10" s="2" t="s">
        <v>836</v>
      </c>
      <c r="E10" s="2" t="s">
        <v>774</v>
      </c>
      <c r="F10" s="2">
        <v>17</v>
      </c>
      <c r="G10" s="132">
        <v>68.61</v>
      </c>
      <c r="H10" s="132">
        <f t="shared" si="0"/>
        <v>1166.3699999999999</v>
      </c>
      <c r="I10" s="2" t="s">
        <v>250</v>
      </c>
      <c r="J10" s="2" t="s">
        <v>775</v>
      </c>
      <c r="K10" s="11">
        <v>79000</v>
      </c>
      <c r="L10" s="11">
        <f t="shared" si="1"/>
        <v>9.2143229999999982E-3</v>
      </c>
      <c r="O10" s="131"/>
    </row>
    <row r="11" spans="1:15">
      <c r="B11" s="10" t="s">
        <v>853</v>
      </c>
      <c r="C11" s="10" t="s">
        <v>852</v>
      </c>
      <c r="D11" s="2" t="s">
        <v>786</v>
      </c>
      <c r="E11" s="2" t="s">
        <v>774</v>
      </c>
      <c r="F11" s="2">
        <v>20</v>
      </c>
      <c r="G11" s="132">
        <v>89.06232</v>
      </c>
      <c r="H11" s="132">
        <f t="shared" si="0"/>
        <v>1781.2464</v>
      </c>
      <c r="I11" s="2" t="s">
        <v>250</v>
      </c>
      <c r="J11" s="2" t="s">
        <v>775</v>
      </c>
      <c r="K11" s="11">
        <v>79000</v>
      </c>
      <c r="L11" s="11">
        <f t="shared" si="1"/>
        <v>1.407184656E-2</v>
      </c>
      <c r="O11" s="131"/>
    </row>
    <row r="12" spans="1:15">
      <c r="B12" s="10" t="s">
        <v>853</v>
      </c>
      <c r="C12" s="10" t="s">
        <v>852</v>
      </c>
      <c r="D12" s="2" t="s">
        <v>787</v>
      </c>
      <c r="E12" s="2" t="s">
        <v>787</v>
      </c>
      <c r="F12" s="2">
        <v>464</v>
      </c>
      <c r="G12" s="11"/>
      <c r="H12" s="2"/>
      <c r="I12" s="2" t="s">
        <v>250</v>
      </c>
      <c r="J12" s="33" t="s">
        <v>837</v>
      </c>
      <c r="K12" s="31">
        <v>640</v>
      </c>
      <c r="L12" s="31">
        <f t="shared" ref="L12:L20" si="2">(K12*F12)/10000000</f>
        <v>2.9696E-2</v>
      </c>
      <c r="O12" s="131"/>
    </row>
    <row r="13" spans="1:15">
      <c r="B13" s="10" t="s">
        <v>853</v>
      </c>
      <c r="C13" s="10" t="s">
        <v>852</v>
      </c>
      <c r="D13" s="2" t="s">
        <v>838</v>
      </c>
      <c r="E13" s="32" t="s">
        <v>838</v>
      </c>
      <c r="F13" s="2">
        <v>604</v>
      </c>
      <c r="G13" s="2"/>
      <c r="H13" s="2"/>
      <c r="I13" s="2" t="s">
        <v>355</v>
      </c>
      <c r="J13" s="32" t="s">
        <v>839</v>
      </c>
      <c r="K13" s="11">
        <v>157</v>
      </c>
      <c r="L13" s="31">
        <f t="shared" si="2"/>
        <v>9.4827999999999996E-3</v>
      </c>
      <c r="O13" s="131"/>
    </row>
    <row r="14" spans="1:15">
      <c r="B14" s="10" t="s">
        <v>853</v>
      </c>
      <c r="C14" s="10" t="s">
        <v>852</v>
      </c>
      <c r="D14" s="2" t="s">
        <v>840</v>
      </c>
      <c r="E14" s="32" t="s">
        <v>840</v>
      </c>
      <c r="F14" s="2">
        <v>1200</v>
      </c>
      <c r="G14" s="2"/>
      <c r="H14" s="2"/>
      <c r="I14" s="2" t="s">
        <v>355</v>
      </c>
      <c r="J14" s="32" t="s">
        <v>839</v>
      </c>
      <c r="K14" s="11">
        <v>23.1</v>
      </c>
      <c r="L14" s="31">
        <f t="shared" si="2"/>
        <v>2.7720000000000002E-3</v>
      </c>
      <c r="O14" s="131"/>
    </row>
    <row r="15" spans="1:15">
      <c r="B15" s="10" t="s">
        <v>853</v>
      </c>
      <c r="C15" s="10" t="s">
        <v>852</v>
      </c>
      <c r="D15" s="33" t="s">
        <v>841</v>
      </c>
      <c r="E15" s="33" t="s">
        <v>841</v>
      </c>
      <c r="F15" s="2">
        <v>5000</v>
      </c>
      <c r="G15" s="2"/>
      <c r="H15" s="2"/>
      <c r="I15" s="2" t="s">
        <v>250</v>
      </c>
      <c r="J15" s="33" t="s">
        <v>842</v>
      </c>
      <c r="K15" s="11">
        <v>33</v>
      </c>
      <c r="L15" s="31">
        <f t="shared" si="2"/>
        <v>1.6500000000000001E-2</v>
      </c>
      <c r="O15" s="131"/>
    </row>
    <row r="16" spans="1:15">
      <c r="B16" s="10" t="s">
        <v>853</v>
      </c>
      <c r="C16" s="10" t="s">
        <v>852</v>
      </c>
      <c r="D16" s="2" t="s">
        <v>843</v>
      </c>
      <c r="E16" s="2" t="s">
        <v>843</v>
      </c>
      <c r="F16" s="2">
        <v>1</v>
      </c>
      <c r="G16" s="2"/>
      <c r="H16" s="2"/>
      <c r="I16" s="2" t="s">
        <v>250</v>
      </c>
      <c r="J16" s="2" t="s">
        <v>844</v>
      </c>
      <c r="K16" s="31"/>
      <c r="L16" s="31">
        <f t="shared" si="2"/>
        <v>0</v>
      </c>
      <c r="O16" s="131"/>
    </row>
    <row r="17" spans="2:15">
      <c r="B17" s="10" t="s">
        <v>853</v>
      </c>
      <c r="C17" s="10" t="s">
        <v>852</v>
      </c>
      <c r="D17" s="33" t="s">
        <v>845</v>
      </c>
      <c r="E17" s="33" t="s">
        <v>845</v>
      </c>
      <c r="F17" s="2">
        <v>299</v>
      </c>
      <c r="G17" s="2"/>
      <c r="H17" s="2"/>
      <c r="I17" s="2" t="s">
        <v>250</v>
      </c>
      <c r="J17" s="2" t="s">
        <v>846</v>
      </c>
      <c r="K17" s="11">
        <v>23.51</v>
      </c>
      <c r="L17" s="31">
        <f t="shared" si="2"/>
        <v>7.0294900000000002E-4</v>
      </c>
      <c r="O17" s="131"/>
    </row>
    <row r="18" spans="2:15">
      <c r="B18" s="10" t="s">
        <v>853</v>
      </c>
      <c r="C18" s="10" t="s">
        <v>852</v>
      </c>
      <c r="D18" s="32" t="s">
        <v>847</v>
      </c>
      <c r="E18" s="32" t="s">
        <v>847</v>
      </c>
      <c r="F18" s="2">
        <v>200</v>
      </c>
      <c r="G18" s="2"/>
      <c r="H18" s="2"/>
      <c r="I18" s="2" t="s">
        <v>355</v>
      </c>
      <c r="J18" s="33" t="s">
        <v>848</v>
      </c>
      <c r="K18" s="11">
        <v>131</v>
      </c>
      <c r="L18" s="31">
        <f t="shared" si="2"/>
        <v>2.6199999999999999E-3</v>
      </c>
      <c r="O18" s="131"/>
    </row>
    <row r="19" spans="2:15">
      <c r="B19" s="10" t="s">
        <v>853</v>
      </c>
      <c r="C19" s="10" t="s">
        <v>852</v>
      </c>
      <c r="D19" s="33" t="s">
        <v>849</v>
      </c>
      <c r="E19" s="33" t="s">
        <v>849</v>
      </c>
      <c r="F19" s="2">
        <v>4</v>
      </c>
      <c r="G19" s="2"/>
      <c r="H19" s="2"/>
      <c r="I19" s="2" t="s">
        <v>250</v>
      </c>
      <c r="J19" s="33" t="s">
        <v>848</v>
      </c>
      <c r="K19" s="31">
        <v>2990</v>
      </c>
      <c r="L19" s="31">
        <f t="shared" si="2"/>
        <v>1.196E-3</v>
      </c>
      <c r="O19" s="131"/>
    </row>
    <row r="20" spans="2:15">
      <c r="B20" s="10" t="s">
        <v>853</v>
      </c>
      <c r="C20" s="10" t="s">
        <v>852</v>
      </c>
      <c r="D20" s="33" t="s">
        <v>850</v>
      </c>
      <c r="E20" s="33" t="s">
        <v>850</v>
      </c>
      <c r="F20" s="2">
        <v>1</v>
      </c>
      <c r="G20" s="2"/>
      <c r="H20" s="2"/>
      <c r="I20" s="2" t="s">
        <v>250</v>
      </c>
      <c r="J20" s="33" t="s">
        <v>848</v>
      </c>
      <c r="K20" s="31">
        <f>'G79-36001'!I28</f>
        <v>15600</v>
      </c>
      <c r="L20" s="31">
        <f t="shared" si="2"/>
        <v>1.56E-3</v>
      </c>
      <c r="O20" s="131"/>
    </row>
    <row r="21" spans="2:15">
      <c r="B21" s="10"/>
      <c r="C21" s="10"/>
      <c r="D21" s="10"/>
      <c r="E21" s="10"/>
      <c r="F21" s="10"/>
      <c r="G21" s="10"/>
      <c r="H21" s="10"/>
      <c r="I21" s="10"/>
      <c r="J21" s="107" t="s">
        <v>970</v>
      </c>
      <c r="K21" s="107"/>
      <c r="L21" s="52">
        <f>SUM(L2:L20)</f>
        <v>0.16234222416000002</v>
      </c>
      <c r="O21" s="131"/>
    </row>
  </sheetData>
  <mergeCells count="1">
    <mergeCell ref="J21:K2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91B3-A9D9-44D6-8859-C9963CC78293}">
  <dimension ref="A1:L12"/>
  <sheetViews>
    <sheetView workbookViewId="0">
      <selection activeCell="B2" sqref="B2:J12"/>
    </sheetView>
  </sheetViews>
  <sheetFormatPr defaultRowHeight="14.5"/>
  <cols>
    <col min="1" max="1" width="11.54296875" bestFit="1" customWidth="1"/>
    <col min="2" max="3" width="12.1796875" bestFit="1" customWidth="1"/>
    <col min="4" max="4" width="38.08984375" bestFit="1" customWidth="1"/>
  </cols>
  <sheetData>
    <row r="1" spans="1:12">
      <c r="A1" t="s">
        <v>869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827</v>
      </c>
      <c r="I1" s="9" t="s">
        <v>8</v>
      </c>
      <c r="J1" s="9" t="s">
        <v>9</v>
      </c>
      <c r="K1" s="62"/>
      <c r="L1" s="20"/>
    </row>
    <row r="2" spans="1:12">
      <c r="B2" s="2" t="s">
        <v>870</v>
      </c>
      <c r="C2" s="30" t="s">
        <v>871</v>
      </c>
      <c r="D2" s="2" t="s">
        <v>854</v>
      </c>
      <c r="E2" s="2" t="s">
        <v>855</v>
      </c>
      <c r="F2" s="2">
        <v>495</v>
      </c>
      <c r="G2" s="2" t="s">
        <v>856</v>
      </c>
      <c r="H2" s="2" t="s">
        <v>857</v>
      </c>
      <c r="I2" s="11">
        <v>859.32</v>
      </c>
      <c r="J2" s="41">
        <f t="shared" ref="J2:J11" si="0">(I2*F2)/10000000</f>
        <v>4.2536339999999999E-2</v>
      </c>
    </row>
    <row r="3" spans="1:12">
      <c r="B3" s="2" t="s">
        <v>870</v>
      </c>
      <c r="C3" s="30" t="s">
        <v>871</v>
      </c>
      <c r="D3" s="2" t="s">
        <v>858</v>
      </c>
      <c r="E3" s="2" t="s">
        <v>855</v>
      </c>
      <c r="F3" s="2">
        <v>190</v>
      </c>
      <c r="G3" s="2" t="s">
        <v>856</v>
      </c>
      <c r="H3" s="2" t="s">
        <v>857</v>
      </c>
      <c r="I3" s="11">
        <v>205</v>
      </c>
      <c r="J3" s="41">
        <f t="shared" si="0"/>
        <v>3.895E-3</v>
      </c>
    </row>
    <row r="4" spans="1:12">
      <c r="B4" s="2" t="s">
        <v>870</v>
      </c>
      <c r="C4" s="30" t="s">
        <v>871</v>
      </c>
      <c r="D4" s="2" t="s">
        <v>859</v>
      </c>
      <c r="E4" s="2" t="s">
        <v>855</v>
      </c>
      <c r="F4" s="2">
        <v>136</v>
      </c>
      <c r="G4" s="2" t="s">
        <v>856</v>
      </c>
      <c r="H4" s="2" t="s">
        <v>860</v>
      </c>
      <c r="I4" s="11">
        <v>910</v>
      </c>
      <c r="J4" s="41">
        <f t="shared" si="0"/>
        <v>1.2376E-2</v>
      </c>
    </row>
    <row r="5" spans="1:12">
      <c r="B5" s="2" t="s">
        <v>870</v>
      </c>
      <c r="C5" s="30" t="s">
        <v>871</v>
      </c>
      <c r="D5" s="2" t="s">
        <v>861</v>
      </c>
      <c r="E5" s="2" t="s">
        <v>862</v>
      </c>
      <c r="F5" s="2">
        <v>1</v>
      </c>
      <c r="G5" s="2" t="s">
        <v>856</v>
      </c>
      <c r="H5" s="2" t="s">
        <v>349</v>
      </c>
      <c r="I5" s="11">
        <v>36313.800000000003</v>
      </c>
      <c r="J5" s="41">
        <f t="shared" si="0"/>
        <v>3.6313800000000005E-3</v>
      </c>
    </row>
    <row r="6" spans="1:12">
      <c r="B6" s="2" t="s">
        <v>870</v>
      </c>
      <c r="C6" s="30" t="s">
        <v>871</v>
      </c>
      <c r="D6" s="2" t="s">
        <v>863</v>
      </c>
      <c r="E6" s="2" t="s">
        <v>862</v>
      </c>
      <c r="F6" s="2">
        <v>1</v>
      </c>
      <c r="G6" s="2" t="s">
        <v>856</v>
      </c>
      <c r="H6" s="2" t="s">
        <v>349</v>
      </c>
      <c r="I6" s="11">
        <v>16973.25</v>
      </c>
      <c r="J6" s="41">
        <f t="shared" si="0"/>
        <v>1.697325E-3</v>
      </c>
    </row>
    <row r="7" spans="1:12">
      <c r="B7" s="2" t="s">
        <v>870</v>
      </c>
      <c r="C7" s="30" t="s">
        <v>871</v>
      </c>
      <c r="D7" s="2" t="s">
        <v>864</v>
      </c>
      <c r="E7" s="2" t="s">
        <v>862</v>
      </c>
      <c r="F7" s="2">
        <v>3</v>
      </c>
      <c r="G7" s="2" t="s">
        <v>856</v>
      </c>
      <c r="H7" s="2" t="s">
        <v>349</v>
      </c>
      <c r="I7" s="2">
        <v>5118</v>
      </c>
      <c r="J7" s="41">
        <f t="shared" si="0"/>
        <v>1.5353999999999999E-3</v>
      </c>
    </row>
    <row r="8" spans="1:12">
      <c r="B8" s="2" t="s">
        <v>870</v>
      </c>
      <c r="C8" s="30" t="s">
        <v>871</v>
      </c>
      <c r="D8" s="2" t="s">
        <v>865</v>
      </c>
      <c r="E8" s="2" t="s">
        <v>862</v>
      </c>
      <c r="F8" s="2">
        <v>1</v>
      </c>
      <c r="G8" s="2" t="s">
        <v>856</v>
      </c>
      <c r="H8" s="2" t="s">
        <v>349</v>
      </c>
      <c r="I8" s="2">
        <v>5118</v>
      </c>
      <c r="J8" s="41">
        <f t="shared" si="0"/>
        <v>5.1179999999999997E-4</v>
      </c>
    </row>
    <row r="9" spans="1:12">
      <c r="B9" s="2" t="s">
        <v>870</v>
      </c>
      <c r="C9" s="30" t="s">
        <v>871</v>
      </c>
      <c r="D9" s="2" t="s">
        <v>866</v>
      </c>
      <c r="E9" s="2" t="s">
        <v>862</v>
      </c>
      <c r="F9" s="2">
        <v>1</v>
      </c>
      <c r="G9" s="2" t="s">
        <v>856</v>
      </c>
      <c r="H9" s="2" t="s">
        <v>349</v>
      </c>
      <c r="I9" s="2">
        <v>5243.2</v>
      </c>
      <c r="J9" s="41">
        <f t="shared" si="0"/>
        <v>5.2431999999999999E-4</v>
      </c>
      <c r="L9">
        <v>10000000</v>
      </c>
    </row>
    <row r="10" spans="1:12">
      <c r="B10" s="2" t="s">
        <v>870</v>
      </c>
      <c r="C10" s="30" t="s">
        <v>871</v>
      </c>
      <c r="D10" s="2" t="s">
        <v>867</v>
      </c>
      <c r="E10" s="2" t="s">
        <v>862</v>
      </c>
      <c r="F10" s="2">
        <v>3</v>
      </c>
      <c r="G10" s="2" t="s">
        <v>856</v>
      </c>
      <c r="H10" s="2" t="s">
        <v>349</v>
      </c>
      <c r="I10" s="2">
        <v>5243.2</v>
      </c>
      <c r="J10" s="41">
        <f t="shared" si="0"/>
        <v>1.5729599999999998E-3</v>
      </c>
    </row>
    <row r="11" spans="1:12">
      <c r="B11" s="2" t="s">
        <v>870</v>
      </c>
      <c r="C11" s="30" t="s">
        <v>871</v>
      </c>
      <c r="D11" s="2" t="s">
        <v>868</v>
      </c>
      <c r="E11" s="2" t="s">
        <v>862</v>
      </c>
      <c r="F11" s="2">
        <v>5</v>
      </c>
      <c r="G11" s="2" t="s">
        <v>856</v>
      </c>
      <c r="H11" s="2" t="s">
        <v>349</v>
      </c>
      <c r="I11" s="2">
        <v>2778.2</v>
      </c>
      <c r="J11" s="41">
        <f t="shared" si="0"/>
        <v>1.3891000000000001E-3</v>
      </c>
    </row>
    <row r="12" spans="1:12">
      <c r="B12" s="41"/>
      <c r="C12" s="41"/>
      <c r="D12" s="41"/>
      <c r="E12" s="41"/>
      <c r="F12" s="41"/>
      <c r="G12" s="41"/>
      <c r="H12" s="100" t="s">
        <v>970</v>
      </c>
      <c r="I12" s="100"/>
      <c r="J12" s="55">
        <f>SUM(J2:J11)</f>
        <v>6.9669625000000013E-2</v>
      </c>
    </row>
  </sheetData>
  <mergeCells count="1">
    <mergeCell ref="H12:I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3FD1-41F1-437F-873F-7FE0C416858E}">
  <dimension ref="A1:L26"/>
  <sheetViews>
    <sheetView topLeftCell="A5" zoomScale="94" zoomScaleNormal="94" workbookViewId="0">
      <selection activeCell="B2" sqref="B2:J26"/>
    </sheetView>
  </sheetViews>
  <sheetFormatPr defaultRowHeight="14.5"/>
  <cols>
    <col min="1" max="1" width="5.90625" bestFit="1" customWidth="1"/>
    <col min="2" max="2" width="11.54296875" bestFit="1" customWidth="1"/>
    <col min="3" max="3" width="26.1796875" bestFit="1" customWidth="1"/>
    <col min="4" max="4" width="18.90625" bestFit="1" customWidth="1"/>
    <col min="5" max="5" width="7.26953125" bestFit="1" customWidth="1"/>
    <col min="8" max="8" width="15.453125" bestFit="1" customWidth="1"/>
    <col min="9" max="9" width="14.1796875" bestFit="1" customWidth="1"/>
  </cols>
  <sheetData>
    <row r="1" spans="1:10">
      <c r="A1" t="s">
        <v>869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355</v>
      </c>
      <c r="H1" s="63" t="s">
        <v>827</v>
      </c>
      <c r="I1" s="63" t="s">
        <v>8</v>
      </c>
      <c r="J1" s="63" t="s">
        <v>9</v>
      </c>
    </row>
    <row r="2" spans="1:10">
      <c r="B2" s="65" t="s">
        <v>892</v>
      </c>
      <c r="C2" s="65" t="s">
        <v>893</v>
      </c>
      <c r="D2" s="64" t="s">
        <v>872</v>
      </c>
      <c r="E2" s="64" t="s">
        <v>873</v>
      </c>
      <c r="F2" s="64">
        <v>17</v>
      </c>
      <c r="G2" s="64">
        <v>102</v>
      </c>
      <c r="H2" s="64" t="s">
        <v>746</v>
      </c>
      <c r="I2" s="64">
        <v>1356</v>
      </c>
      <c r="J2" s="66">
        <f t="shared" ref="J2:J25" si="0">(I2*F2)/10000000</f>
        <v>2.3051999999999999E-3</v>
      </c>
    </row>
    <row r="3" spans="1:10">
      <c r="B3" s="65" t="s">
        <v>892</v>
      </c>
      <c r="C3" s="65" t="s">
        <v>893</v>
      </c>
      <c r="D3" s="64" t="s">
        <v>872</v>
      </c>
      <c r="E3" s="64" t="s">
        <v>874</v>
      </c>
      <c r="F3" s="64">
        <v>6</v>
      </c>
      <c r="G3" s="64">
        <v>36</v>
      </c>
      <c r="H3" s="64" t="s">
        <v>746</v>
      </c>
      <c r="I3" s="64">
        <v>1697</v>
      </c>
      <c r="J3" s="66">
        <f t="shared" si="0"/>
        <v>1.0181999999999999E-3</v>
      </c>
    </row>
    <row r="4" spans="1:10">
      <c r="B4" s="65" t="s">
        <v>892</v>
      </c>
      <c r="C4" s="65" t="s">
        <v>893</v>
      </c>
      <c r="D4" s="64" t="s">
        <v>872</v>
      </c>
      <c r="E4" s="64" t="s">
        <v>875</v>
      </c>
      <c r="F4" s="64">
        <v>18</v>
      </c>
      <c r="G4" s="64">
        <v>108</v>
      </c>
      <c r="H4" s="64" t="s">
        <v>746</v>
      </c>
      <c r="I4" s="64">
        <v>2382</v>
      </c>
      <c r="J4" s="66">
        <f t="shared" si="0"/>
        <v>4.2875999999999999E-3</v>
      </c>
    </row>
    <row r="5" spans="1:10">
      <c r="B5" s="65" t="s">
        <v>892</v>
      </c>
      <c r="C5" s="65" t="s">
        <v>893</v>
      </c>
      <c r="D5" s="64" t="s">
        <v>872</v>
      </c>
      <c r="E5" s="64" t="s">
        <v>876</v>
      </c>
      <c r="F5" s="64">
        <v>1</v>
      </c>
      <c r="G5" s="64">
        <v>6</v>
      </c>
      <c r="H5" s="64" t="s">
        <v>746</v>
      </c>
      <c r="I5" s="64">
        <v>2541</v>
      </c>
      <c r="J5" s="66">
        <f t="shared" si="0"/>
        <v>2.541E-4</v>
      </c>
    </row>
    <row r="6" spans="1:10">
      <c r="B6" s="65" t="s">
        <v>892</v>
      </c>
      <c r="C6" s="65" t="s">
        <v>893</v>
      </c>
      <c r="D6" s="64" t="s">
        <v>872</v>
      </c>
      <c r="E6" s="64" t="s">
        <v>877</v>
      </c>
      <c r="F6" s="64">
        <v>3</v>
      </c>
      <c r="G6" s="64">
        <v>18</v>
      </c>
      <c r="H6" s="64" t="s">
        <v>746</v>
      </c>
      <c r="I6" s="64">
        <v>4005</v>
      </c>
      <c r="J6" s="66">
        <f t="shared" si="0"/>
        <v>1.2015000000000001E-3</v>
      </c>
    </row>
    <row r="7" spans="1:10">
      <c r="B7" s="65" t="s">
        <v>892</v>
      </c>
      <c r="C7" s="65" t="s">
        <v>893</v>
      </c>
      <c r="D7" s="64" t="s">
        <v>878</v>
      </c>
      <c r="E7" s="64" t="s">
        <v>879</v>
      </c>
      <c r="F7" s="64">
        <v>4</v>
      </c>
      <c r="G7" s="64" t="s">
        <v>880</v>
      </c>
      <c r="H7" s="64" t="s">
        <v>887</v>
      </c>
      <c r="I7" s="64">
        <v>2839</v>
      </c>
      <c r="J7" s="66">
        <f t="shared" si="0"/>
        <v>1.1356000000000001E-3</v>
      </c>
    </row>
    <row r="8" spans="1:10">
      <c r="B8" s="65" t="s">
        <v>892</v>
      </c>
      <c r="C8" s="65" t="s">
        <v>893</v>
      </c>
      <c r="D8" s="64" t="s">
        <v>878</v>
      </c>
      <c r="E8" s="64" t="s">
        <v>873</v>
      </c>
      <c r="F8" s="64">
        <v>1</v>
      </c>
      <c r="G8" s="64" t="s">
        <v>880</v>
      </c>
      <c r="H8" s="64" t="s">
        <v>887</v>
      </c>
      <c r="I8" s="64">
        <v>4041</v>
      </c>
      <c r="J8" s="66">
        <f t="shared" si="0"/>
        <v>4.0410000000000001E-4</v>
      </c>
    </row>
    <row r="9" spans="1:10">
      <c r="B9" s="65" t="s">
        <v>892</v>
      </c>
      <c r="C9" s="65" t="s">
        <v>893</v>
      </c>
      <c r="D9" s="64" t="s">
        <v>878</v>
      </c>
      <c r="E9" s="64" t="s">
        <v>874</v>
      </c>
      <c r="F9" s="64">
        <v>4</v>
      </c>
      <c r="G9" s="64" t="s">
        <v>880</v>
      </c>
      <c r="H9" s="64" t="s">
        <v>888</v>
      </c>
      <c r="I9" s="64">
        <v>8926</v>
      </c>
      <c r="J9" s="66">
        <f t="shared" si="0"/>
        <v>3.5704E-3</v>
      </c>
    </row>
    <row r="10" spans="1:10">
      <c r="B10" s="65" t="s">
        <v>892</v>
      </c>
      <c r="C10" s="65" t="s">
        <v>893</v>
      </c>
      <c r="D10" s="64" t="s">
        <v>878</v>
      </c>
      <c r="E10" s="64" t="s">
        <v>876</v>
      </c>
      <c r="F10" s="64">
        <v>4</v>
      </c>
      <c r="G10" s="64" t="s">
        <v>880</v>
      </c>
      <c r="H10" s="64" t="s">
        <v>888</v>
      </c>
      <c r="I10" s="64">
        <v>20870</v>
      </c>
      <c r="J10" s="66">
        <f t="shared" si="0"/>
        <v>8.3479999999999995E-3</v>
      </c>
    </row>
    <row r="11" spans="1:10">
      <c r="B11" s="65" t="s">
        <v>892</v>
      </c>
      <c r="C11" s="65" t="s">
        <v>893</v>
      </c>
      <c r="D11" s="64" t="s">
        <v>878</v>
      </c>
      <c r="E11" s="64" t="s">
        <v>881</v>
      </c>
      <c r="F11" s="64">
        <v>4</v>
      </c>
      <c r="G11" s="64" t="s">
        <v>880</v>
      </c>
      <c r="H11" s="64" t="s">
        <v>888</v>
      </c>
      <c r="I11" s="64">
        <v>45933</v>
      </c>
      <c r="J11" s="66">
        <f t="shared" si="0"/>
        <v>1.8373199999999999E-2</v>
      </c>
    </row>
    <row r="12" spans="1:10">
      <c r="B12" s="65" t="s">
        <v>892</v>
      </c>
      <c r="C12" s="65" t="s">
        <v>893</v>
      </c>
      <c r="D12" s="64" t="s">
        <v>882</v>
      </c>
      <c r="E12" s="64" t="s">
        <v>883</v>
      </c>
      <c r="F12" s="64">
        <v>88</v>
      </c>
      <c r="G12" s="64">
        <v>44</v>
      </c>
      <c r="H12" s="64" t="s">
        <v>889</v>
      </c>
      <c r="I12" s="64">
        <v>2255</v>
      </c>
      <c r="J12" s="66">
        <f t="shared" si="0"/>
        <v>1.9844000000000001E-2</v>
      </c>
    </row>
    <row r="13" spans="1:10">
      <c r="B13" s="65" t="s">
        <v>892</v>
      </c>
      <c r="C13" s="65" t="s">
        <v>893</v>
      </c>
      <c r="D13" s="64" t="s">
        <v>884</v>
      </c>
      <c r="E13" s="64" t="s">
        <v>879</v>
      </c>
      <c r="F13" s="64">
        <v>18</v>
      </c>
      <c r="G13" s="64" t="s">
        <v>880</v>
      </c>
      <c r="H13" s="64" t="s">
        <v>890</v>
      </c>
      <c r="I13" s="64">
        <v>760</v>
      </c>
      <c r="J13" s="66">
        <f t="shared" si="0"/>
        <v>1.3680000000000001E-3</v>
      </c>
    </row>
    <row r="14" spans="1:10">
      <c r="B14" s="65" t="s">
        <v>892</v>
      </c>
      <c r="C14" s="65" t="s">
        <v>893</v>
      </c>
      <c r="D14" s="64" t="s">
        <v>884</v>
      </c>
      <c r="E14" s="64" t="s">
        <v>874</v>
      </c>
      <c r="F14" s="64">
        <v>4</v>
      </c>
      <c r="G14" s="64" t="s">
        <v>880</v>
      </c>
      <c r="H14" s="64" t="s">
        <v>890</v>
      </c>
      <c r="I14" s="64">
        <v>2375</v>
      </c>
      <c r="J14" s="66">
        <f t="shared" si="0"/>
        <v>9.5E-4</v>
      </c>
    </row>
    <row r="15" spans="1:10">
      <c r="B15" s="65" t="s">
        <v>892</v>
      </c>
      <c r="C15" s="65" t="s">
        <v>893</v>
      </c>
      <c r="D15" s="64" t="s">
        <v>884</v>
      </c>
      <c r="E15" s="64" t="s">
        <v>875</v>
      </c>
      <c r="F15" s="64">
        <v>3</v>
      </c>
      <c r="G15" s="64" t="s">
        <v>880</v>
      </c>
      <c r="H15" s="64" t="s">
        <v>890</v>
      </c>
      <c r="I15" s="64">
        <v>3325</v>
      </c>
      <c r="J15" s="66">
        <f t="shared" si="0"/>
        <v>9.9749999999999991E-4</v>
      </c>
    </row>
    <row r="16" spans="1:10">
      <c r="B16" s="65" t="s">
        <v>892</v>
      </c>
      <c r="C16" s="65" t="s">
        <v>893</v>
      </c>
      <c r="D16" s="64" t="s">
        <v>884</v>
      </c>
      <c r="E16" s="64" t="s">
        <v>876</v>
      </c>
      <c r="F16" s="64">
        <v>31</v>
      </c>
      <c r="G16" s="64" t="s">
        <v>880</v>
      </c>
      <c r="H16" s="64" t="s">
        <v>890</v>
      </c>
      <c r="I16" s="64">
        <v>3657</v>
      </c>
      <c r="J16" s="66">
        <f t="shared" si="0"/>
        <v>1.13367E-2</v>
      </c>
    </row>
    <row r="17" spans="2:12">
      <c r="B17" s="65" t="s">
        <v>892</v>
      </c>
      <c r="C17" s="65" t="s">
        <v>893</v>
      </c>
      <c r="D17" s="64" t="s">
        <v>884</v>
      </c>
      <c r="E17" s="64" t="s">
        <v>877</v>
      </c>
      <c r="F17" s="64">
        <v>27</v>
      </c>
      <c r="G17" s="64" t="s">
        <v>880</v>
      </c>
      <c r="H17" s="64" t="s">
        <v>890</v>
      </c>
      <c r="I17" s="64">
        <v>5225</v>
      </c>
      <c r="J17" s="66">
        <f t="shared" si="0"/>
        <v>1.41075E-2</v>
      </c>
    </row>
    <row r="18" spans="2:12">
      <c r="B18" s="65" t="s">
        <v>892</v>
      </c>
      <c r="C18" s="65" t="s">
        <v>893</v>
      </c>
      <c r="D18" s="64" t="s">
        <v>885</v>
      </c>
      <c r="E18" s="64" t="s">
        <v>873</v>
      </c>
      <c r="F18" s="64">
        <v>1</v>
      </c>
      <c r="G18" s="64" t="s">
        <v>880</v>
      </c>
      <c r="H18" s="64" t="s">
        <v>890</v>
      </c>
      <c r="I18" s="64">
        <v>950</v>
      </c>
      <c r="J18" s="66">
        <f t="shared" si="0"/>
        <v>9.5000000000000005E-5</v>
      </c>
    </row>
    <row r="19" spans="2:12">
      <c r="B19" s="65" t="s">
        <v>892</v>
      </c>
      <c r="C19" s="65" t="s">
        <v>893</v>
      </c>
      <c r="D19" s="64" t="s">
        <v>885</v>
      </c>
      <c r="E19" s="64" t="s">
        <v>874</v>
      </c>
      <c r="F19" s="64">
        <v>2</v>
      </c>
      <c r="G19" s="64" t="s">
        <v>880</v>
      </c>
      <c r="H19" s="64" t="s">
        <v>890</v>
      </c>
      <c r="I19" s="64">
        <v>1492</v>
      </c>
      <c r="J19" s="66">
        <f t="shared" si="0"/>
        <v>2.9839999999999999E-4</v>
      </c>
    </row>
    <row r="20" spans="2:12">
      <c r="B20" s="65" t="s">
        <v>892</v>
      </c>
      <c r="C20" s="65" t="s">
        <v>893</v>
      </c>
      <c r="D20" s="64" t="s">
        <v>885</v>
      </c>
      <c r="E20" s="64" t="s">
        <v>875</v>
      </c>
      <c r="F20" s="64">
        <v>3</v>
      </c>
      <c r="G20" s="64" t="s">
        <v>880</v>
      </c>
      <c r="H20" s="64" t="s">
        <v>890</v>
      </c>
      <c r="I20" s="64">
        <v>2285</v>
      </c>
      <c r="J20" s="66">
        <f t="shared" si="0"/>
        <v>6.8550000000000002E-4</v>
      </c>
    </row>
    <row r="21" spans="2:12">
      <c r="B21" s="65" t="s">
        <v>892</v>
      </c>
      <c r="C21" s="65" t="s">
        <v>893</v>
      </c>
      <c r="D21" s="64" t="s">
        <v>885</v>
      </c>
      <c r="E21" s="64" t="s">
        <v>876</v>
      </c>
      <c r="F21" s="64">
        <v>48</v>
      </c>
      <c r="G21" s="64" t="s">
        <v>880</v>
      </c>
      <c r="H21" s="64" t="s">
        <v>890</v>
      </c>
      <c r="I21" s="64">
        <v>3658</v>
      </c>
      <c r="J21" s="66">
        <f t="shared" si="0"/>
        <v>1.7558399999999998E-2</v>
      </c>
    </row>
    <row r="22" spans="2:12">
      <c r="B22" s="65" t="s">
        <v>892</v>
      </c>
      <c r="C22" s="65" t="s">
        <v>893</v>
      </c>
      <c r="D22" s="64" t="s">
        <v>885</v>
      </c>
      <c r="E22" s="64" t="s">
        <v>877</v>
      </c>
      <c r="F22" s="64">
        <v>11</v>
      </c>
      <c r="G22" s="64" t="s">
        <v>880</v>
      </c>
      <c r="H22" s="64" t="s">
        <v>890</v>
      </c>
      <c r="I22" s="64">
        <v>6650</v>
      </c>
      <c r="J22" s="66">
        <f t="shared" si="0"/>
        <v>7.3150000000000003E-3</v>
      </c>
    </row>
    <row r="23" spans="2:12">
      <c r="B23" s="65" t="s">
        <v>892</v>
      </c>
      <c r="C23" s="65" t="s">
        <v>893</v>
      </c>
      <c r="D23" s="64" t="s">
        <v>885</v>
      </c>
      <c r="E23" s="64" t="s">
        <v>883</v>
      </c>
      <c r="F23" s="64">
        <v>17</v>
      </c>
      <c r="G23" s="64" t="s">
        <v>880</v>
      </c>
      <c r="H23" s="64" t="s">
        <v>890</v>
      </c>
      <c r="I23" s="64">
        <v>19000</v>
      </c>
      <c r="J23" s="66">
        <f t="shared" si="0"/>
        <v>3.2300000000000002E-2</v>
      </c>
      <c r="L23">
        <v>10000000</v>
      </c>
    </row>
    <row r="24" spans="2:12">
      <c r="B24" s="65" t="s">
        <v>892</v>
      </c>
      <c r="C24" s="65" t="s">
        <v>893</v>
      </c>
      <c r="D24" s="64" t="s">
        <v>886</v>
      </c>
      <c r="E24" s="64" t="s">
        <v>873</v>
      </c>
      <c r="F24" s="64">
        <v>6</v>
      </c>
      <c r="G24" s="64" t="s">
        <v>880</v>
      </c>
      <c r="H24" s="64" t="s">
        <v>891</v>
      </c>
      <c r="I24" s="64">
        <v>15704</v>
      </c>
      <c r="J24" s="66">
        <f t="shared" si="0"/>
        <v>9.4223999999999992E-3</v>
      </c>
    </row>
    <row r="25" spans="2:12">
      <c r="B25" s="65" t="s">
        <v>892</v>
      </c>
      <c r="C25" s="65" t="s">
        <v>893</v>
      </c>
      <c r="D25" s="64" t="s">
        <v>886</v>
      </c>
      <c r="E25" s="64" t="s">
        <v>874</v>
      </c>
      <c r="F25" s="64">
        <v>3</v>
      </c>
      <c r="G25" s="64" t="s">
        <v>880</v>
      </c>
      <c r="H25" s="64" t="s">
        <v>891</v>
      </c>
      <c r="I25" s="64">
        <v>27525</v>
      </c>
      <c r="J25" s="66">
        <f t="shared" si="0"/>
        <v>8.2574999999999992E-3</v>
      </c>
    </row>
    <row r="26" spans="2:12">
      <c r="B26" s="65"/>
      <c r="C26" s="65"/>
      <c r="D26" s="65"/>
      <c r="E26" s="65"/>
      <c r="F26" s="65"/>
      <c r="G26" s="65"/>
      <c r="H26" s="108" t="s">
        <v>970</v>
      </c>
      <c r="I26" s="108"/>
      <c r="J26" s="67">
        <f>SUM(J2:J25)</f>
        <v>0.16543380000000002</v>
      </c>
    </row>
  </sheetData>
  <mergeCells count="1">
    <mergeCell ref="H26:I2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2B35-5120-48A0-8FBC-86271134356F}">
  <dimension ref="A1:K35"/>
  <sheetViews>
    <sheetView workbookViewId="0">
      <selection activeCell="H35" sqref="B2:H35"/>
    </sheetView>
  </sheetViews>
  <sheetFormatPr defaultRowHeight="14.5"/>
  <cols>
    <col min="2" max="2" width="11.54296875" bestFit="1" customWidth="1"/>
    <col min="3" max="3" width="20.81640625" bestFit="1" customWidth="1"/>
    <col min="4" max="4" width="20.36328125" customWidth="1"/>
    <col min="8" max="8" width="13.453125" bestFit="1" customWidth="1"/>
  </cols>
  <sheetData>
    <row r="1" spans="1:11">
      <c r="A1" s="60" t="s">
        <v>869</v>
      </c>
      <c r="B1" s="9" t="s">
        <v>1</v>
      </c>
      <c r="C1" s="9" t="s">
        <v>2</v>
      </c>
      <c r="D1" s="9" t="s">
        <v>3</v>
      </c>
      <c r="E1" s="9" t="s">
        <v>5</v>
      </c>
      <c r="F1" s="9" t="s">
        <v>6</v>
      </c>
      <c r="G1" s="9" t="s">
        <v>8</v>
      </c>
      <c r="H1" s="9" t="s">
        <v>9</v>
      </c>
    </row>
    <row r="2" spans="1:11">
      <c r="A2" s="60"/>
      <c r="B2" s="10" t="s">
        <v>946</v>
      </c>
      <c r="C2" s="10" t="s">
        <v>947</v>
      </c>
      <c r="D2" s="8" t="s">
        <v>907</v>
      </c>
      <c r="E2" s="10">
        <v>5</v>
      </c>
      <c r="F2" s="10" t="s">
        <v>908</v>
      </c>
      <c r="G2" s="11">
        <v>670</v>
      </c>
      <c r="H2" s="40">
        <f t="shared" ref="H2:H34" si="0">(G2*E2)/10000000</f>
        <v>3.3500000000000001E-4</v>
      </c>
    </row>
    <row r="3" spans="1:11" ht="29">
      <c r="A3" s="60"/>
      <c r="B3" s="10" t="s">
        <v>946</v>
      </c>
      <c r="C3" s="10" t="s">
        <v>947</v>
      </c>
      <c r="D3" s="8" t="s">
        <v>909</v>
      </c>
      <c r="E3" s="10">
        <v>4</v>
      </c>
      <c r="F3" s="10" t="s">
        <v>908</v>
      </c>
      <c r="G3" s="11">
        <v>556.62</v>
      </c>
      <c r="H3" s="40">
        <f t="shared" si="0"/>
        <v>2.2264800000000001E-4</v>
      </c>
    </row>
    <row r="4" spans="1:11">
      <c r="A4" s="60"/>
      <c r="B4" s="10" t="s">
        <v>946</v>
      </c>
      <c r="C4" s="10" t="s">
        <v>947</v>
      </c>
      <c r="D4" s="8" t="s">
        <v>910</v>
      </c>
      <c r="E4" s="10">
        <v>1</v>
      </c>
      <c r="F4" s="10" t="s">
        <v>911</v>
      </c>
      <c r="G4" s="11">
        <v>9491.89</v>
      </c>
      <c r="H4" s="40">
        <f t="shared" si="0"/>
        <v>9.4918899999999991E-4</v>
      </c>
    </row>
    <row r="5" spans="1:11">
      <c r="A5" s="60"/>
      <c r="B5" s="10" t="s">
        <v>946</v>
      </c>
      <c r="C5" s="10" t="s">
        <v>947</v>
      </c>
      <c r="D5" s="8" t="s">
        <v>912</v>
      </c>
      <c r="E5" s="10">
        <v>1.5</v>
      </c>
      <c r="F5" s="10" t="s">
        <v>913</v>
      </c>
      <c r="G5" s="11">
        <v>105</v>
      </c>
      <c r="H5" s="40">
        <f t="shared" si="0"/>
        <v>1.575E-5</v>
      </c>
    </row>
    <row r="6" spans="1:11">
      <c r="A6" s="60"/>
      <c r="B6" s="10" t="s">
        <v>946</v>
      </c>
      <c r="C6" s="10" t="s">
        <v>947</v>
      </c>
      <c r="D6" s="8" t="s">
        <v>914</v>
      </c>
      <c r="E6" s="10">
        <v>80</v>
      </c>
      <c r="F6" s="10" t="s">
        <v>33</v>
      </c>
      <c r="G6" s="11">
        <v>1850</v>
      </c>
      <c r="H6" s="40">
        <f t="shared" si="0"/>
        <v>1.4800000000000001E-2</v>
      </c>
    </row>
    <row r="7" spans="1:11" ht="29">
      <c r="A7" s="60"/>
      <c r="B7" s="10" t="s">
        <v>946</v>
      </c>
      <c r="C7" s="10" t="s">
        <v>947</v>
      </c>
      <c r="D7" s="8" t="s">
        <v>915</v>
      </c>
      <c r="E7" s="10">
        <v>4.5</v>
      </c>
      <c r="F7" s="10" t="s">
        <v>916</v>
      </c>
      <c r="G7" s="10">
        <v>53.6</v>
      </c>
      <c r="H7" s="40">
        <f t="shared" si="0"/>
        <v>2.4120000000000003E-5</v>
      </c>
    </row>
    <row r="8" spans="1:11" ht="29">
      <c r="A8" s="60"/>
      <c r="B8" s="10" t="s">
        <v>946</v>
      </c>
      <c r="C8" s="10" t="s">
        <v>947</v>
      </c>
      <c r="D8" s="8" t="s">
        <v>917</v>
      </c>
      <c r="E8" s="10">
        <v>24</v>
      </c>
      <c r="F8" s="10" t="s">
        <v>916</v>
      </c>
      <c r="G8" s="10">
        <v>53.6</v>
      </c>
      <c r="H8" s="40">
        <f t="shared" si="0"/>
        <v>1.2864000000000002E-4</v>
      </c>
    </row>
    <row r="9" spans="1:11" ht="29">
      <c r="A9" s="60"/>
      <c r="B9" s="10" t="s">
        <v>946</v>
      </c>
      <c r="C9" s="10" t="s">
        <v>947</v>
      </c>
      <c r="D9" s="8" t="s">
        <v>918</v>
      </c>
      <c r="E9" s="10">
        <v>2</v>
      </c>
      <c r="F9" s="10" t="s">
        <v>916</v>
      </c>
      <c r="G9" s="10">
        <v>53.6</v>
      </c>
      <c r="H9" s="40">
        <f t="shared" si="0"/>
        <v>1.0720000000000001E-5</v>
      </c>
    </row>
    <row r="10" spans="1:11">
      <c r="A10" s="60"/>
      <c r="B10" s="10" t="s">
        <v>946</v>
      </c>
      <c r="C10" s="10" t="s">
        <v>947</v>
      </c>
      <c r="D10" s="8" t="s">
        <v>919</v>
      </c>
      <c r="E10" s="10">
        <f>10.233-5</f>
        <v>5.2330000000000005</v>
      </c>
      <c r="F10" s="10" t="s">
        <v>916</v>
      </c>
      <c r="G10" s="10"/>
      <c r="H10" s="40">
        <f t="shared" si="0"/>
        <v>0</v>
      </c>
      <c r="K10">
        <v>10000000</v>
      </c>
    </row>
    <row r="11" spans="1:11">
      <c r="A11" s="60"/>
      <c r="B11" s="10" t="s">
        <v>946</v>
      </c>
      <c r="C11" s="10" t="s">
        <v>947</v>
      </c>
      <c r="D11" s="8" t="s">
        <v>920</v>
      </c>
      <c r="E11" s="10">
        <v>31.315000000000001</v>
      </c>
      <c r="F11" s="10" t="s">
        <v>916</v>
      </c>
      <c r="G11" s="10"/>
      <c r="H11" s="40">
        <f t="shared" si="0"/>
        <v>0</v>
      </c>
    </row>
    <row r="12" spans="1:11">
      <c r="A12" s="60"/>
      <c r="B12" s="10" t="s">
        <v>946</v>
      </c>
      <c r="C12" s="10" t="s">
        <v>947</v>
      </c>
      <c r="D12" s="8" t="s">
        <v>921</v>
      </c>
      <c r="E12" s="10">
        <v>6</v>
      </c>
      <c r="F12" s="10" t="s">
        <v>922</v>
      </c>
      <c r="G12" s="10"/>
      <c r="H12" s="40">
        <f t="shared" si="0"/>
        <v>0</v>
      </c>
    </row>
    <row r="13" spans="1:11" ht="29">
      <c r="A13" s="60"/>
      <c r="B13" s="10" t="s">
        <v>946</v>
      </c>
      <c r="C13" s="10" t="s">
        <v>947</v>
      </c>
      <c r="D13" s="8" t="s">
        <v>923</v>
      </c>
      <c r="E13" s="10">
        <v>6</v>
      </c>
      <c r="F13" s="10" t="s">
        <v>33</v>
      </c>
      <c r="G13" s="10"/>
      <c r="H13" s="40">
        <f t="shared" si="0"/>
        <v>0</v>
      </c>
    </row>
    <row r="14" spans="1:11" ht="29">
      <c r="A14" s="60"/>
      <c r="B14" s="10" t="s">
        <v>946</v>
      </c>
      <c r="C14" s="10" t="s">
        <v>947</v>
      </c>
      <c r="D14" s="8" t="s">
        <v>924</v>
      </c>
      <c r="E14" s="10">
        <v>10</v>
      </c>
      <c r="F14" s="10" t="s">
        <v>943</v>
      </c>
      <c r="G14" s="10"/>
      <c r="H14" s="40">
        <f t="shared" si="0"/>
        <v>0</v>
      </c>
    </row>
    <row r="15" spans="1:11">
      <c r="A15" s="60"/>
      <c r="B15" s="10" t="s">
        <v>946</v>
      </c>
      <c r="C15" s="10" t="s">
        <v>947</v>
      </c>
      <c r="D15" s="8" t="s">
        <v>925</v>
      </c>
      <c r="E15" s="10">
        <v>3</v>
      </c>
      <c r="F15" s="10" t="s">
        <v>943</v>
      </c>
      <c r="G15" s="10"/>
      <c r="H15" s="40">
        <f t="shared" si="0"/>
        <v>0</v>
      </c>
    </row>
    <row r="16" spans="1:11">
      <c r="A16" s="60"/>
      <c r="B16" s="10" t="s">
        <v>946</v>
      </c>
      <c r="C16" s="10" t="s">
        <v>947</v>
      </c>
      <c r="D16" s="8" t="s">
        <v>926</v>
      </c>
      <c r="E16" s="10">
        <v>6</v>
      </c>
      <c r="F16" s="10" t="s">
        <v>33</v>
      </c>
      <c r="G16" s="10"/>
      <c r="H16" s="40">
        <f t="shared" si="0"/>
        <v>0</v>
      </c>
    </row>
    <row r="17" spans="1:8">
      <c r="A17" s="60"/>
      <c r="B17" s="10" t="s">
        <v>946</v>
      </c>
      <c r="C17" s="10" t="s">
        <v>947</v>
      </c>
      <c r="D17" s="8" t="s">
        <v>927</v>
      </c>
      <c r="E17" s="10">
        <v>5</v>
      </c>
      <c r="F17" s="10" t="s">
        <v>33</v>
      </c>
      <c r="G17" s="10"/>
      <c r="H17" s="40">
        <f t="shared" si="0"/>
        <v>0</v>
      </c>
    </row>
    <row r="18" spans="1:8">
      <c r="A18" s="60"/>
      <c r="B18" s="10" t="s">
        <v>946</v>
      </c>
      <c r="C18" s="10" t="s">
        <v>947</v>
      </c>
      <c r="D18" s="8" t="s">
        <v>928</v>
      </c>
      <c r="E18" s="10">
        <v>5</v>
      </c>
      <c r="F18" s="10" t="s">
        <v>33</v>
      </c>
      <c r="G18" s="10"/>
      <c r="H18" s="40">
        <f t="shared" si="0"/>
        <v>0</v>
      </c>
    </row>
    <row r="19" spans="1:8" ht="29">
      <c r="A19" s="60"/>
      <c r="B19" s="10" t="s">
        <v>946</v>
      </c>
      <c r="C19" s="10" t="s">
        <v>947</v>
      </c>
      <c r="D19" s="8" t="s">
        <v>929</v>
      </c>
      <c r="E19" s="10">
        <v>6</v>
      </c>
      <c r="F19" s="10" t="s">
        <v>33</v>
      </c>
      <c r="G19" s="10"/>
      <c r="H19" s="40">
        <f t="shared" si="0"/>
        <v>0</v>
      </c>
    </row>
    <row r="20" spans="1:8" ht="29">
      <c r="A20" s="60"/>
      <c r="B20" s="10" t="s">
        <v>946</v>
      </c>
      <c r="C20" s="10" t="s">
        <v>947</v>
      </c>
      <c r="D20" s="8" t="s">
        <v>930</v>
      </c>
      <c r="E20" s="10">
        <v>9</v>
      </c>
      <c r="F20" s="10" t="s">
        <v>33</v>
      </c>
      <c r="G20" s="10"/>
      <c r="H20" s="40">
        <f t="shared" si="0"/>
        <v>0</v>
      </c>
    </row>
    <row r="21" spans="1:8" ht="29">
      <c r="A21" s="60"/>
      <c r="B21" s="10" t="s">
        <v>946</v>
      </c>
      <c r="C21" s="10" t="s">
        <v>947</v>
      </c>
      <c r="D21" s="8" t="s">
        <v>931</v>
      </c>
      <c r="E21" s="10">
        <v>9</v>
      </c>
      <c r="F21" s="10" t="s">
        <v>33</v>
      </c>
      <c r="G21" s="10"/>
      <c r="H21" s="40">
        <f t="shared" si="0"/>
        <v>0</v>
      </c>
    </row>
    <row r="22" spans="1:8" ht="29">
      <c r="A22" s="60"/>
      <c r="B22" s="10" t="s">
        <v>946</v>
      </c>
      <c r="C22" s="10" t="s">
        <v>947</v>
      </c>
      <c r="D22" s="8" t="s">
        <v>932</v>
      </c>
      <c r="E22" s="10">
        <v>1</v>
      </c>
      <c r="F22" s="10" t="s">
        <v>33</v>
      </c>
      <c r="G22" s="10"/>
      <c r="H22" s="40">
        <f t="shared" si="0"/>
        <v>0</v>
      </c>
    </row>
    <row r="23" spans="1:8" ht="29">
      <c r="A23" s="60"/>
      <c r="B23" s="10" t="s">
        <v>946</v>
      </c>
      <c r="C23" s="10" t="s">
        <v>947</v>
      </c>
      <c r="D23" s="8" t="s">
        <v>933</v>
      </c>
      <c r="E23" s="10"/>
      <c r="F23" s="10" t="s">
        <v>33</v>
      </c>
      <c r="G23" s="10"/>
      <c r="H23" s="40">
        <f t="shared" si="0"/>
        <v>0</v>
      </c>
    </row>
    <row r="24" spans="1:8">
      <c r="A24" s="60"/>
      <c r="B24" s="10" t="s">
        <v>946</v>
      </c>
      <c r="C24" s="10" t="s">
        <v>947</v>
      </c>
      <c r="D24" s="8" t="s">
        <v>934</v>
      </c>
      <c r="E24" s="10"/>
      <c r="F24" s="10" t="s">
        <v>33</v>
      </c>
      <c r="G24" s="10"/>
      <c r="H24" s="40">
        <f t="shared" si="0"/>
        <v>0</v>
      </c>
    </row>
    <row r="25" spans="1:8" ht="43.5">
      <c r="A25" s="60"/>
      <c r="B25" s="10" t="s">
        <v>946</v>
      </c>
      <c r="C25" s="10" t="s">
        <v>947</v>
      </c>
      <c r="D25" s="8" t="s">
        <v>935</v>
      </c>
      <c r="E25" s="10"/>
      <c r="F25" s="10" t="s">
        <v>33</v>
      </c>
      <c r="G25" s="10"/>
      <c r="H25" s="40">
        <f t="shared" si="0"/>
        <v>0</v>
      </c>
    </row>
    <row r="26" spans="1:8" ht="29">
      <c r="A26" s="60"/>
      <c r="B26" s="10" t="s">
        <v>946</v>
      </c>
      <c r="C26" s="10" t="s">
        <v>947</v>
      </c>
      <c r="D26" s="8" t="s">
        <v>936</v>
      </c>
      <c r="E26" s="10"/>
      <c r="F26" s="10" t="s">
        <v>33</v>
      </c>
      <c r="G26" s="10"/>
      <c r="H26" s="40">
        <f t="shared" si="0"/>
        <v>0</v>
      </c>
    </row>
    <row r="27" spans="1:8" ht="29">
      <c r="A27" s="60"/>
      <c r="B27" s="10" t="s">
        <v>946</v>
      </c>
      <c r="C27" s="10" t="s">
        <v>947</v>
      </c>
      <c r="D27" s="8" t="s">
        <v>937</v>
      </c>
      <c r="E27" s="10">
        <v>1</v>
      </c>
      <c r="F27" s="10" t="s">
        <v>33</v>
      </c>
      <c r="G27" s="10"/>
      <c r="H27" s="40">
        <f t="shared" si="0"/>
        <v>0</v>
      </c>
    </row>
    <row r="28" spans="1:8" ht="29">
      <c r="A28" s="60"/>
      <c r="B28" s="10" t="s">
        <v>946</v>
      </c>
      <c r="C28" s="10" t="s">
        <v>947</v>
      </c>
      <c r="D28" s="8" t="s">
        <v>938</v>
      </c>
      <c r="E28" s="10"/>
      <c r="F28" s="10" t="s">
        <v>33</v>
      </c>
      <c r="G28" s="10"/>
      <c r="H28" s="40">
        <f t="shared" si="0"/>
        <v>0</v>
      </c>
    </row>
    <row r="29" spans="1:8" ht="43.5">
      <c r="A29" s="60"/>
      <c r="B29" s="10" t="s">
        <v>946</v>
      </c>
      <c r="C29" s="10" t="s">
        <v>947</v>
      </c>
      <c r="D29" s="8" t="s">
        <v>939</v>
      </c>
      <c r="E29" s="10">
        <v>2</v>
      </c>
      <c r="F29" s="10" t="s">
        <v>33</v>
      </c>
      <c r="G29" s="10"/>
      <c r="H29" s="40">
        <f t="shared" si="0"/>
        <v>0</v>
      </c>
    </row>
    <row r="30" spans="1:8" ht="29">
      <c r="A30" s="60"/>
      <c r="B30" s="10" t="s">
        <v>946</v>
      </c>
      <c r="C30" s="10" t="s">
        <v>947</v>
      </c>
      <c r="D30" s="8" t="s">
        <v>940</v>
      </c>
      <c r="E30" s="10">
        <v>6</v>
      </c>
      <c r="F30" s="10" t="s">
        <v>33</v>
      </c>
      <c r="G30" s="10"/>
      <c r="H30" s="40">
        <f t="shared" si="0"/>
        <v>0</v>
      </c>
    </row>
    <row r="31" spans="1:8">
      <c r="A31" s="60"/>
      <c r="B31" s="10" t="s">
        <v>946</v>
      </c>
      <c r="C31" s="10" t="s">
        <v>947</v>
      </c>
      <c r="D31" s="8" t="s">
        <v>941</v>
      </c>
      <c r="E31" s="10"/>
      <c r="F31" s="10" t="s">
        <v>33</v>
      </c>
      <c r="G31" s="10"/>
      <c r="H31" s="40">
        <f t="shared" si="0"/>
        <v>0</v>
      </c>
    </row>
    <row r="32" spans="1:8">
      <c r="A32" s="60"/>
      <c r="B32" s="10" t="s">
        <v>946</v>
      </c>
      <c r="C32" s="10" t="s">
        <v>947</v>
      </c>
      <c r="D32" s="8" t="s">
        <v>942</v>
      </c>
      <c r="E32" s="10">
        <v>20</v>
      </c>
      <c r="F32" s="10" t="s">
        <v>33</v>
      </c>
      <c r="G32" s="10"/>
      <c r="H32" s="40">
        <f t="shared" si="0"/>
        <v>0</v>
      </c>
    </row>
    <row r="33" spans="1:8">
      <c r="A33" s="60"/>
      <c r="B33" s="10" t="s">
        <v>946</v>
      </c>
      <c r="C33" s="10" t="s">
        <v>947</v>
      </c>
      <c r="D33" s="8" t="s">
        <v>944</v>
      </c>
      <c r="E33" s="10">
        <v>2</v>
      </c>
      <c r="F33" s="10" t="s">
        <v>33</v>
      </c>
      <c r="G33" s="10"/>
      <c r="H33" s="40">
        <f t="shared" si="0"/>
        <v>0</v>
      </c>
    </row>
    <row r="34" spans="1:8">
      <c r="A34" s="60"/>
      <c r="B34" s="10" t="s">
        <v>946</v>
      </c>
      <c r="C34" s="10" t="s">
        <v>947</v>
      </c>
      <c r="D34" s="8" t="s">
        <v>945</v>
      </c>
      <c r="E34" s="10">
        <v>2</v>
      </c>
      <c r="F34" s="10" t="s">
        <v>33</v>
      </c>
      <c r="G34" s="10"/>
      <c r="H34" s="40">
        <f t="shared" si="0"/>
        <v>0</v>
      </c>
    </row>
    <row r="35" spans="1:8">
      <c r="B35" s="41"/>
      <c r="C35" s="41"/>
      <c r="D35" s="41"/>
      <c r="E35" s="41"/>
      <c r="F35" s="101" t="s">
        <v>970</v>
      </c>
      <c r="G35" s="102"/>
      <c r="H35" s="53">
        <f>SUM(H2:H34)</f>
        <v>1.6486066999999997E-2</v>
      </c>
    </row>
  </sheetData>
  <mergeCells count="1">
    <mergeCell ref="F35:G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Pivot</vt:lpstr>
      <vt:lpstr>Pivot Check</vt:lpstr>
      <vt:lpstr>Sheet16</vt:lpstr>
      <vt:lpstr>Sheet1</vt:lpstr>
      <vt:lpstr>Value Estimation</vt:lpstr>
      <vt:lpstr>Remaining Projects</vt:lpstr>
      <vt:lpstr>Pivot Final</vt:lpstr>
      <vt:lpstr>Final</vt:lpstr>
      <vt:lpstr>Final Final</vt:lpstr>
      <vt:lpstr>Value Estimation - ref</vt:lpstr>
      <vt:lpstr>G10-44040</vt:lpstr>
      <vt:lpstr>G10-44039</vt:lpstr>
      <vt:lpstr>G10-10030</vt:lpstr>
      <vt:lpstr>G10-42020</vt:lpstr>
      <vt:lpstr>G10-34010</vt:lpstr>
      <vt:lpstr>G10-46003</vt:lpstr>
      <vt:lpstr>G10-46009</vt:lpstr>
      <vt:lpstr>G10-46012</vt:lpstr>
      <vt:lpstr>G10-46010</vt:lpstr>
      <vt:lpstr>C10-46030</vt:lpstr>
      <vt:lpstr>G10-24005</vt:lpstr>
      <vt:lpstr>G10-44027</vt:lpstr>
      <vt:lpstr>G10-30013</vt:lpstr>
      <vt:lpstr>G28-44006</vt:lpstr>
      <vt:lpstr>G28-28003</vt:lpstr>
      <vt:lpstr>G28-44003</vt:lpstr>
      <vt:lpstr>G79-36001</vt:lpstr>
      <vt:lpstr>G79-36002</vt:lpstr>
      <vt:lpstr>G28-28001</vt:lpstr>
      <vt:lpstr>G28-42008</vt:lpstr>
      <vt:lpstr>G20-36003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Sibony Saldanha</dc:creator>
  <cp:lastModifiedBy>Sibony Saldanha</cp:lastModifiedBy>
  <dcterms:created xsi:type="dcterms:W3CDTF">2026-05-28T09:50:56Z</dcterms:created>
  <dcterms:modified xsi:type="dcterms:W3CDTF">2026-06-04T11:13:35Z</dcterms:modified>
</cp:coreProperties>
</file>